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topsoe-my.sharepoint.com/personal/agcr_topsoe_com/Documents/Mundial 2026/Personal AGCR/Pelle/"/>
    </mc:Choice>
  </mc:AlternateContent>
  <xr:revisionPtr revIDLastSave="2" documentId="11_A9E275BF56D891CE7D168D901FE878AF6E948F1D" xr6:coauthVersionLast="47" xr6:coauthVersionMax="47" xr10:uidLastSave="{97A0153D-672A-4269-A23B-1FE7C3EE0763}"/>
  <bookViews>
    <workbookView xWindow="-120" yWindow="-120" windowWidth="29040" windowHeight="15720" activeTab="3" xr2:uid="{00000000-000D-0000-FFFF-FFFF00000000}"/>
  </bookViews>
  <sheets>
    <sheet name="REGLAS - PUNTOS" sheetId="1" r:id="rId1"/>
    <sheet name="Groups Stage" sheetId="2" r:id="rId2"/>
    <sheet name="Round of 32 &amp; Round of 16" sheetId="3" r:id="rId3"/>
    <sheet name="Quarter, Semis &amp; Final" sheetId="4" r:id="rId4"/>
    <sheet name="Total Results" sheetId="5" r:id="rId5"/>
    <sheet name="Inputs summary" sheetId="6" r:id="rId6"/>
    <sheet name="Playoffs" sheetId="7" r:id="rId7"/>
    <sheet name="Mejores 3eros" sheetId="8" r:id="rId8"/>
    <sheet name="Aux" sheetId="9" r:id="rId9"/>
    <sheet name="Comentarios" sheetId="10" r:id="rId10"/>
    <sheet name="Ranking FIFA"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8" i="11" l="1" a="1"/>
  <c r="B48" i="11" s="1"/>
  <c r="B47" i="11" a="1"/>
  <c r="B47" i="11" s="1"/>
  <c r="B46" i="11" a="1"/>
  <c r="B46" i="11" s="1"/>
  <c r="B45" i="11" a="1"/>
  <c r="B45" i="11" s="1"/>
  <c r="B44" i="11" a="1"/>
  <c r="B44" i="11"/>
  <c r="B43" i="11" a="1"/>
  <c r="B43" i="11" s="1"/>
  <c r="B42" i="11" a="1"/>
  <c r="B42" i="11" s="1"/>
  <c r="B41" i="11" a="1"/>
  <c r="B41" i="11"/>
  <c r="B40" i="11" a="1"/>
  <c r="B40" i="11"/>
  <c r="B39" i="11" a="1"/>
  <c r="B39" i="11" s="1"/>
  <c r="B38" i="11" a="1"/>
  <c r="B38" i="11" s="1"/>
  <c r="B37" i="11" a="1"/>
  <c r="B37" i="11" s="1"/>
  <c r="B36" i="11" a="1"/>
  <c r="B36" i="11" s="1"/>
  <c r="B35" i="11" a="1"/>
  <c r="B35" i="11" s="1"/>
  <c r="AP48" i="9" s="1" a="1"/>
  <c r="AP48" i="9" s="1"/>
  <c r="B34" i="11" a="1"/>
  <c r="B34" i="11" s="1"/>
  <c r="B33" i="11" a="1"/>
  <c r="B33" i="11" s="1"/>
  <c r="B32" i="11" a="1"/>
  <c r="B32" i="11"/>
  <c r="B31" i="11" a="1"/>
  <c r="B31" i="11" s="1"/>
  <c r="B30" i="11" a="1"/>
  <c r="B30" i="11" s="1"/>
  <c r="B29" i="11" a="1"/>
  <c r="B29" i="11"/>
  <c r="B28" i="11" a="1"/>
  <c r="B28" i="11" s="1"/>
  <c r="B27" i="11" a="1"/>
  <c r="B27" i="11" s="1"/>
  <c r="B26" i="11" a="1"/>
  <c r="B26" i="11" s="1"/>
  <c r="B25" i="11" a="1"/>
  <c r="B25" i="11" s="1"/>
  <c r="B24" i="11" a="1"/>
  <c r="B24" i="11" s="1"/>
  <c r="B23" i="11" a="1"/>
  <c r="B23" i="11"/>
  <c r="B22" i="11" a="1"/>
  <c r="B22" i="11" s="1"/>
  <c r="B21" i="11" a="1"/>
  <c r="B21" i="11" s="1"/>
  <c r="B20" i="11" a="1"/>
  <c r="B20" i="11" s="1"/>
  <c r="B19" i="11" a="1"/>
  <c r="B19" i="11" s="1"/>
  <c r="B18" i="11" a="1"/>
  <c r="B18" i="11" s="1"/>
  <c r="B17" i="11" a="1"/>
  <c r="B17" i="11"/>
  <c r="B16" i="11" a="1"/>
  <c r="B16" i="11"/>
  <c r="B15" i="11" a="1"/>
  <c r="B15" i="11" s="1"/>
  <c r="B14" i="11" a="1"/>
  <c r="B14" i="11" s="1"/>
  <c r="B13" i="11" a="1"/>
  <c r="B13" i="11" s="1"/>
  <c r="B12" i="11" a="1"/>
  <c r="B12" i="11" s="1"/>
  <c r="B11" i="11" a="1"/>
  <c r="B11" i="11" s="1"/>
  <c r="B10" i="11" a="1"/>
  <c r="B10" i="11" s="1"/>
  <c r="B9" i="11" a="1"/>
  <c r="B9" i="11" s="1"/>
  <c r="B8" i="11" a="1"/>
  <c r="B8" i="11"/>
  <c r="B7" i="11" a="1"/>
  <c r="B7" i="11" s="1"/>
  <c r="B6" i="11" a="1"/>
  <c r="B6" i="11" s="1"/>
  <c r="B5" i="11" a="1"/>
  <c r="B5" i="11"/>
  <c r="B4" i="11" a="1"/>
  <c r="B4" i="11" s="1"/>
  <c r="B3" i="11" a="1"/>
  <c r="B3" i="11" s="1"/>
  <c r="B2" i="11" a="1"/>
  <c r="B2" i="11" s="1"/>
  <c r="B1" i="11" a="1"/>
  <c r="B1" i="11" s="1"/>
  <c r="AP29" i="9" a="1"/>
  <c r="AP29" i="9" s="1"/>
  <c r="AP28" i="9" a="1"/>
  <c r="AP28" i="9" s="1"/>
  <c r="AP26" i="9" a="1"/>
  <c r="AP26" i="9" s="1"/>
  <c r="AP23" i="9" a="1"/>
  <c r="AP23" i="9" s="1"/>
  <c r="AP19" i="9" a="1"/>
  <c r="AP19" i="9" s="1"/>
  <c r="AP18" i="9" a="1"/>
  <c r="AP18" i="9" s="1"/>
  <c r="AP17" i="9" a="1"/>
  <c r="AP17" i="9"/>
  <c r="AP16" i="9" a="1"/>
  <c r="AP16" i="9" s="1"/>
  <c r="AP15" i="9" a="1"/>
  <c r="AP15" i="9"/>
  <c r="AP14" i="9" a="1"/>
  <c r="AP14" i="9"/>
  <c r="AP13" i="9" a="1"/>
  <c r="AP13" i="9" s="1"/>
  <c r="AP12" i="9" a="1"/>
  <c r="AP12" i="9"/>
  <c r="AP11" i="9" a="1"/>
  <c r="AP11" i="9"/>
  <c r="AP10" i="9" a="1"/>
  <c r="AP10" i="9" s="1"/>
  <c r="AP9" i="9" a="1"/>
  <c r="AP9" i="9" s="1"/>
  <c r="AP8" i="9" a="1"/>
  <c r="AP8" i="9"/>
  <c r="AP7" i="9" a="1"/>
  <c r="AP7" i="9" s="1"/>
  <c r="AP6" i="9" a="1"/>
  <c r="AP6" i="9" s="1"/>
  <c r="AP5" i="9" a="1"/>
  <c r="AP5" i="9" s="1"/>
  <c r="AP4" i="9" a="1"/>
  <c r="AP4" i="9" s="1"/>
  <c r="BC2" i="9" a="1"/>
  <c r="BC2" i="9" s="1"/>
  <c r="BB2" i="9" a="1"/>
  <c r="BB2" i="9" s="1"/>
  <c r="BA2" i="9" a="1"/>
  <c r="BA2" i="9"/>
  <c r="AZ2" i="9" a="1"/>
  <c r="AZ2" i="9"/>
  <c r="AY2" i="9" a="1"/>
  <c r="AY2" i="9" s="1"/>
  <c r="X496" i="8" a="1"/>
  <c r="X496" i="8" s="1"/>
  <c r="W496" i="8" a="1"/>
  <c r="W496" i="8" s="1"/>
  <c r="V496" i="8" a="1"/>
  <c r="V496" i="8" s="1"/>
  <c r="U496" i="8" a="1"/>
  <c r="U496" i="8" s="1"/>
  <c r="T496" i="8" a="1"/>
  <c r="T496" i="8" s="1"/>
  <c r="S496" i="8" a="1"/>
  <c r="S496" i="8"/>
  <c r="R496" i="8" a="1"/>
  <c r="R496" i="8" s="1"/>
  <c r="Q496" i="8" a="1"/>
  <c r="Q496" i="8" s="1"/>
  <c r="P496" i="8" a="1"/>
  <c r="P496" i="8" s="1"/>
  <c r="X495" i="8" a="1"/>
  <c r="X495" i="8" s="1"/>
  <c r="W495" i="8" a="1"/>
  <c r="W495" i="8" s="1"/>
  <c r="V495" i="8" a="1"/>
  <c r="V495" i="8" s="1"/>
  <c r="U495" i="8" a="1"/>
  <c r="U495" i="8" s="1"/>
  <c r="T495" i="8" a="1"/>
  <c r="T495" i="8" s="1"/>
  <c r="S495" i="8" a="1"/>
  <c r="S495" i="8"/>
  <c r="R495" i="8" a="1"/>
  <c r="R495" i="8" s="1"/>
  <c r="Q495" i="8" a="1"/>
  <c r="Q495" i="8" s="1"/>
  <c r="P495" i="8" a="1"/>
  <c r="P495" i="8" s="1"/>
  <c r="X494" i="8" a="1"/>
  <c r="X494" i="8" s="1"/>
  <c r="W494" i="8" a="1"/>
  <c r="W494" i="8" s="1"/>
  <c r="V494" i="8" a="1"/>
  <c r="V494" i="8" s="1"/>
  <c r="U494" i="8" a="1"/>
  <c r="U494" i="8" s="1"/>
  <c r="T494" i="8" a="1"/>
  <c r="T494" i="8" s="1"/>
  <c r="S494" i="8" a="1"/>
  <c r="S494" i="8" s="1"/>
  <c r="R494" i="8" a="1"/>
  <c r="R494" i="8" s="1"/>
  <c r="Q494" i="8" a="1"/>
  <c r="Q494" i="8" s="1"/>
  <c r="P494" i="8" a="1"/>
  <c r="P494" i="8"/>
  <c r="X493" i="8" a="1"/>
  <c r="X493" i="8" s="1"/>
  <c r="W493" i="8" a="1"/>
  <c r="W493" i="8" s="1"/>
  <c r="V493" i="8" a="1"/>
  <c r="V493" i="8"/>
  <c r="U493" i="8" a="1"/>
  <c r="U493" i="8" s="1"/>
  <c r="T493" i="8" a="1"/>
  <c r="T493" i="8" s="1"/>
  <c r="S493" i="8" a="1"/>
  <c r="S493" i="8"/>
  <c r="R493" i="8" a="1"/>
  <c r="R493" i="8" s="1"/>
  <c r="Q493" i="8" a="1"/>
  <c r="Q493" i="8" s="1"/>
  <c r="P493" i="8" a="1"/>
  <c r="P493" i="8" s="1"/>
  <c r="X492" i="8" a="1"/>
  <c r="X492" i="8"/>
  <c r="W492" i="8" a="1"/>
  <c r="W492" i="8"/>
  <c r="V492" i="8" a="1"/>
  <c r="V492" i="8" s="1"/>
  <c r="U492" i="8" a="1"/>
  <c r="U492" i="8" s="1"/>
  <c r="T492" i="8" a="1"/>
  <c r="T492" i="8" s="1"/>
  <c r="S492" i="8" a="1"/>
  <c r="S492" i="8" s="1"/>
  <c r="R492" i="8" a="1"/>
  <c r="R492" i="8"/>
  <c r="Q492" i="8" a="1"/>
  <c r="Q492" i="8"/>
  <c r="P492" i="8" a="1"/>
  <c r="P492" i="8" s="1"/>
  <c r="X491" i="8" a="1"/>
  <c r="X491" i="8" s="1"/>
  <c r="W491" i="8" a="1"/>
  <c r="W491" i="8" s="1"/>
  <c r="V491" i="8" a="1"/>
  <c r="V491" i="8" s="1"/>
  <c r="U491" i="8" a="1"/>
  <c r="U491" i="8" s="1"/>
  <c r="T491" i="8" a="1"/>
  <c r="T491" i="8" s="1"/>
  <c r="S491" i="8" a="1"/>
  <c r="S491" i="8" s="1"/>
  <c r="R491" i="8" a="1"/>
  <c r="R491" i="8"/>
  <c r="Q491" i="8" a="1"/>
  <c r="Q491" i="8" s="1"/>
  <c r="P491" i="8" a="1"/>
  <c r="P491" i="8" s="1"/>
  <c r="X490" i="8" a="1"/>
  <c r="X490" i="8" s="1"/>
  <c r="W490" i="8" a="1"/>
  <c r="W490" i="8" s="1"/>
  <c r="V490" i="8" a="1"/>
  <c r="V490" i="8"/>
  <c r="U490" i="8" a="1"/>
  <c r="U490" i="8" s="1"/>
  <c r="T490" i="8" a="1"/>
  <c r="T490" i="8"/>
  <c r="S490" i="8" a="1"/>
  <c r="S490" i="8" s="1"/>
  <c r="R490" i="8" a="1"/>
  <c r="R490" i="8" s="1"/>
  <c r="Q490" i="8" a="1"/>
  <c r="Q490" i="8" s="1"/>
  <c r="P490" i="8" a="1"/>
  <c r="P490" i="8"/>
  <c r="X489" i="8" a="1"/>
  <c r="X489" i="8" s="1"/>
  <c r="W489" i="8" a="1"/>
  <c r="W489" i="8"/>
  <c r="V489" i="8" a="1"/>
  <c r="V489" i="8" s="1"/>
  <c r="U489" i="8" a="1"/>
  <c r="U489" i="8" s="1"/>
  <c r="T489" i="8" a="1"/>
  <c r="T489" i="8" s="1"/>
  <c r="S489" i="8" a="1"/>
  <c r="S489" i="8" s="1"/>
  <c r="R489" i="8" a="1"/>
  <c r="R489" i="8" s="1"/>
  <c r="Q489" i="8" a="1"/>
  <c r="Q489" i="8"/>
  <c r="P489" i="8" a="1"/>
  <c r="P489" i="8" s="1"/>
  <c r="X488" i="8" a="1"/>
  <c r="X488" i="8"/>
  <c r="W488" i="8" a="1"/>
  <c r="W488" i="8" s="1"/>
  <c r="V488" i="8" a="1"/>
  <c r="V488" i="8" s="1"/>
  <c r="U488" i="8" a="1"/>
  <c r="U488" i="8" s="1"/>
  <c r="T488" i="8" a="1"/>
  <c r="T488" i="8" s="1"/>
  <c r="S488" i="8" a="1"/>
  <c r="S488" i="8" s="1"/>
  <c r="R488" i="8" a="1"/>
  <c r="R488" i="8"/>
  <c r="Q488" i="8" a="1"/>
  <c r="Q488" i="8" s="1"/>
  <c r="P488" i="8" a="1"/>
  <c r="P488" i="8" s="1"/>
  <c r="X487" i="8" a="1"/>
  <c r="X487" i="8" s="1"/>
  <c r="W487" i="8" a="1"/>
  <c r="W487" i="8" s="1"/>
  <c r="V487" i="8" a="1"/>
  <c r="V487" i="8"/>
  <c r="U487" i="8" a="1"/>
  <c r="U487" i="8"/>
  <c r="T487" i="8" a="1"/>
  <c r="T487" i="8" s="1"/>
  <c r="S487" i="8" a="1"/>
  <c r="S487" i="8" s="1"/>
  <c r="R487" i="8" a="1"/>
  <c r="R487" i="8" s="1"/>
  <c r="Q487" i="8" a="1"/>
  <c r="Q487" i="8" s="1"/>
  <c r="P487" i="8" a="1"/>
  <c r="P487" i="8"/>
  <c r="X486" i="8" a="1"/>
  <c r="X486" i="8" s="1"/>
  <c r="W486" i="8" a="1"/>
  <c r="W486" i="8" s="1"/>
  <c r="V486" i="8" a="1"/>
  <c r="V486" i="8" s="1"/>
  <c r="U486" i="8" a="1"/>
  <c r="U486" i="8" s="1"/>
  <c r="T486" i="8" a="1"/>
  <c r="T486" i="8" s="1"/>
  <c r="S486" i="8" a="1"/>
  <c r="S486" i="8" s="1"/>
  <c r="R486" i="8" a="1"/>
  <c r="R486" i="8"/>
  <c r="Q486" i="8" a="1"/>
  <c r="Q486" i="8"/>
  <c r="P486" i="8" a="1"/>
  <c r="P486" i="8"/>
  <c r="X485" i="8" a="1"/>
  <c r="X485" i="8" s="1"/>
  <c r="W485" i="8" a="1"/>
  <c r="W485" i="8"/>
  <c r="V485" i="8" a="1"/>
  <c r="V485" i="8" s="1"/>
  <c r="U485" i="8" a="1"/>
  <c r="U485" i="8"/>
  <c r="T485" i="8" a="1"/>
  <c r="T485" i="8" s="1"/>
  <c r="S485" i="8" a="1"/>
  <c r="S485" i="8" s="1"/>
  <c r="R485" i="8" a="1"/>
  <c r="R485" i="8" s="1"/>
  <c r="Q485" i="8" a="1"/>
  <c r="Q485" i="8" s="1"/>
  <c r="P485" i="8" a="1"/>
  <c r="P485" i="8"/>
  <c r="X484" i="8" a="1"/>
  <c r="X484" i="8"/>
  <c r="W484" i="8" a="1"/>
  <c r="W484" i="8" s="1"/>
  <c r="V484" i="8" a="1"/>
  <c r="V484" i="8" s="1"/>
  <c r="U484" i="8" a="1"/>
  <c r="U484" i="8" s="1"/>
  <c r="T484" i="8" a="1"/>
  <c r="T484" i="8" s="1"/>
  <c r="S484" i="8" a="1"/>
  <c r="S484" i="8"/>
  <c r="R484" i="8" a="1"/>
  <c r="R484" i="8" s="1"/>
  <c r="Q484" i="8" a="1"/>
  <c r="Q484" i="8" s="1"/>
  <c r="P484" i="8" a="1"/>
  <c r="P484" i="8" s="1"/>
  <c r="X483" i="8" a="1"/>
  <c r="X483" i="8" s="1"/>
  <c r="W483" i="8" a="1"/>
  <c r="W483" i="8" s="1"/>
  <c r="V483" i="8" a="1"/>
  <c r="V483" i="8"/>
  <c r="U483" i="8" a="1"/>
  <c r="U483" i="8" s="1"/>
  <c r="T483" i="8" a="1"/>
  <c r="T483" i="8" s="1"/>
  <c r="S483" i="8" a="1"/>
  <c r="S483" i="8"/>
  <c r="R483" i="8" a="1"/>
  <c r="R483" i="8" s="1"/>
  <c r="Q483" i="8" a="1"/>
  <c r="Q483" i="8" s="1"/>
  <c r="P483" i="8" a="1"/>
  <c r="P483" i="8" s="1"/>
  <c r="X482" i="8" a="1"/>
  <c r="X482" i="8" s="1"/>
  <c r="W482" i="8" a="1"/>
  <c r="W482" i="8" s="1"/>
  <c r="V482" i="8" a="1"/>
  <c r="V482" i="8"/>
  <c r="U482" i="8" a="1"/>
  <c r="U482" i="8" s="1"/>
  <c r="T482" i="8" a="1"/>
  <c r="T482" i="8" s="1"/>
  <c r="S482" i="8" a="1"/>
  <c r="S482" i="8" s="1"/>
  <c r="R482" i="8" a="1"/>
  <c r="R482" i="8" s="1"/>
  <c r="Q482" i="8" a="1"/>
  <c r="Q482" i="8"/>
  <c r="P482" i="8" a="1"/>
  <c r="P482" i="8" s="1"/>
  <c r="X481" i="8" a="1"/>
  <c r="X481" i="8" s="1"/>
  <c r="W481" i="8" a="1"/>
  <c r="W481" i="8" s="1"/>
  <c r="V481" i="8" a="1"/>
  <c r="V481" i="8" s="1"/>
  <c r="U481" i="8" a="1"/>
  <c r="U481" i="8" s="1"/>
  <c r="T481" i="8" a="1"/>
  <c r="T481" i="8"/>
  <c r="S481" i="8" a="1"/>
  <c r="S481" i="8" s="1"/>
  <c r="R481" i="8" a="1"/>
  <c r="R481" i="8"/>
  <c r="Q481" i="8" a="1"/>
  <c r="Q481" i="8" s="1"/>
  <c r="P481" i="8" a="1"/>
  <c r="P481" i="8" s="1"/>
  <c r="X480" i="8" a="1"/>
  <c r="X480" i="8" s="1"/>
  <c r="W480" i="8" a="1"/>
  <c r="W480" i="8"/>
  <c r="V480" i="8" a="1"/>
  <c r="V480" i="8" s="1"/>
  <c r="U480" i="8" a="1"/>
  <c r="U480" i="8" s="1"/>
  <c r="T480" i="8" a="1"/>
  <c r="T480" i="8" s="1"/>
  <c r="S480" i="8" a="1"/>
  <c r="S480" i="8" s="1"/>
  <c r="R480" i="8" a="1"/>
  <c r="R480" i="8" s="1"/>
  <c r="Q480" i="8" a="1"/>
  <c r="Q480" i="8" s="1"/>
  <c r="P480" i="8" a="1"/>
  <c r="P480" i="8"/>
  <c r="X479" i="8" a="1"/>
  <c r="X479" i="8" s="1"/>
  <c r="W479" i="8" a="1"/>
  <c r="W479" i="8"/>
  <c r="V479" i="8" a="1"/>
  <c r="V479" i="8" s="1"/>
  <c r="U479" i="8" a="1"/>
  <c r="U479" i="8" s="1"/>
  <c r="T479" i="8" a="1"/>
  <c r="T479" i="8" s="1"/>
  <c r="S479" i="8" a="1"/>
  <c r="S479" i="8" s="1"/>
  <c r="R479" i="8" a="1"/>
  <c r="R479" i="8" s="1"/>
  <c r="Q479" i="8" a="1"/>
  <c r="Q479" i="8" s="1"/>
  <c r="P479" i="8" a="1"/>
  <c r="P479" i="8"/>
  <c r="X478" i="8" a="1"/>
  <c r="X478" i="8" s="1"/>
  <c r="W478" i="8" a="1"/>
  <c r="W478" i="8" s="1"/>
  <c r="V478" i="8" a="1"/>
  <c r="V478" i="8" s="1"/>
  <c r="U478" i="8" a="1"/>
  <c r="U478" i="8"/>
  <c r="T478" i="8" a="1"/>
  <c r="T478" i="8" s="1"/>
  <c r="S478" i="8" a="1"/>
  <c r="S478" i="8"/>
  <c r="R478" i="8" a="1"/>
  <c r="R478" i="8" s="1"/>
  <c r="Q478" i="8" a="1"/>
  <c r="Q478" i="8" s="1"/>
  <c r="P478" i="8" a="1"/>
  <c r="P478" i="8" s="1"/>
  <c r="X477" i="8" a="1"/>
  <c r="X477" i="8"/>
  <c r="W477" i="8" a="1"/>
  <c r="W477" i="8" s="1"/>
  <c r="V477" i="8" a="1"/>
  <c r="V477" i="8"/>
  <c r="U477" i="8" a="1"/>
  <c r="U477" i="8" s="1"/>
  <c r="T477" i="8" a="1"/>
  <c r="T477" i="8" s="1"/>
  <c r="S477" i="8" a="1"/>
  <c r="S477" i="8" s="1"/>
  <c r="R477" i="8" a="1"/>
  <c r="R477" i="8" s="1"/>
  <c r="Q477" i="8" a="1"/>
  <c r="Q477" i="8"/>
  <c r="P477" i="8" a="1"/>
  <c r="P477" i="8" s="1"/>
  <c r="X476" i="8" a="1"/>
  <c r="X476" i="8" s="1"/>
  <c r="W476" i="8" a="1"/>
  <c r="W476" i="8" s="1"/>
  <c r="V476" i="8" a="1"/>
  <c r="V476" i="8" s="1"/>
  <c r="U476" i="8" a="1"/>
  <c r="U476" i="8" s="1"/>
  <c r="T476" i="8" a="1"/>
  <c r="T476" i="8"/>
  <c r="S476" i="8" a="1"/>
  <c r="S476" i="8" s="1"/>
  <c r="R476" i="8" a="1"/>
  <c r="R476" i="8" s="1"/>
  <c r="Q476" i="8" a="1"/>
  <c r="Q476" i="8"/>
  <c r="P476" i="8" a="1"/>
  <c r="P476" i="8" s="1"/>
  <c r="X475" i="8" a="1"/>
  <c r="X475" i="8" s="1"/>
  <c r="W475" i="8" a="1"/>
  <c r="W475" i="8" s="1"/>
  <c r="V475" i="8" a="1"/>
  <c r="V475" i="8" s="1"/>
  <c r="U475" i="8" a="1"/>
  <c r="U475" i="8" s="1"/>
  <c r="T475" i="8" a="1"/>
  <c r="T475" i="8"/>
  <c r="S475" i="8" a="1"/>
  <c r="S475" i="8" s="1"/>
  <c r="R475" i="8" a="1"/>
  <c r="R475" i="8" s="1"/>
  <c r="Q475" i="8" a="1"/>
  <c r="Q475" i="8" s="1"/>
  <c r="P475" i="8" a="1"/>
  <c r="P475" i="8" s="1"/>
  <c r="X474" i="8" a="1"/>
  <c r="X474" i="8" s="1"/>
  <c r="W474" i="8" a="1"/>
  <c r="W474" i="8"/>
  <c r="V474" i="8" a="1"/>
  <c r="V474" i="8" s="1"/>
  <c r="U474" i="8" a="1"/>
  <c r="U474" i="8" s="1"/>
  <c r="T474" i="8" a="1"/>
  <c r="T474" i="8" s="1"/>
  <c r="S474" i="8" a="1"/>
  <c r="S474" i="8" s="1"/>
  <c r="R474" i="8" a="1"/>
  <c r="R474" i="8"/>
  <c r="Q474" i="8" a="1"/>
  <c r="Q474" i="8" s="1"/>
  <c r="P474" i="8" a="1"/>
  <c r="P474" i="8"/>
  <c r="X473" i="8" a="1"/>
  <c r="X473" i="8" s="1"/>
  <c r="W473" i="8" a="1"/>
  <c r="W473" i="8" s="1"/>
  <c r="V473" i="8" a="1"/>
  <c r="V473" i="8" s="1"/>
  <c r="U473" i="8" a="1"/>
  <c r="U473" i="8"/>
  <c r="T473" i="8" a="1"/>
  <c r="T473" i="8" s="1"/>
  <c r="S473" i="8" a="1"/>
  <c r="S473" i="8" s="1"/>
  <c r="R473" i="8" a="1"/>
  <c r="R473" i="8" s="1"/>
  <c r="Q473" i="8" a="1"/>
  <c r="Q473" i="8" s="1"/>
  <c r="P473" i="8" a="1"/>
  <c r="P473" i="8" s="1"/>
  <c r="X472" i="8" a="1"/>
  <c r="X472" i="8"/>
  <c r="W472" i="8" a="1"/>
  <c r="W472" i="8" s="1"/>
  <c r="V472" i="8" a="1"/>
  <c r="V472" i="8" s="1"/>
  <c r="U472" i="8" a="1"/>
  <c r="U472" i="8"/>
  <c r="T472" i="8" a="1"/>
  <c r="T472" i="8" s="1"/>
  <c r="S472" i="8" a="1"/>
  <c r="S472" i="8" s="1"/>
  <c r="R472" i="8" a="1"/>
  <c r="R472" i="8" s="1"/>
  <c r="Q472" i="8" a="1"/>
  <c r="Q472" i="8" s="1"/>
  <c r="P472" i="8" a="1"/>
  <c r="P472" i="8" s="1"/>
  <c r="X471" i="8" a="1"/>
  <c r="X471" i="8"/>
  <c r="W471" i="8" a="1"/>
  <c r="W471" i="8" s="1"/>
  <c r="V471" i="8" a="1"/>
  <c r="V471" i="8" s="1"/>
  <c r="U471" i="8" a="1"/>
  <c r="U471" i="8" s="1"/>
  <c r="T471" i="8" a="1"/>
  <c r="T471" i="8" s="1"/>
  <c r="S471" i="8" a="1"/>
  <c r="S471" i="8"/>
  <c r="R471" i="8" a="1"/>
  <c r="R471" i="8" s="1"/>
  <c r="Q471" i="8" a="1"/>
  <c r="Q471" i="8"/>
  <c r="P471" i="8" a="1"/>
  <c r="P471" i="8" s="1"/>
  <c r="X470" i="8" a="1"/>
  <c r="X470" i="8" s="1"/>
  <c r="W470" i="8" a="1"/>
  <c r="W470" i="8" s="1"/>
  <c r="V470" i="8" a="1"/>
  <c r="V470" i="8"/>
  <c r="U470" i="8" a="1"/>
  <c r="U470" i="8" s="1"/>
  <c r="T470" i="8" a="1"/>
  <c r="T470" i="8"/>
  <c r="S470" i="8" a="1"/>
  <c r="S470" i="8" s="1"/>
  <c r="R470" i="8" a="1"/>
  <c r="R470" i="8" s="1"/>
  <c r="Q470" i="8" a="1"/>
  <c r="Q470" i="8" s="1"/>
  <c r="P470" i="8" a="1"/>
  <c r="P470" i="8" s="1"/>
  <c r="X469" i="8" a="1"/>
  <c r="X469" i="8" s="1"/>
  <c r="W469" i="8" a="1"/>
  <c r="W469" i="8" s="1"/>
  <c r="V469" i="8" a="1"/>
  <c r="V469" i="8"/>
  <c r="U469" i="8" a="1"/>
  <c r="U469" i="8"/>
  <c r="T469" i="8" a="1"/>
  <c r="T469" i="8"/>
  <c r="S469" i="8" a="1"/>
  <c r="S469" i="8" s="1"/>
  <c r="R469" i="8" a="1"/>
  <c r="R469" i="8" s="1"/>
  <c r="Q469" i="8" a="1"/>
  <c r="Q469" i="8" s="1"/>
  <c r="P469" i="8" a="1"/>
  <c r="P469" i="8"/>
  <c r="X468" i="8" a="1"/>
  <c r="X468" i="8" s="1"/>
  <c r="W468" i="8" a="1"/>
  <c r="W468" i="8" s="1"/>
  <c r="V468" i="8" a="1"/>
  <c r="V468" i="8"/>
  <c r="U468" i="8" a="1"/>
  <c r="U468" i="8" s="1"/>
  <c r="T468" i="8" a="1"/>
  <c r="T468" i="8"/>
  <c r="S468" i="8" a="1"/>
  <c r="S468" i="8"/>
  <c r="R468" i="8" a="1"/>
  <c r="R468" i="8"/>
  <c r="Q468" i="8" a="1"/>
  <c r="Q468" i="8"/>
  <c r="P468" i="8" a="1"/>
  <c r="P468" i="8" s="1"/>
  <c r="X467" i="8" a="1"/>
  <c r="X467" i="8" s="1"/>
  <c r="W467" i="8" a="1"/>
  <c r="W467" i="8"/>
  <c r="V467" i="8" a="1"/>
  <c r="V467" i="8" s="1"/>
  <c r="U467" i="8" a="1"/>
  <c r="U467" i="8" s="1"/>
  <c r="T467" i="8" a="1"/>
  <c r="T467" i="8" s="1"/>
  <c r="S467" i="8" a="1"/>
  <c r="S467" i="8" s="1"/>
  <c r="R467" i="8" a="1"/>
  <c r="R467" i="8" s="1"/>
  <c r="Q467" i="8" a="1"/>
  <c r="Q467" i="8"/>
  <c r="P467" i="8" a="1"/>
  <c r="P467" i="8"/>
  <c r="X466" i="8" a="1"/>
  <c r="X466" i="8"/>
  <c r="W466" i="8" a="1"/>
  <c r="W466" i="8" s="1"/>
  <c r="V466" i="8" a="1"/>
  <c r="V466" i="8"/>
  <c r="U466" i="8" a="1"/>
  <c r="U466" i="8" s="1"/>
  <c r="T466" i="8" a="1"/>
  <c r="T466" i="8"/>
  <c r="S466" i="8" a="1"/>
  <c r="S466" i="8" s="1"/>
  <c r="R466" i="8" a="1"/>
  <c r="R466" i="8" s="1"/>
  <c r="Q466" i="8" a="1"/>
  <c r="Q466" i="8" s="1"/>
  <c r="P466" i="8" a="1"/>
  <c r="P466" i="8" s="1"/>
  <c r="X465" i="8" a="1"/>
  <c r="X465" i="8"/>
  <c r="W465" i="8" a="1"/>
  <c r="W465" i="8"/>
  <c r="V465" i="8" a="1"/>
  <c r="V465" i="8"/>
  <c r="U465" i="8" a="1"/>
  <c r="U465" i="8" s="1"/>
  <c r="T465" i="8" a="1"/>
  <c r="T465" i="8" s="1"/>
  <c r="S465" i="8" a="1"/>
  <c r="S465" i="8"/>
  <c r="R465" i="8" a="1"/>
  <c r="R465" i="8" s="1"/>
  <c r="Q465" i="8" a="1"/>
  <c r="Q465" i="8"/>
  <c r="P465" i="8" a="1"/>
  <c r="P465" i="8" s="1"/>
  <c r="X464" i="8" a="1"/>
  <c r="X464" i="8"/>
  <c r="W464" i="8" a="1"/>
  <c r="W464" i="8" s="1"/>
  <c r="V464" i="8" a="1"/>
  <c r="V464" i="8" s="1"/>
  <c r="U464" i="8" a="1"/>
  <c r="U464" i="8"/>
  <c r="T464" i="8" a="1"/>
  <c r="T464" i="8"/>
  <c r="S464" i="8" a="1"/>
  <c r="S464" i="8" s="1"/>
  <c r="R464" i="8" a="1"/>
  <c r="R464" i="8" s="1"/>
  <c r="Q464" i="8" a="1"/>
  <c r="Q464" i="8" s="1"/>
  <c r="P464" i="8" a="1"/>
  <c r="P464" i="8"/>
  <c r="X463" i="8" a="1"/>
  <c r="X463" i="8"/>
  <c r="W463" i="8" a="1"/>
  <c r="W463" i="8" s="1"/>
  <c r="V463" i="8" a="1"/>
  <c r="V463" i="8"/>
  <c r="U463" i="8" a="1"/>
  <c r="U463" i="8"/>
  <c r="T463" i="8" a="1"/>
  <c r="T463" i="8" s="1"/>
  <c r="S463" i="8" a="1"/>
  <c r="S463" i="8" s="1"/>
  <c r="R463" i="8" a="1"/>
  <c r="R463" i="8"/>
  <c r="Q463" i="8" a="1"/>
  <c r="Q463" i="8" s="1"/>
  <c r="P463" i="8" a="1"/>
  <c r="P463" i="8" s="1"/>
  <c r="X462" i="8" a="1"/>
  <c r="X462" i="8" s="1"/>
  <c r="W462" i="8" a="1"/>
  <c r="W462" i="8"/>
  <c r="V462" i="8" a="1"/>
  <c r="V462" i="8" s="1"/>
  <c r="U462" i="8" a="1"/>
  <c r="U462" i="8" s="1"/>
  <c r="T462" i="8" a="1"/>
  <c r="T462" i="8"/>
  <c r="S462" i="8" a="1"/>
  <c r="S462" i="8"/>
  <c r="R462" i="8" a="1"/>
  <c r="R462" i="8"/>
  <c r="Q462" i="8" a="1"/>
  <c r="Q462" i="8" s="1"/>
  <c r="P462" i="8" a="1"/>
  <c r="P462" i="8" s="1"/>
  <c r="X461" i="8" a="1"/>
  <c r="X461" i="8"/>
  <c r="W461" i="8" a="1"/>
  <c r="W461" i="8" s="1"/>
  <c r="V461" i="8" a="1"/>
  <c r="V461" i="8" s="1"/>
  <c r="U461" i="8" a="1"/>
  <c r="U461" i="8" s="1"/>
  <c r="T461" i="8" a="1"/>
  <c r="T461" i="8"/>
  <c r="S461" i="8" a="1"/>
  <c r="S461" i="8" s="1"/>
  <c r="R461" i="8" a="1"/>
  <c r="R461" i="8"/>
  <c r="Q461" i="8" a="1"/>
  <c r="Q461" i="8"/>
  <c r="P461" i="8" a="1"/>
  <c r="P461" i="8"/>
  <c r="X460" i="8" a="1"/>
  <c r="X460" i="8" s="1"/>
  <c r="W460" i="8" a="1"/>
  <c r="W460" i="8" s="1"/>
  <c r="V460" i="8" a="1"/>
  <c r="V460" i="8" s="1"/>
  <c r="U460" i="8" a="1"/>
  <c r="U460" i="8"/>
  <c r="T460" i="8" a="1"/>
  <c r="T460" i="8" s="1"/>
  <c r="S460" i="8" a="1"/>
  <c r="S460" i="8"/>
  <c r="R460" i="8" a="1"/>
  <c r="R460" i="8" s="1"/>
  <c r="Q460" i="8" a="1"/>
  <c r="Q460" i="8" s="1"/>
  <c r="P460" i="8" a="1"/>
  <c r="P460" i="8" s="1"/>
  <c r="X459" i="8" a="1"/>
  <c r="X459" i="8"/>
  <c r="W459" i="8" a="1"/>
  <c r="W459" i="8"/>
  <c r="V459" i="8" a="1"/>
  <c r="V459" i="8"/>
  <c r="U459" i="8" a="1"/>
  <c r="U459" i="8" s="1"/>
  <c r="T459" i="8" a="1"/>
  <c r="T459" i="8"/>
  <c r="S459" i="8" a="1"/>
  <c r="S459" i="8" s="1"/>
  <c r="R459" i="8" a="1"/>
  <c r="R459" i="8"/>
  <c r="Q459" i="8" a="1"/>
  <c r="Q459" i="8" s="1"/>
  <c r="P459" i="8" a="1"/>
  <c r="P459" i="8"/>
  <c r="X458" i="8" a="1"/>
  <c r="X458" i="8" s="1"/>
  <c r="W458" i="8" a="1"/>
  <c r="W458" i="8" s="1"/>
  <c r="V458" i="8" a="1"/>
  <c r="V458" i="8"/>
  <c r="U458" i="8" a="1"/>
  <c r="U458" i="8"/>
  <c r="T458" i="8" a="1"/>
  <c r="T458" i="8"/>
  <c r="S458" i="8" a="1"/>
  <c r="S458" i="8" s="1"/>
  <c r="R458" i="8" a="1"/>
  <c r="R458" i="8" s="1"/>
  <c r="Q458" i="8" a="1"/>
  <c r="Q458" i="8"/>
  <c r="P458" i="8" a="1"/>
  <c r="P458" i="8" s="1"/>
  <c r="X457" i="8" a="1"/>
  <c r="X457" i="8" s="1"/>
  <c r="W457" i="8" a="1"/>
  <c r="W457" i="8" s="1"/>
  <c r="V457" i="8" a="1"/>
  <c r="V457" i="8"/>
  <c r="U457" i="8" a="1"/>
  <c r="U457" i="8" s="1"/>
  <c r="T457" i="8" a="1"/>
  <c r="T457" i="8" s="1"/>
  <c r="S457" i="8" a="1"/>
  <c r="S457" i="8"/>
  <c r="R457" i="8" a="1"/>
  <c r="R457" i="8"/>
  <c r="Q457" i="8" a="1"/>
  <c r="Q457" i="8" s="1"/>
  <c r="P457" i="8" a="1"/>
  <c r="P457" i="8"/>
  <c r="X456" i="8" a="1"/>
  <c r="X456" i="8"/>
  <c r="W456" i="8" a="1"/>
  <c r="W456" i="8" s="1"/>
  <c r="V456" i="8" a="1"/>
  <c r="V456" i="8"/>
  <c r="U456" i="8" a="1"/>
  <c r="U456" i="8" s="1"/>
  <c r="T456" i="8" a="1"/>
  <c r="T456" i="8"/>
  <c r="S456" i="8" a="1"/>
  <c r="S456" i="8"/>
  <c r="R456" i="8" a="1"/>
  <c r="R456" i="8" s="1"/>
  <c r="Q456" i="8" a="1"/>
  <c r="Q456" i="8" s="1"/>
  <c r="P456" i="8" a="1"/>
  <c r="P456" i="8"/>
  <c r="X455" i="8" a="1"/>
  <c r="X455" i="8" s="1"/>
  <c r="W455" i="8" a="1"/>
  <c r="W455" i="8"/>
  <c r="V455" i="8" a="1"/>
  <c r="V455" i="8" s="1"/>
  <c r="U455" i="8" a="1"/>
  <c r="U455" i="8"/>
  <c r="T455" i="8" a="1"/>
  <c r="T455" i="8" s="1"/>
  <c r="S455" i="8" a="1"/>
  <c r="S455" i="8" s="1"/>
  <c r="R455" i="8" a="1"/>
  <c r="R455" i="8"/>
  <c r="Q455" i="8" a="1"/>
  <c r="Q455" i="8" s="1"/>
  <c r="P455" i="8" a="1"/>
  <c r="P455" i="8"/>
  <c r="X454" i="8" a="1"/>
  <c r="X454" i="8" s="1"/>
  <c r="W454" i="8" a="1"/>
  <c r="W454" i="8" s="1"/>
  <c r="V454" i="8" a="1"/>
  <c r="V454" i="8"/>
  <c r="U454" i="8" a="1"/>
  <c r="U454" i="8"/>
  <c r="T454" i="8" a="1"/>
  <c r="T454" i="8" s="1"/>
  <c r="S454" i="8" a="1"/>
  <c r="S454" i="8" s="1"/>
  <c r="R454" i="8" a="1"/>
  <c r="R454" i="8"/>
  <c r="Q454" i="8" a="1"/>
  <c r="Q454" i="8" s="1"/>
  <c r="P454" i="8" a="1"/>
  <c r="P454" i="8"/>
  <c r="X453" i="8" a="1"/>
  <c r="X453" i="8"/>
  <c r="W453" i="8" a="1"/>
  <c r="W453" i="8" s="1"/>
  <c r="V453" i="8" a="1"/>
  <c r="V453" i="8" s="1"/>
  <c r="U453" i="8" a="1"/>
  <c r="U453" i="8" s="1"/>
  <c r="T453" i="8" a="1"/>
  <c r="T453" i="8" s="1"/>
  <c r="S453" i="8" a="1"/>
  <c r="S453" i="8"/>
  <c r="R453" i="8" a="1"/>
  <c r="R453" i="8"/>
  <c r="Q453" i="8" a="1"/>
  <c r="Q453" i="8"/>
  <c r="P453" i="8" a="1"/>
  <c r="P453" i="8" s="1"/>
  <c r="X452" i="8" a="1"/>
  <c r="X452" i="8" s="1"/>
  <c r="W452" i="8" a="1"/>
  <c r="W452" i="8"/>
  <c r="V452" i="8" a="1"/>
  <c r="V452" i="8"/>
  <c r="U452" i="8" a="1"/>
  <c r="U452" i="8"/>
  <c r="T452" i="8" a="1"/>
  <c r="T452" i="8" s="1"/>
  <c r="S452" i="8" a="1"/>
  <c r="S452" i="8" s="1"/>
  <c r="R452" i="8" a="1"/>
  <c r="R452" i="8"/>
  <c r="Q452" i="8" a="1"/>
  <c r="Q452" i="8" s="1"/>
  <c r="P452" i="8" a="1"/>
  <c r="P452" i="8"/>
  <c r="X451" i="8" a="1"/>
  <c r="X451" i="8"/>
  <c r="W451" i="8" a="1"/>
  <c r="W451" i="8" s="1"/>
  <c r="V451" i="8" a="1"/>
  <c r="V451" i="8" s="1"/>
  <c r="U451" i="8" a="1"/>
  <c r="U451" i="8" s="1"/>
  <c r="T451" i="8" a="1"/>
  <c r="T451" i="8"/>
  <c r="S451" i="8" a="1"/>
  <c r="S451" i="8"/>
  <c r="R451" i="8" a="1"/>
  <c r="R451" i="8" s="1"/>
  <c r="Q451" i="8" a="1"/>
  <c r="Q451" i="8" s="1"/>
  <c r="P451" i="8" a="1"/>
  <c r="P451" i="8"/>
  <c r="X450" i="8" a="1"/>
  <c r="X450" i="8" s="1"/>
  <c r="W450" i="8" a="1"/>
  <c r="W450" i="8"/>
  <c r="V450" i="8" a="1"/>
  <c r="V450" i="8" s="1"/>
  <c r="U450" i="8" a="1"/>
  <c r="U450" i="8" s="1"/>
  <c r="T450" i="8" a="1"/>
  <c r="T450" i="8" s="1"/>
  <c r="S450" i="8" a="1"/>
  <c r="S450" i="8" s="1"/>
  <c r="R450" i="8" a="1"/>
  <c r="R450" i="8" s="1"/>
  <c r="Q450" i="8" a="1"/>
  <c r="Q450" i="8" s="1"/>
  <c r="P450" i="8" a="1"/>
  <c r="P450" i="8"/>
  <c r="X449" i="8" a="1"/>
  <c r="X449" i="8" s="1"/>
  <c r="W449" i="8" a="1"/>
  <c r="W449" i="8"/>
  <c r="V449" i="8" a="1"/>
  <c r="V449" i="8"/>
  <c r="U449" i="8" a="1"/>
  <c r="U449" i="8" s="1"/>
  <c r="T449" i="8" a="1"/>
  <c r="T449" i="8"/>
  <c r="S449" i="8" a="1"/>
  <c r="S449" i="8" s="1"/>
  <c r="R449" i="8" a="1"/>
  <c r="R449" i="8"/>
  <c r="Q449" i="8" a="1"/>
  <c r="Q449" i="8" s="1"/>
  <c r="P449" i="8" a="1"/>
  <c r="P449" i="8" s="1"/>
  <c r="X448" i="8" a="1"/>
  <c r="X448" i="8" s="1"/>
  <c r="W448" i="8" a="1"/>
  <c r="W448" i="8" s="1"/>
  <c r="V448" i="8" a="1"/>
  <c r="V448" i="8"/>
  <c r="U448" i="8" a="1"/>
  <c r="U448" i="8"/>
  <c r="T448" i="8" a="1"/>
  <c r="T448" i="8"/>
  <c r="S448" i="8" a="1"/>
  <c r="S448" i="8"/>
  <c r="R448" i="8" a="1"/>
  <c r="R448" i="8" s="1"/>
  <c r="Q448" i="8" a="1"/>
  <c r="Q448" i="8" s="1"/>
  <c r="P448" i="8" a="1"/>
  <c r="P448" i="8"/>
  <c r="X447" i="8" a="1"/>
  <c r="X447" i="8"/>
  <c r="W447" i="8" a="1"/>
  <c r="W447" i="8" s="1"/>
  <c r="V447" i="8" a="1"/>
  <c r="V447" i="8" s="1"/>
  <c r="U447" i="8" a="1"/>
  <c r="U447" i="8" s="1"/>
  <c r="T447" i="8" a="1"/>
  <c r="T447" i="8"/>
  <c r="S447" i="8" a="1"/>
  <c r="S447" i="8" s="1"/>
  <c r="R447" i="8" a="1"/>
  <c r="R447" i="8"/>
  <c r="Q447" i="8" a="1"/>
  <c r="Q447" i="8"/>
  <c r="P447" i="8" a="1"/>
  <c r="P447" i="8"/>
  <c r="X446" i="8" a="1"/>
  <c r="X446" i="8" s="1"/>
  <c r="W446" i="8" a="1"/>
  <c r="W446" i="8"/>
  <c r="V446" i="8" a="1"/>
  <c r="V446" i="8"/>
  <c r="U446" i="8" a="1"/>
  <c r="U446" i="8" s="1"/>
  <c r="T446" i="8" a="1"/>
  <c r="T446" i="8" s="1"/>
  <c r="S446" i="8" a="1"/>
  <c r="S446" i="8" s="1"/>
  <c r="R446" i="8" a="1"/>
  <c r="R446" i="8" s="1"/>
  <c r="Q446" i="8" a="1"/>
  <c r="Q446" i="8"/>
  <c r="P446" i="8" a="1"/>
  <c r="P446" i="8"/>
  <c r="X445" i="8" a="1"/>
  <c r="X445" i="8" s="1"/>
  <c r="W445" i="8" a="1"/>
  <c r="W445" i="8" s="1"/>
  <c r="V445" i="8" a="1"/>
  <c r="V445" i="8" s="1"/>
  <c r="U445" i="8" a="1"/>
  <c r="U445" i="8" s="1"/>
  <c r="T445" i="8" a="1"/>
  <c r="T445" i="8"/>
  <c r="S445" i="8" a="1"/>
  <c r="S445" i="8"/>
  <c r="R445" i="8" a="1"/>
  <c r="R445" i="8" s="1"/>
  <c r="Q445" i="8" a="1"/>
  <c r="Q445" i="8" s="1"/>
  <c r="P445" i="8" a="1"/>
  <c r="P445" i="8"/>
  <c r="X444" i="8" a="1"/>
  <c r="X444" i="8"/>
  <c r="W444" i="8" a="1"/>
  <c r="W444" i="8"/>
  <c r="V444" i="8" a="1"/>
  <c r="V444" i="8" s="1"/>
  <c r="U444" i="8" a="1"/>
  <c r="U444" i="8" s="1"/>
  <c r="T444" i="8" a="1"/>
  <c r="T444" i="8" s="1"/>
  <c r="S444" i="8" a="1"/>
  <c r="S444" i="8" s="1"/>
  <c r="R444" i="8" a="1"/>
  <c r="R444" i="8" s="1"/>
  <c r="Q444" i="8" a="1"/>
  <c r="Q444" i="8"/>
  <c r="P444" i="8" a="1"/>
  <c r="P444" i="8"/>
  <c r="X443" i="8" a="1"/>
  <c r="X443" i="8"/>
  <c r="W443" i="8" a="1"/>
  <c r="W443" i="8"/>
  <c r="V443" i="8" a="1"/>
  <c r="V443" i="8" s="1"/>
  <c r="U443" i="8" a="1"/>
  <c r="U443" i="8"/>
  <c r="T443" i="8" a="1"/>
  <c r="T443" i="8" s="1"/>
  <c r="S443" i="8" a="1"/>
  <c r="S443" i="8" s="1"/>
  <c r="R443" i="8" a="1"/>
  <c r="R443" i="8"/>
  <c r="Q443" i="8" a="1"/>
  <c r="Q443" i="8" s="1"/>
  <c r="P443" i="8" a="1"/>
  <c r="P443" i="8" s="1"/>
  <c r="X442" i="8" a="1"/>
  <c r="X442" i="8"/>
  <c r="W442" i="8" a="1"/>
  <c r="W442" i="8" s="1"/>
  <c r="V442" i="8" a="1"/>
  <c r="V442" i="8" s="1"/>
  <c r="U442" i="8" a="1"/>
  <c r="U442" i="8" s="1"/>
  <c r="T442" i="8" a="1"/>
  <c r="T442" i="8"/>
  <c r="S442" i="8" a="1"/>
  <c r="S442" i="8" s="1"/>
  <c r="R442" i="8" a="1"/>
  <c r="R442" i="8"/>
  <c r="Q442" i="8" a="1"/>
  <c r="Q442" i="8" s="1"/>
  <c r="P442" i="8" a="1"/>
  <c r="P442" i="8"/>
  <c r="X441" i="8" a="1"/>
  <c r="X441" i="8" s="1"/>
  <c r="W441" i="8" a="1"/>
  <c r="W441" i="8" s="1"/>
  <c r="V441" i="8" a="1"/>
  <c r="V441" i="8" s="1"/>
  <c r="U441" i="8" a="1"/>
  <c r="U441" i="8" s="1"/>
  <c r="T441" i="8" a="1"/>
  <c r="T441" i="8"/>
  <c r="S441" i="8" a="1"/>
  <c r="S441" i="8" s="1"/>
  <c r="R441" i="8" a="1"/>
  <c r="R441" i="8"/>
  <c r="Q441" i="8" a="1"/>
  <c r="Q441" i="8"/>
  <c r="P441" i="8" a="1"/>
  <c r="P441" i="8" s="1"/>
  <c r="X440" i="8" a="1"/>
  <c r="X440" i="8"/>
  <c r="W440" i="8" a="1"/>
  <c r="W440" i="8"/>
  <c r="V440" i="8" a="1"/>
  <c r="V440" i="8"/>
  <c r="U440" i="8" a="1"/>
  <c r="U440" i="8" s="1"/>
  <c r="T440" i="8" a="1"/>
  <c r="T440" i="8" s="1"/>
  <c r="S440" i="8" a="1"/>
  <c r="S440" i="8" s="1"/>
  <c r="R440" i="8" a="1"/>
  <c r="R440" i="8"/>
  <c r="Q440" i="8" a="1"/>
  <c r="Q440" i="8" s="1"/>
  <c r="P440" i="8" a="1"/>
  <c r="P440" i="8"/>
  <c r="X439" i="8" a="1"/>
  <c r="X439" i="8"/>
  <c r="W439" i="8" a="1"/>
  <c r="W439" i="8" s="1"/>
  <c r="V439" i="8" a="1"/>
  <c r="V439" i="8" s="1"/>
  <c r="U439" i="8" a="1"/>
  <c r="U439" i="8"/>
  <c r="T439" i="8" a="1"/>
  <c r="T439" i="8" s="1"/>
  <c r="S439" i="8" a="1"/>
  <c r="S439" i="8"/>
  <c r="R439" i="8" a="1"/>
  <c r="R439" i="8" s="1"/>
  <c r="Q439" i="8" a="1"/>
  <c r="Q439" i="8" s="1"/>
  <c r="P439" i="8" a="1"/>
  <c r="P439" i="8" s="1"/>
  <c r="X438" i="8" a="1"/>
  <c r="X438" i="8"/>
  <c r="W438" i="8" a="1"/>
  <c r="W438" i="8"/>
  <c r="V438" i="8" a="1"/>
  <c r="V438" i="8"/>
  <c r="U438" i="8" a="1"/>
  <c r="U438" i="8" s="1"/>
  <c r="T438" i="8" a="1"/>
  <c r="T438" i="8" s="1"/>
  <c r="S438" i="8" a="1"/>
  <c r="S438" i="8" s="1"/>
  <c r="R438" i="8" a="1"/>
  <c r="R438" i="8"/>
  <c r="Q438" i="8" a="1"/>
  <c r="Q438" i="8" s="1"/>
  <c r="P438" i="8" a="1"/>
  <c r="P438" i="8"/>
  <c r="X437" i="8" a="1"/>
  <c r="X437" i="8"/>
  <c r="W437" i="8" a="1"/>
  <c r="W437" i="8" s="1"/>
  <c r="V437" i="8" a="1"/>
  <c r="V437" i="8"/>
  <c r="U437" i="8" a="1"/>
  <c r="U437" i="8"/>
  <c r="T437" i="8" a="1"/>
  <c r="T437" i="8" s="1"/>
  <c r="S437" i="8" a="1"/>
  <c r="S437" i="8" s="1"/>
  <c r="R437" i="8" a="1"/>
  <c r="R437" i="8" s="1"/>
  <c r="Q437" i="8" a="1"/>
  <c r="Q437" i="8" s="1"/>
  <c r="P437" i="8" a="1"/>
  <c r="P437" i="8" s="1"/>
  <c r="X436" i="8" a="1"/>
  <c r="X436" i="8" s="1"/>
  <c r="W436" i="8" a="1"/>
  <c r="W436" i="8" s="1"/>
  <c r="V436" i="8" a="1"/>
  <c r="V436" i="8"/>
  <c r="U436" i="8" a="1"/>
  <c r="U436" i="8"/>
  <c r="T436" i="8" a="1"/>
  <c r="T436" i="8" s="1"/>
  <c r="S436" i="8" a="1"/>
  <c r="S436" i="8"/>
  <c r="R436" i="8" a="1"/>
  <c r="R436" i="8"/>
  <c r="Q436" i="8" a="1"/>
  <c r="Q436" i="8" s="1"/>
  <c r="P436" i="8" a="1"/>
  <c r="P436" i="8"/>
  <c r="X435" i="8" a="1"/>
  <c r="X435" i="8" s="1"/>
  <c r="W435" i="8" a="1"/>
  <c r="W435" i="8" s="1"/>
  <c r="V435" i="8" a="1"/>
  <c r="V435" i="8"/>
  <c r="U435" i="8" a="1"/>
  <c r="U435" i="8" s="1"/>
  <c r="T435" i="8" a="1"/>
  <c r="T435" i="8"/>
  <c r="S435" i="8" a="1"/>
  <c r="S435" i="8" s="1"/>
  <c r="R435" i="8" a="1"/>
  <c r="R435" i="8"/>
  <c r="Q435" i="8" a="1"/>
  <c r="Q435" i="8" s="1"/>
  <c r="P435" i="8" a="1"/>
  <c r="P435" i="8"/>
  <c r="X434" i="8" a="1"/>
  <c r="X434" i="8"/>
  <c r="W434" i="8" a="1"/>
  <c r="W434" i="8"/>
  <c r="V434" i="8" a="1"/>
  <c r="V434" i="8" s="1"/>
  <c r="U434" i="8" a="1"/>
  <c r="U434" i="8" s="1"/>
  <c r="T434" i="8" a="1"/>
  <c r="T434" i="8" s="1"/>
  <c r="S434" i="8" a="1"/>
  <c r="S434" i="8" s="1"/>
  <c r="R434" i="8" a="1"/>
  <c r="R434" i="8"/>
  <c r="Q434" i="8" a="1"/>
  <c r="Q434" i="8" s="1"/>
  <c r="P434" i="8" a="1"/>
  <c r="P434" i="8"/>
  <c r="X433" i="8" a="1"/>
  <c r="X433" i="8" s="1"/>
  <c r="W433" i="8" a="1"/>
  <c r="W433" i="8"/>
  <c r="V433" i="8" a="1"/>
  <c r="V433" i="8"/>
  <c r="U433" i="8" a="1"/>
  <c r="U433" i="8"/>
  <c r="T433" i="8" a="1"/>
  <c r="T433" i="8" s="1"/>
  <c r="S433" i="8" a="1"/>
  <c r="S433" i="8"/>
  <c r="R433" i="8" a="1"/>
  <c r="R433" i="8" s="1"/>
  <c r="Q433" i="8" a="1"/>
  <c r="Q433" i="8"/>
  <c r="P433" i="8" a="1"/>
  <c r="P433" i="8" s="1"/>
  <c r="X432" i="8" a="1"/>
  <c r="X432" i="8"/>
  <c r="W432" i="8" a="1"/>
  <c r="W432" i="8"/>
  <c r="V432" i="8" a="1"/>
  <c r="V432" i="8" s="1"/>
  <c r="U432" i="8" a="1"/>
  <c r="U432" i="8"/>
  <c r="T432" i="8" a="1"/>
  <c r="T432" i="8" s="1"/>
  <c r="S432" i="8" a="1"/>
  <c r="S432" i="8"/>
  <c r="R432" i="8" a="1"/>
  <c r="R432" i="8"/>
  <c r="Q432" i="8" a="1"/>
  <c r="Q432" i="8"/>
  <c r="P432" i="8" a="1"/>
  <c r="P432" i="8" s="1"/>
  <c r="X431" i="8" a="1"/>
  <c r="X431" i="8"/>
  <c r="W431" i="8" a="1"/>
  <c r="W431" i="8" s="1"/>
  <c r="V431" i="8" a="1"/>
  <c r="V431" i="8" s="1"/>
  <c r="U431" i="8" a="1"/>
  <c r="U431" i="8"/>
  <c r="T431" i="8" a="1"/>
  <c r="T431" i="8" s="1"/>
  <c r="S431" i="8" a="1"/>
  <c r="S431" i="8"/>
  <c r="R431" i="8" a="1"/>
  <c r="R431" i="8"/>
  <c r="Q431" i="8" a="1"/>
  <c r="Q431" i="8"/>
  <c r="P431" i="8" a="1"/>
  <c r="P431" i="8" s="1"/>
  <c r="X430" i="8" a="1"/>
  <c r="X430" i="8" s="1"/>
  <c r="W430" i="8" a="1"/>
  <c r="W430" i="8"/>
  <c r="V430" i="8" a="1"/>
  <c r="V430" i="8" s="1"/>
  <c r="U430" i="8" a="1"/>
  <c r="U430" i="8"/>
  <c r="T430" i="8" a="1"/>
  <c r="T430" i="8"/>
  <c r="S430" i="8" a="1"/>
  <c r="S430" i="8"/>
  <c r="R430" i="8" a="1"/>
  <c r="R430" i="8" s="1"/>
  <c r="Q430" i="8" a="1"/>
  <c r="Q430" i="8"/>
  <c r="P430" i="8" a="1"/>
  <c r="P430" i="8"/>
  <c r="X429" i="8" a="1"/>
  <c r="X429" i="8"/>
  <c r="W429" i="8" a="1"/>
  <c r="W429" i="8"/>
  <c r="V429" i="8" a="1"/>
  <c r="V429" i="8" s="1"/>
  <c r="U429" i="8" a="1"/>
  <c r="U429" i="8"/>
  <c r="T429" i="8" a="1"/>
  <c r="T429" i="8"/>
  <c r="S429" i="8" a="1"/>
  <c r="S429" i="8" s="1"/>
  <c r="R429" i="8" a="1"/>
  <c r="R429" i="8"/>
  <c r="Q429" i="8" a="1"/>
  <c r="Q429" i="8"/>
  <c r="P429" i="8" a="1"/>
  <c r="P429" i="8" s="1"/>
  <c r="X428" i="8" a="1"/>
  <c r="X428" i="8" s="1"/>
  <c r="W428" i="8" a="1"/>
  <c r="W428" i="8"/>
  <c r="V428" i="8" a="1"/>
  <c r="V428" i="8"/>
  <c r="U428" i="8" a="1"/>
  <c r="U428" i="8"/>
  <c r="T428" i="8" a="1"/>
  <c r="T428" i="8" s="1"/>
  <c r="S428" i="8" a="1"/>
  <c r="S428" i="8"/>
  <c r="R428" i="8" a="1"/>
  <c r="R428" i="8" s="1"/>
  <c r="Q428" i="8" a="1"/>
  <c r="Q428" i="8"/>
  <c r="P428" i="8" a="1"/>
  <c r="P428" i="8"/>
  <c r="X427" i="8" a="1"/>
  <c r="X427" i="8" s="1"/>
  <c r="W427" i="8" a="1"/>
  <c r="W427" i="8"/>
  <c r="V427" i="8" a="1"/>
  <c r="V427" i="8"/>
  <c r="U427" i="8" a="1"/>
  <c r="U427" i="8" s="1"/>
  <c r="T427" i="8" a="1"/>
  <c r="T427" i="8"/>
  <c r="S427" i="8" a="1"/>
  <c r="S427" i="8"/>
  <c r="R427" i="8" a="1"/>
  <c r="R427" i="8" s="1"/>
  <c r="Q427" i="8" a="1"/>
  <c r="Q427" i="8"/>
  <c r="P427" i="8" a="1"/>
  <c r="P427" i="8"/>
  <c r="X426" i="8" a="1"/>
  <c r="X426" i="8" s="1"/>
  <c r="W426" i="8" a="1"/>
  <c r="W426" i="8"/>
  <c r="V426" i="8" a="1"/>
  <c r="V426" i="8" s="1"/>
  <c r="U426" i="8" a="1"/>
  <c r="U426" i="8"/>
  <c r="T426" i="8" a="1"/>
  <c r="T426" i="8"/>
  <c r="S426" i="8" a="1"/>
  <c r="S426" i="8"/>
  <c r="R426" i="8" a="1"/>
  <c r="R426" i="8" s="1"/>
  <c r="Q426" i="8" a="1"/>
  <c r="Q426" i="8"/>
  <c r="P426" i="8" a="1"/>
  <c r="P426" i="8" s="1"/>
  <c r="X425" i="8" a="1"/>
  <c r="X425" i="8"/>
  <c r="W425" i="8" a="1"/>
  <c r="W425" i="8"/>
  <c r="V425" i="8" a="1"/>
  <c r="V425" i="8"/>
  <c r="U425" i="8" a="1"/>
  <c r="U425" i="8" s="1"/>
  <c r="T425" i="8" a="1"/>
  <c r="T425" i="8" s="1"/>
  <c r="S425" i="8" a="1"/>
  <c r="S425" i="8"/>
  <c r="R425" i="8" a="1"/>
  <c r="R425" i="8"/>
  <c r="Q425" i="8" a="1"/>
  <c r="Q425" i="8" s="1"/>
  <c r="P425" i="8" a="1"/>
  <c r="P425" i="8"/>
  <c r="X424" i="8" a="1"/>
  <c r="X424" i="8" s="1"/>
  <c r="W424" i="8" a="1"/>
  <c r="W424" i="8"/>
  <c r="V424" i="8" a="1"/>
  <c r="V424" i="8"/>
  <c r="U424" i="8" a="1"/>
  <c r="U424" i="8"/>
  <c r="T424" i="8" a="1"/>
  <c r="T424" i="8"/>
  <c r="S424" i="8" a="1"/>
  <c r="S424" i="8"/>
  <c r="R424" i="8" a="1"/>
  <c r="R424" i="8" s="1"/>
  <c r="Q424" i="8" a="1"/>
  <c r="Q424" i="8" s="1"/>
  <c r="P424" i="8" a="1"/>
  <c r="P424" i="8" s="1"/>
  <c r="X423" i="8" a="1"/>
  <c r="X423" i="8"/>
  <c r="W423" i="8" a="1"/>
  <c r="W423" i="8"/>
  <c r="V423" i="8" a="1"/>
  <c r="V423" i="8" s="1"/>
  <c r="U423" i="8" a="1"/>
  <c r="U423" i="8" s="1"/>
  <c r="T423" i="8" a="1"/>
  <c r="T423" i="8" s="1"/>
  <c r="S423" i="8" a="1"/>
  <c r="S423" i="8" s="1"/>
  <c r="R423" i="8" a="1"/>
  <c r="R423" i="8"/>
  <c r="Q423" i="8" a="1"/>
  <c r="Q423" i="8"/>
  <c r="P423" i="8" a="1"/>
  <c r="P423" i="8" s="1"/>
  <c r="X422" i="8" a="1"/>
  <c r="X422" i="8"/>
  <c r="W422" i="8" a="1"/>
  <c r="W422" i="8"/>
  <c r="V422" i="8" a="1"/>
  <c r="V422" i="8" s="1"/>
  <c r="U422" i="8" a="1"/>
  <c r="U422" i="8"/>
  <c r="T422" i="8" a="1"/>
  <c r="T422" i="8" s="1"/>
  <c r="S422" i="8" a="1"/>
  <c r="S422" i="8" s="1"/>
  <c r="R422" i="8" a="1"/>
  <c r="R422" i="8" s="1"/>
  <c r="Q422" i="8" a="1"/>
  <c r="Q422" i="8"/>
  <c r="P422" i="8" a="1"/>
  <c r="P422" i="8"/>
  <c r="X421" i="8" a="1"/>
  <c r="X421" i="8" s="1"/>
  <c r="W421" i="8" a="1"/>
  <c r="W421" i="8" s="1"/>
  <c r="V421" i="8" a="1"/>
  <c r="V421" i="8"/>
  <c r="U421" i="8" a="1"/>
  <c r="U421" i="8" s="1"/>
  <c r="T421" i="8" a="1"/>
  <c r="T421" i="8"/>
  <c r="S421" i="8" a="1"/>
  <c r="S421" i="8"/>
  <c r="R421" i="8" a="1"/>
  <c r="R421" i="8" s="1"/>
  <c r="Q421" i="8" a="1"/>
  <c r="Q421" i="8" s="1"/>
  <c r="P421" i="8" a="1"/>
  <c r="P421" i="8"/>
  <c r="X420" i="8" a="1"/>
  <c r="X420" i="8" s="1"/>
  <c r="W420" i="8" a="1"/>
  <c r="W420" i="8"/>
  <c r="V420" i="8" a="1"/>
  <c r="V420" i="8" s="1"/>
  <c r="U420" i="8" a="1"/>
  <c r="U420" i="8" s="1"/>
  <c r="T420" i="8" a="1"/>
  <c r="T420" i="8" s="1"/>
  <c r="S420" i="8" a="1"/>
  <c r="S420" i="8"/>
  <c r="R420" i="8" a="1"/>
  <c r="R420" i="8"/>
  <c r="Q420" i="8" a="1"/>
  <c r="Q420" i="8" s="1"/>
  <c r="P420" i="8" a="1"/>
  <c r="P420" i="8" s="1"/>
  <c r="X419" i="8" a="1"/>
  <c r="X419" i="8"/>
  <c r="W419" i="8" a="1"/>
  <c r="W419" i="8" s="1"/>
  <c r="V419" i="8" a="1"/>
  <c r="V419" i="8" s="1"/>
  <c r="U419" i="8" a="1"/>
  <c r="U419" i="8" s="1"/>
  <c r="T419" i="8" a="1"/>
  <c r="T419" i="8" s="1"/>
  <c r="S419" i="8" a="1"/>
  <c r="S419" i="8" s="1"/>
  <c r="R419" i="8" a="1"/>
  <c r="R419" i="8"/>
  <c r="Q419" i="8" a="1"/>
  <c r="Q419" i="8"/>
  <c r="P419" i="8" a="1"/>
  <c r="P419" i="8" s="1"/>
  <c r="X418" i="8" a="1"/>
  <c r="X418" i="8" s="1"/>
  <c r="W418" i="8" a="1"/>
  <c r="W418" i="8" s="1"/>
  <c r="V418" i="8" a="1"/>
  <c r="V418" i="8"/>
  <c r="U418" i="8" a="1"/>
  <c r="U418" i="8"/>
  <c r="T418" i="8" a="1"/>
  <c r="T418" i="8"/>
  <c r="S418" i="8" a="1"/>
  <c r="S418" i="8" s="1"/>
  <c r="R418" i="8" a="1"/>
  <c r="R418" i="8" s="1"/>
  <c r="Q418" i="8" a="1"/>
  <c r="Q418" i="8" s="1"/>
  <c r="P418" i="8" a="1"/>
  <c r="P418" i="8" s="1"/>
  <c r="X417" i="8" a="1"/>
  <c r="X417" i="8"/>
  <c r="W417" i="8" a="1"/>
  <c r="W417" i="8"/>
  <c r="V417" i="8" a="1"/>
  <c r="V417" i="8" s="1"/>
  <c r="U417" i="8" a="1"/>
  <c r="U417" i="8" s="1"/>
  <c r="T417" i="8" a="1"/>
  <c r="T417" i="8" s="1"/>
  <c r="S417" i="8" a="1"/>
  <c r="S417" i="8" s="1"/>
  <c r="R417" i="8" a="1"/>
  <c r="R417" i="8"/>
  <c r="Q417" i="8" a="1"/>
  <c r="Q417" i="8"/>
  <c r="P417" i="8" a="1"/>
  <c r="P417" i="8" s="1"/>
  <c r="X416" i="8" a="1"/>
  <c r="X416" i="8"/>
  <c r="W416" i="8" a="1"/>
  <c r="W416" i="8" s="1"/>
  <c r="V416" i="8" a="1"/>
  <c r="V416" i="8"/>
  <c r="U416" i="8" a="1"/>
  <c r="U416" i="8"/>
  <c r="T416" i="8" a="1"/>
  <c r="T416" i="8" s="1"/>
  <c r="S416" i="8" a="1"/>
  <c r="S416" i="8" s="1"/>
  <c r="R416" i="8" a="1"/>
  <c r="R416" i="8"/>
  <c r="Q416" i="8" a="1"/>
  <c r="Q416" i="8"/>
  <c r="P416" i="8" a="1"/>
  <c r="P416" i="8" s="1"/>
  <c r="X415" i="8" a="1"/>
  <c r="X415" i="8" s="1"/>
  <c r="W415" i="8" a="1"/>
  <c r="W415" i="8" s="1"/>
  <c r="V415" i="8" a="1"/>
  <c r="V415" i="8" s="1"/>
  <c r="U415" i="8" a="1"/>
  <c r="U415" i="8"/>
  <c r="T415" i="8" a="1"/>
  <c r="T415" i="8"/>
  <c r="S415" i="8" a="1"/>
  <c r="S415" i="8" s="1"/>
  <c r="R415" i="8" a="1"/>
  <c r="R415" i="8" s="1"/>
  <c r="Q415" i="8" a="1"/>
  <c r="Q415" i="8" s="1"/>
  <c r="P415" i="8" a="1"/>
  <c r="P415" i="8"/>
  <c r="X414" i="8" a="1"/>
  <c r="X414" i="8"/>
  <c r="W414" i="8" a="1"/>
  <c r="W414" i="8"/>
  <c r="V414" i="8" a="1"/>
  <c r="V414" i="8" s="1"/>
  <c r="U414" i="8" a="1"/>
  <c r="U414" i="8" s="1"/>
  <c r="T414" i="8" a="1"/>
  <c r="T414" i="8"/>
  <c r="S414" i="8" a="1"/>
  <c r="S414" i="8"/>
  <c r="R414" i="8" a="1"/>
  <c r="R414" i="8" s="1"/>
  <c r="Q414" i="8" a="1"/>
  <c r="Q414" i="8"/>
  <c r="P414" i="8" a="1"/>
  <c r="P414" i="8" s="1"/>
  <c r="X413" i="8" a="1"/>
  <c r="X413" i="8" s="1"/>
  <c r="W413" i="8" a="1"/>
  <c r="W413" i="8" s="1"/>
  <c r="V413" i="8" a="1"/>
  <c r="V413" i="8" s="1"/>
  <c r="U413" i="8" a="1"/>
  <c r="U413" i="8"/>
  <c r="T413" i="8" a="1"/>
  <c r="T413" i="8" s="1"/>
  <c r="S413" i="8" a="1"/>
  <c r="S413" i="8" s="1"/>
  <c r="R413" i="8" a="1"/>
  <c r="R413" i="8"/>
  <c r="Q413" i="8" a="1"/>
  <c r="Q413" i="8" s="1"/>
  <c r="P413" i="8" a="1"/>
  <c r="P413" i="8" s="1"/>
  <c r="X412" i="8" a="1"/>
  <c r="X412" i="8" s="1"/>
  <c r="W412" i="8" a="1"/>
  <c r="W412" i="8" s="1"/>
  <c r="V412" i="8" a="1"/>
  <c r="V412" i="8"/>
  <c r="U412" i="8" a="1"/>
  <c r="U412" i="8"/>
  <c r="T412" i="8" a="1"/>
  <c r="T412" i="8" s="1"/>
  <c r="S412" i="8" a="1"/>
  <c r="S412" i="8" s="1"/>
  <c r="R412" i="8" a="1"/>
  <c r="R412" i="8" s="1"/>
  <c r="Q412" i="8" a="1"/>
  <c r="Q412" i="8" s="1"/>
  <c r="P412" i="8" a="1"/>
  <c r="P412" i="8"/>
  <c r="X411" i="8" a="1"/>
  <c r="X411" i="8"/>
  <c r="W411" i="8" a="1"/>
  <c r="W411" i="8" s="1"/>
  <c r="V411" i="8" a="1"/>
  <c r="V411" i="8" s="1"/>
  <c r="U411" i="8" a="1"/>
  <c r="U411" i="8" s="1"/>
  <c r="T411" i="8" a="1"/>
  <c r="T411" i="8" s="1"/>
  <c r="S411" i="8" a="1"/>
  <c r="S411" i="8"/>
  <c r="R411" i="8" a="1"/>
  <c r="R411" i="8"/>
  <c r="Q411" i="8" a="1"/>
  <c r="Q411" i="8"/>
  <c r="P411" i="8" a="1"/>
  <c r="P411" i="8" s="1"/>
  <c r="X410" i="8" a="1"/>
  <c r="X410" i="8" s="1"/>
  <c r="W410" i="8" a="1"/>
  <c r="W410" i="8" s="1"/>
  <c r="V410" i="8" a="1"/>
  <c r="V410" i="8"/>
  <c r="U410" i="8" a="1"/>
  <c r="U410" i="8"/>
  <c r="T410" i="8" a="1"/>
  <c r="T410" i="8" s="1"/>
  <c r="S410" i="8" a="1"/>
  <c r="S410" i="8" s="1"/>
  <c r="R410" i="8" a="1"/>
  <c r="R410" i="8" s="1"/>
  <c r="Q410" i="8" a="1"/>
  <c r="Q410" i="8" s="1"/>
  <c r="P410" i="8" a="1"/>
  <c r="P410" i="8" s="1"/>
  <c r="X409" i="8" a="1"/>
  <c r="X409" i="8" s="1"/>
  <c r="W409" i="8" a="1"/>
  <c r="W409" i="8" s="1"/>
  <c r="V409" i="8" a="1"/>
  <c r="V409" i="8"/>
  <c r="U409" i="8" a="1"/>
  <c r="U409" i="8" s="1"/>
  <c r="T409" i="8" a="1"/>
  <c r="T409" i="8" s="1"/>
  <c r="S409" i="8" a="1"/>
  <c r="S409" i="8" s="1"/>
  <c r="R409" i="8" a="1"/>
  <c r="R409" i="8" s="1"/>
  <c r="Q409" i="8" a="1"/>
  <c r="Q409" i="8" s="1"/>
  <c r="P409" i="8" a="1"/>
  <c r="P409" i="8"/>
  <c r="X408" i="8" a="1"/>
  <c r="X408" i="8" s="1"/>
  <c r="W408" i="8" a="1"/>
  <c r="W408" i="8" s="1"/>
  <c r="V408" i="8" a="1"/>
  <c r="V408" i="8" s="1"/>
  <c r="U408" i="8" a="1"/>
  <c r="U408" i="8" s="1"/>
  <c r="T408" i="8" a="1"/>
  <c r="T408" i="8"/>
  <c r="S408" i="8" a="1"/>
  <c r="S408" i="8"/>
  <c r="R408" i="8" a="1"/>
  <c r="R408" i="8"/>
  <c r="Q408" i="8" a="1"/>
  <c r="Q408" i="8" s="1"/>
  <c r="P408" i="8" a="1"/>
  <c r="P408" i="8" s="1"/>
  <c r="X407" i="8" a="1"/>
  <c r="X407" i="8" s="1"/>
  <c r="W407" i="8" a="1"/>
  <c r="W407" i="8"/>
  <c r="V407" i="8" a="1"/>
  <c r="V407" i="8"/>
  <c r="U407" i="8" a="1"/>
  <c r="U407" i="8"/>
  <c r="T407" i="8" a="1"/>
  <c r="T407" i="8" s="1"/>
  <c r="S407" i="8" a="1"/>
  <c r="S407" i="8" s="1"/>
  <c r="R407" i="8" a="1"/>
  <c r="R407" i="8" s="1"/>
  <c r="Q407" i="8" a="1"/>
  <c r="Q407" i="8" s="1"/>
  <c r="P407" i="8" a="1"/>
  <c r="P407" i="8"/>
  <c r="X406" i="8" a="1"/>
  <c r="X406" i="8" s="1"/>
  <c r="W406" i="8" a="1"/>
  <c r="W406" i="8" s="1"/>
  <c r="V406" i="8" a="1"/>
  <c r="V406" i="8" s="1"/>
  <c r="U406" i="8" a="1"/>
  <c r="U406" i="8" s="1"/>
  <c r="T406" i="8" a="1"/>
  <c r="T406" i="8" s="1"/>
  <c r="S406" i="8" a="1"/>
  <c r="S406" i="8"/>
  <c r="R406" i="8" a="1"/>
  <c r="R406" i="8" s="1"/>
  <c r="Q406" i="8" a="1"/>
  <c r="Q406" i="8" s="1"/>
  <c r="P406" i="8" a="1"/>
  <c r="P406" i="8"/>
  <c r="X405" i="8" a="1"/>
  <c r="X405" i="8" s="1"/>
  <c r="W405" i="8" a="1"/>
  <c r="W405" i="8" s="1"/>
  <c r="V405" i="8" a="1"/>
  <c r="V405" i="8" s="1"/>
  <c r="U405" i="8" a="1"/>
  <c r="U405" i="8" s="1"/>
  <c r="T405" i="8" a="1"/>
  <c r="T405" i="8"/>
  <c r="S405" i="8" a="1"/>
  <c r="S405" i="8" s="1"/>
  <c r="R405" i="8" a="1"/>
  <c r="R405" i="8" s="1"/>
  <c r="Q405" i="8" a="1"/>
  <c r="Q405" i="8" s="1"/>
  <c r="P405" i="8" a="1"/>
  <c r="P405" i="8" s="1"/>
  <c r="X404" i="8" a="1"/>
  <c r="X404" i="8"/>
  <c r="W404" i="8" a="1"/>
  <c r="W404" i="8"/>
  <c r="V404" i="8" a="1"/>
  <c r="V404" i="8" s="1"/>
  <c r="U404" i="8" a="1"/>
  <c r="U404" i="8" s="1"/>
  <c r="T404" i="8" a="1"/>
  <c r="T404" i="8" s="1"/>
  <c r="S404" i="8" a="1"/>
  <c r="S404" i="8" s="1"/>
  <c r="R404" i="8" a="1"/>
  <c r="R404" i="8" s="1"/>
  <c r="Q404" i="8" a="1"/>
  <c r="Q404" i="8"/>
  <c r="P404" i="8" a="1"/>
  <c r="P404" i="8"/>
  <c r="X403" i="8" a="1"/>
  <c r="X403" i="8" s="1"/>
  <c r="W403" i="8" a="1"/>
  <c r="W403" i="8" s="1"/>
  <c r="V403" i="8" a="1"/>
  <c r="V403" i="8" s="1"/>
  <c r="U403" i="8" a="1"/>
  <c r="U403" i="8" s="1"/>
  <c r="T403" i="8" a="1"/>
  <c r="T403" i="8"/>
  <c r="S403" i="8" a="1"/>
  <c r="S403" i="8"/>
  <c r="R403" i="8" a="1"/>
  <c r="R403" i="8" s="1"/>
  <c r="Q403" i="8" a="1"/>
  <c r="Q403" i="8" s="1"/>
  <c r="P403" i="8" a="1"/>
  <c r="P403" i="8" s="1"/>
  <c r="X402" i="8" a="1"/>
  <c r="X402" i="8" s="1"/>
  <c r="W402" i="8" a="1"/>
  <c r="W402" i="8"/>
  <c r="V402" i="8" a="1"/>
  <c r="V402" i="8" s="1"/>
  <c r="U402" i="8" a="1"/>
  <c r="U402" i="8" s="1"/>
  <c r="T402" i="8" a="1"/>
  <c r="T402" i="8" s="1"/>
  <c r="S402" i="8" a="1"/>
  <c r="S402" i="8" s="1"/>
  <c r="R402" i="8" a="1"/>
  <c r="R402" i="8" s="1"/>
  <c r="Q402" i="8" a="1"/>
  <c r="Q402" i="8" s="1"/>
  <c r="P402" i="8" a="1"/>
  <c r="P402" i="8" s="1"/>
  <c r="X401" i="8" a="1"/>
  <c r="X401" i="8"/>
  <c r="W401" i="8" a="1"/>
  <c r="W401" i="8" s="1"/>
  <c r="V401" i="8" a="1"/>
  <c r="V401" i="8" s="1"/>
  <c r="U401" i="8" a="1"/>
  <c r="U401" i="8" s="1"/>
  <c r="T401" i="8" a="1"/>
  <c r="T401" i="8" s="1"/>
  <c r="S401" i="8" a="1"/>
  <c r="S401" i="8" s="1"/>
  <c r="R401" i="8" a="1"/>
  <c r="R401" i="8"/>
  <c r="Q401" i="8" a="1"/>
  <c r="Q401" i="8"/>
  <c r="P401" i="8" a="1"/>
  <c r="P401" i="8" s="1"/>
  <c r="X400" i="8" a="1"/>
  <c r="X400" i="8" s="1"/>
  <c r="W400" i="8" a="1"/>
  <c r="W400" i="8" s="1"/>
  <c r="V400" i="8" a="1"/>
  <c r="V400" i="8" s="1"/>
  <c r="U400" i="8" a="1"/>
  <c r="U400" i="8"/>
  <c r="T400" i="8" a="1"/>
  <c r="T400" i="8"/>
  <c r="S400" i="8" a="1"/>
  <c r="S400" i="8" s="1"/>
  <c r="R400" i="8" a="1"/>
  <c r="R400" i="8" s="1"/>
  <c r="Q400" i="8" a="1"/>
  <c r="Q400" i="8" s="1"/>
  <c r="P400" i="8" a="1"/>
  <c r="P400" i="8" s="1"/>
  <c r="X399" i="8" a="1"/>
  <c r="X399" i="8"/>
  <c r="W399" i="8" a="1"/>
  <c r="W399" i="8"/>
  <c r="V399" i="8" a="1"/>
  <c r="V399" i="8" s="1"/>
  <c r="U399" i="8" a="1"/>
  <c r="U399" i="8" s="1"/>
  <c r="T399" i="8" a="1"/>
  <c r="T399" i="8" s="1"/>
  <c r="S399" i="8" a="1"/>
  <c r="S399" i="8" s="1"/>
  <c r="R399" i="8" a="1"/>
  <c r="R399" i="8" s="1"/>
  <c r="Q399" i="8" a="1"/>
  <c r="Q399" i="8"/>
  <c r="P399" i="8" a="1"/>
  <c r="P399" i="8" s="1"/>
  <c r="X398" i="8" a="1"/>
  <c r="X398" i="8" s="1"/>
  <c r="W398" i="8" a="1"/>
  <c r="W398" i="8" s="1"/>
  <c r="V398" i="8" a="1"/>
  <c r="V398" i="8" s="1"/>
  <c r="U398" i="8" a="1"/>
  <c r="U398" i="8" s="1"/>
  <c r="T398" i="8" a="1"/>
  <c r="T398" i="8" s="1"/>
  <c r="S398" i="8" a="1"/>
  <c r="S398" i="8" s="1"/>
  <c r="R398" i="8" a="1"/>
  <c r="R398" i="8"/>
  <c r="Q398" i="8" a="1"/>
  <c r="Q398" i="8" s="1"/>
  <c r="P398" i="8" a="1"/>
  <c r="P398" i="8" s="1"/>
  <c r="X397" i="8" a="1"/>
  <c r="X397" i="8" s="1"/>
  <c r="W397" i="8" a="1"/>
  <c r="W397" i="8" s="1"/>
  <c r="V397" i="8" a="1"/>
  <c r="V397" i="8"/>
  <c r="U397" i="8" a="1"/>
  <c r="U397" i="8"/>
  <c r="T397" i="8" a="1"/>
  <c r="T397" i="8" s="1"/>
  <c r="S397" i="8" a="1"/>
  <c r="S397" i="8" s="1"/>
  <c r="R397" i="8" a="1"/>
  <c r="R397" i="8" s="1"/>
  <c r="Q397" i="8" a="1"/>
  <c r="Q397" i="8" s="1"/>
  <c r="P397" i="8" a="1"/>
  <c r="P397" i="8" s="1"/>
  <c r="X396" i="8" a="1"/>
  <c r="X396" i="8"/>
  <c r="W396" i="8" a="1"/>
  <c r="W396" i="8" s="1"/>
  <c r="V396" i="8" a="1"/>
  <c r="V396" i="8" s="1"/>
  <c r="U396" i="8" a="1"/>
  <c r="U396" i="8" s="1"/>
  <c r="T396" i="8" a="1"/>
  <c r="T396" i="8" s="1"/>
  <c r="S396" i="8" a="1"/>
  <c r="S396" i="8" s="1"/>
  <c r="R396" i="8" a="1"/>
  <c r="R396" i="8"/>
  <c r="Q396" i="8" a="1"/>
  <c r="Q396" i="8"/>
  <c r="P396" i="8" a="1"/>
  <c r="P396" i="8" s="1"/>
  <c r="X395" i="8" a="1"/>
  <c r="X395" i="8" s="1"/>
  <c r="W395" i="8" a="1"/>
  <c r="W395" i="8" s="1"/>
  <c r="V395" i="8" a="1"/>
  <c r="V395" i="8" s="1"/>
  <c r="U395" i="8" a="1"/>
  <c r="U395" i="8"/>
  <c r="T395" i="8" a="1"/>
  <c r="T395" i="8" s="1"/>
  <c r="S395" i="8" a="1"/>
  <c r="S395" i="8" s="1"/>
  <c r="R395" i="8" a="1"/>
  <c r="R395" i="8" s="1"/>
  <c r="Q395" i="8" a="1"/>
  <c r="Q395" i="8" s="1"/>
  <c r="P395" i="8" a="1"/>
  <c r="P395" i="8" s="1"/>
  <c r="X394" i="8" a="1"/>
  <c r="X394" i="8" s="1"/>
  <c r="W394" i="8" a="1"/>
  <c r="W394" i="8" s="1"/>
  <c r="V394" i="8" a="1"/>
  <c r="V394" i="8"/>
  <c r="U394" i="8" a="1"/>
  <c r="U394" i="8" s="1"/>
  <c r="T394" i="8" a="1"/>
  <c r="T394" i="8" s="1"/>
  <c r="S394" i="8" a="1"/>
  <c r="S394" i="8" s="1"/>
  <c r="R394" i="8" a="1"/>
  <c r="R394" i="8" s="1"/>
  <c r="Q394" i="8" a="1"/>
  <c r="Q394" i="8" s="1"/>
  <c r="P394" i="8" a="1"/>
  <c r="P394" i="8"/>
  <c r="X393" i="8" a="1"/>
  <c r="X393" i="8" s="1"/>
  <c r="W393" i="8" a="1"/>
  <c r="W393" i="8" s="1"/>
  <c r="V393" i="8" a="1"/>
  <c r="V393" i="8" s="1"/>
  <c r="U393" i="8" a="1"/>
  <c r="U393" i="8" s="1"/>
  <c r="T393" i="8" a="1"/>
  <c r="T393" i="8" s="1"/>
  <c r="S393" i="8" a="1"/>
  <c r="S393" i="8"/>
  <c r="R393" i="8" a="1"/>
  <c r="R393" i="8"/>
  <c r="Q393" i="8" a="1"/>
  <c r="Q393" i="8" s="1"/>
  <c r="P393" i="8" a="1"/>
  <c r="P393" i="8" s="1"/>
  <c r="X392" i="8" a="1"/>
  <c r="X392" i="8" s="1"/>
  <c r="W392" i="8" a="1"/>
  <c r="W392" i="8" s="1"/>
  <c r="V392" i="8" a="1"/>
  <c r="V392" i="8"/>
  <c r="U392" i="8" a="1"/>
  <c r="U392" i="8"/>
  <c r="T392" i="8" a="1"/>
  <c r="T392" i="8" s="1"/>
  <c r="S392" i="8" a="1"/>
  <c r="S392" i="8" s="1"/>
  <c r="R392" i="8" a="1"/>
  <c r="R392" i="8" s="1"/>
  <c r="Q392" i="8" a="1"/>
  <c r="Q392" i="8" s="1"/>
  <c r="P392" i="8" a="1"/>
  <c r="P392" i="8" s="1"/>
  <c r="X391" i="8" a="1"/>
  <c r="X391" i="8" s="1"/>
  <c r="W391" i="8" a="1"/>
  <c r="W391" i="8" s="1"/>
  <c r="V391" i="8" a="1"/>
  <c r="V391" i="8" s="1"/>
  <c r="U391" i="8" a="1"/>
  <c r="U391" i="8" s="1"/>
  <c r="T391" i="8" a="1"/>
  <c r="T391" i="8" s="1"/>
  <c r="S391" i="8" a="1"/>
  <c r="S391" i="8" s="1"/>
  <c r="R391" i="8" a="1"/>
  <c r="R391" i="8" s="1"/>
  <c r="Q391" i="8" a="1"/>
  <c r="Q391" i="8" s="1"/>
  <c r="P391" i="8" a="1"/>
  <c r="P391" i="8"/>
  <c r="X390" i="8" a="1"/>
  <c r="X390" i="8" s="1"/>
  <c r="W390" i="8" a="1"/>
  <c r="W390" i="8" s="1"/>
  <c r="V390" i="8" a="1"/>
  <c r="V390" i="8" s="1"/>
  <c r="U390" i="8" a="1"/>
  <c r="U390" i="8" s="1"/>
  <c r="T390" i="8" a="1"/>
  <c r="T390" i="8"/>
  <c r="S390" i="8" a="1"/>
  <c r="S390" i="8"/>
  <c r="R390" i="8" a="1"/>
  <c r="R390" i="8" s="1"/>
  <c r="Q390" i="8" a="1"/>
  <c r="Q390" i="8" s="1"/>
  <c r="P390" i="8" a="1"/>
  <c r="P390" i="8" s="1"/>
  <c r="X389" i="8" a="1"/>
  <c r="X389" i="8" s="1"/>
  <c r="W389" i="8" a="1"/>
  <c r="W389" i="8"/>
  <c r="V389" i="8" a="1"/>
  <c r="V389" i="8"/>
  <c r="U389" i="8" a="1"/>
  <c r="U389" i="8" s="1"/>
  <c r="T389" i="8" a="1"/>
  <c r="T389" i="8" s="1"/>
  <c r="S389" i="8" a="1"/>
  <c r="S389" i="8" s="1"/>
  <c r="R389" i="8" a="1"/>
  <c r="R389" i="8" s="1"/>
  <c r="Q389" i="8" a="1"/>
  <c r="Q389" i="8" s="1"/>
  <c r="P389" i="8" a="1"/>
  <c r="P389" i="8"/>
  <c r="X388" i="8" a="1"/>
  <c r="X388" i="8" s="1"/>
  <c r="W388" i="8" a="1"/>
  <c r="W388" i="8" s="1"/>
  <c r="V388" i="8" a="1"/>
  <c r="V388" i="8" s="1"/>
  <c r="U388" i="8" a="1"/>
  <c r="U388" i="8" s="1"/>
  <c r="T388" i="8" a="1"/>
  <c r="T388" i="8" s="1"/>
  <c r="S388" i="8" a="1"/>
  <c r="S388" i="8"/>
  <c r="R388" i="8" a="1"/>
  <c r="R388" i="8" s="1"/>
  <c r="Q388" i="8" a="1"/>
  <c r="Q388" i="8" s="1"/>
  <c r="P388" i="8" a="1"/>
  <c r="P388" i="8" s="1"/>
  <c r="X387" i="8" a="1"/>
  <c r="X387" i="8" s="1"/>
  <c r="W387" i="8" a="1"/>
  <c r="W387" i="8" s="1"/>
  <c r="V387" i="8" a="1"/>
  <c r="V387" i="8" s="1"/>
  <c r="U387" i="8" a="1"/>
  <c r="U387" i="8" s="1"/>
  <c r="T387" i="8" a="1"/>
  <c r="T387" i="8"/>
  <c r="S387" i="8" a="1"/>
  <c r="S387" i="8" s="1"/>
  <c r="R387" i="8" a="1"/>
  <c r="R387" i="8" s="1"/>
  <c r="Q387" i="8" a="1"/>
  <c r="Q387" i="8" s="1"/>
  <c r="P387" i="8" a="1"/>
  <c r="P387" i="8" s="1"/>
  <c r="X386" i="8" a="1"/>
  <c r="X386" i="8"/>
  <c r="W386" i="8" a="1"/>
  <c r="W386" i="8"/>
  <c r="V386" i="8" a="1"/>
  <c r="V386" i="8" s="1"/>
  <c r="U386" i="8" a="1"/>
  <c r="U386" i="8" s="1"/>
  <c r="T386" i="8" a="1"/>
  <c r="T386" i="8" s="1"/>
  <c r="S386" i="8" a="1"/>
  <c r="S386" i="8" s="1"/>
  <c r="R386" i="8" a="1"/>
  <c r="R386" i="8" s="1"/>
  <c r="Q386" i="8" a="1"/>
  <c r="Q386" i="8"/>
  <c r="P386" i="8" a="1"/>
  <c r="P386" i="8"/>
  <c r="X385" i="8" a="1"/>
  <c r="X385" i="8" s="1"/>
  <c r="W385" i="8" a="1"/>
  <c r="W385" i="8" s="1"/>
  <c r="V385" i="8" a="1"/>
  <c r="V385" i="8" s="1"/>
  <c r="U385" i="8" a="1"/>
  <c r="U385" i="8" s="1"/>
  <c r="T385" i="8" a="1"/>
  <c r="T385" i="8"/>
  <c r="S385" i="8" a="1"/>
  <c r="S385" i="8"/>
  <c r="R385" i="8" a="1"/>
  <c r="R385" i="8" s="1"/>
  <c r="Q385" i="8" a="1"/>
  <c r="Q385" i="8" s="1"/>
  <c r="P385" i="8" a="1"/>
  <c r="P385" i="8" s="1"/>
  <c r="X384" i="8" a="1"/>
  <c r="X384" i="8" s="1"/>
  <c r="W384" i="8" a="1"/>
  <c r="W384" i="8"/>
  <c r="V384" i="8" a="1"/>
  <c r="V384" i="8" s="1"/>
  <c r="U384" i="8" a="1"/>
  <c r="U384" i="8" s="1"/>
  <c r="T384" i="8" a="1"/>
  <c r="T384" i="8"/>
  <c r="S384" i="8" a="1"/>
  <c r="S384" i="8" s="1"/>
  <c r="R384" i="8" a="1"/>
  <c r="R384" i="8" s="1"/>
  <c r="Q384" i="8" a="1"/>
  <c r="Q384" i="8" s="1"/>
  <c r="P384" i="8" a="1"/>
  <c r="P384" i="8" s="1"/>
  <c r="X383" i="8" a="1"/>
  <c r="X383" i="8"/>
  <c r="W383" i="8" a="1"/>
  <c r="W383" i="8"/>
  <c r="V383" i="8" a="1"/>
  <c r="V383" i="8" s="1"/>
  <c r="U383" i="8" a="1"/>
  <c r="U383" i="8" s="1"/>
  <c r="T383" i="8" a="1"/>
  <c r="T383" i="8" s="1"/>
  <c r="S383" i="8" a="1"/>
  <c r="S383" i="8" s="1"/>
  <c r="R383" i="8" a="1"/>
  <c r="R383" i="8"/>
  <c r="Q383" i="8" a="1"/>
  <c r="Q383" i="8"/>
  <c r="P383" i="8" a="1"/>
  <c r="P383" i="8" s="1"/>
  <c r="X382" i="8" a="1"/>
  <c r="X382" i="8" s="1"/>
  <c r="W382" i="8" a="1"/>
  <c r="W382" i="8" s="1"/>
  <c r="V382" i="8" a="1"/>
  <c r="V382" i="8" s="1"/>
  <c r="U382" i="8" a="1"/>
  <c r="U382" i="8"/>
  <c r="T382" i="8" a="1"/>
  <c r="T382" i="8"/>
  <c r="S382" i="8" a="1"/>
  <c r="S382" i="8" s="1"/>
  <c r="R382" i="8" a="1"/>
  <c r="R382" i="8" s="1"/>
  <c r="Q382" i="8" a="1"/>
  <c r="Q382" i="8" s="1"/>
  <c r="P382" i="8" a="1"/>
  <c r="P382" i="8" s="1"/>
  <c r="X381" i="8" a="1"/>
  <c r="X381" i="8"/>
  <c r="W381" i="8" a="1"/>
  <c r="W381" i="8"/>
  <c r="V381" i="8" a="1"/>
  <c r="V381" i="8" s="1"/>
  <c r="U381" i="8" a="1"/>
  <c r="U381" i="8" s="1"/>
  <c r="T381" i="8" a="1"/>
  <c r="T381" i="8" s="1"/>
  <c r="S381" i="8" a="1"/>
  <c r="S381" i="8" s="1"/>
  <c r="R381" i="8" a="1"/>
  <c r="R381" i="8" s="1"/>
  <c r="Q381" i="8" a="1"/>
  <c r="Q381" i="8"/>
  <c r="P381" i="8" a="1"/>
  <c r="P381" i="8" s="1"/>
  <c r="X380" i="8" a="1"/>
  <c r="X380" i="8"/>
  <c r="W380" i="8" a="1"/>
  <c r="W380" i="8" s="1"/>
  <c r="V380" i="8" a="1"/>
  <c r="V380" i="8" s="1"/>
  <c r="U380" i="8" a="1"/>
  <c r="U380" i="8" s="1"/>
  <c r="T380" i="8" a="1"/>
  <c r="T380" i="8" s="1"/>
  <c r="S380" i="8" a="1"/>
  <c r="S380" i="8" s="1"/>
  <c r="R380" i="8" a="1"/>
  <c r="R380" i="8"/>
  <c r="Q380" i="8" a="1"/>
  <c r="Q380" i="8" s="1"/>
  <c r="P380" i="8" a="1"/>
  <c r="P380" i="8" s="1"/>
  <c r="X379" i="8" a="1"/>
  <c r="X379" i="8" s="1"/>
  <c r="W379" i="8" a="1"/>
  <c r="W379" i="8" s="1"/>
  <c r="V379" i="8" a="1"/>
  <c r="V379" i="8"/>
  <c r="U379" i="8" a="1"/>
  <c r="U379" i="8"/>
  <c r="T379" i="8" a="1"/>
  <c r="T379" i="8" s="1"/>
  <c r="S379" i="8" a="1"/>
  <c r="S379" i="8" s="1"/>
  <c r="R379" i="8" a="1"/>
  <c r="R379" i="8" s="1"/>
  <c r="Q379" i="8" a="1"/>
  <c r="Q379" i="8" s="1"/>
  <c r="P379" i="8" a="1"/>
  <c r="P379" i="8" s="1"/>
  <c r="X378" i="8" a="1"/>
  <c r="X378" i="8"/>
  <c r="W378" i="8" a="1"/>
  <c r="W378" i="8" s="1"/>
  <c r="V378" i="8" a="1"/>
  <c r="V378" i="8" s="1"/>
  <c r="U378" i="8" a="1"/>
  <c r="U378" i="8" s="1"/>
  <c r="T378" i="8" a="1"/>
  <c r="T378" i="8" s="1"/>
  <c r="S378" i="8" a="1"/>
  <c r="S378" i="8" s="1"/>
  <c r="R378" i="8" a="1"/>
  <c r="R378" i="8" s="1"/>
  <c r="Q378" i="8" a="1"/>
  <c r="Q378" i="8"/>
  <c r="P378" i="8" a="1"/>
  <c r="P378" i="8" s="1"/>
  <c r="X377" i="8" a="1"/>
  <c r="X377" i="8" s="1"/>
  <c r="W377" i="8" a="1"/>
  <c r="W377" i="8" s="1"/>
  <c r="V377" i="8" a="1"/>
  <c r="V377" i="8" s="1"/>
  <c r="U377" i="8" a="1"/>
  <c r="U377" i="8" s="1"/>
  <c r="T377" i="8" a="1"/>
  <c r="T377" i="8" s="1"/>
  <c r="S377" i="8" a="1"/>
  <c r="S377" i="8" s="1"/>
  <c r="R377" i="8" a="1"/>
  <c r="R377" i="8"/>
  <c r="Q377" i="8" a="1"/>
  <c r="Q377" i="8" s="1"/>
  <c r="P377" i="8" a="1"/>
  <c r="P377" i="8" s="1"/>
  <c r="X376" i="8" a="1"/>
  <c r="X376" i="8" s="1"/>
  <c r="W376" i="8" a="1"/>
  <c r="W376" i="8" s="1"/>
  <c r="V376" i="8" a="1"/>
  <c r="V376" i="8"/>
  <c r="U376" i="8" a="1"/>
  <c r="U376" i="8" s="1"/>
  <c r="T376" i="8" a="1"/>
  <c r="T376" i="8" s="1"/>
  <c r="S376" i="8" a="1"/>
  <c r="S376" i="8" s="1"/>
  <c r="R376" i="8" a="1"/>
  <c r="R376" i="8" s="1"/>
  <c r="Q376" i="8" a="1"/>
  <c r="Q376" i="8" s="1"/>
  <c r="P376" i="8" a="1"/>
  <c r="P376" i="8" s="1"/>
  <c r="X375" i="8" a="1"/>
  <c r="X375" i="8"/>
  <c r="W375" i="8" a="1"/>
  <c r="W375" i="8" s="1"/>
  <c r="V375" i="8" a="1"/>
  <c r="V375" i="8" s="1"/>
  <c r="U375" i="8" a="1"/>
  <c r="U375" i="8" s="1"/>
  <c r="T375" i="8" a="1"/>
  <c r="T375" i="8" s="1"/>
  <c r="S375" i="8" a="1"/>
  <c r="S375" i="8" s="1"/>
  <c r="R375" i="8" a="1"/>
  <c r="R375" i="8"/>
  <c r="Q375" i="8" a="1"/>
  <c r="Q375" i="8" s="1"/>
  <c r="P375" i="8" a="1"/>
  <c r="P375" i="8" s="1"/>
  <c r="X374" i="8" a="1"/>
  <c r="X374" i="8" s="1"/>
  <c r="W374" i="8" a="1"/>
  <c r="W374" i="8" s="1"/>
  <c r="V374" i="8" a="1"/>
  <c r="V374" i="8" s="1"/>
  <c r="U374" i="8" a="1"/>
  <c r="U374" i="8"/>
  <c r="T374" i="8" a="1"/>
  <c r="T374" i="8" s="1"/>
  <c r="S374" i="8" a="1"/>
  <c r="S374" i="8" s="1"/>
  <c r="R374" i="8" a="1"/>
  <c r="R374" i="8" s="1"/>
  <c r="Q374" i="8" a="1"/>
  <c r="Q374" i="8" s="1"/>
  <c r="P374" i="8" a="1"/>
  <c r="P374" i="8" s="1"/>
  <c r="X373" i="8" a="1"/>
  <c r="X373" i="8" s="1"/>
  <c r="W373" i="8" a="1"/>
  <c r="W373" i="8" s="1"/>
  <c r="V373" i="8" a="1"/>
  <c r="V373" i="8" s="1"/>
  <c r="U373" i="8" a="1"/>
  <c r="U373" i="8" s="1"/>
  <c r="T373" i="8" a="1"/>
  <c r="T373" i="8" s="1"/>
  <c r="S373" i="8" a="1"/>
  <c r="S373" i="8" s="1"/>
  <c r="R373" i="8" a="1"/>
  <c r="R373" i="8" s="1"/>
  <c r="Q373" i="8" a="1"/>
  <c r="Q373" i="8" s="1"/>
  <c r="P373" i="8" a="1"/>
  <c r="P373" i="8"/>
  <c r="X372" i="8" a="1"/>
  <c r="X372" i="8" s="1"/>
  <c r="W372" i="8" a="1"/>
  <c r="W372" i="8" s="1"/>
  <c r="V372" i="8" a="1"/>
  <c r="V372" i="8" s="1"/>
  <c r="U372" i="8" a="1"/>
  <c r="U372" i="8" s="1"/>
  <c r="T372" i="8" a="1"/>
  <c r="T372" i="8"/>
  <c r="S372" i="8" a="1"/>
  <c r="S372" i="8"/>
  <c r="R372" i="8" a="1"/>
  <c r="R372" i="8"/>
  <c r="Q372" i="8" a="1"/>
  <c r="Q372" i="8" s="1"/>
  <c r="P372" i="8" a="1"/>
  <c r="P372" i="8" s="1"/>
  <c r="X371" i="8" a="1"/>
  <c r="X371" i="8" s="1"/>
  <c r="W371" i="8" a="1"/>
  <c r="W371" i="8" s="1"/>
  <c r="V371" i="8" a="1"/>
  <c r="V371" i="8"/>
  <c r="U371" i="8" a="1"/>
  <c r="U371" i="8"/>
  <c r="T371" i="8" a="1"/>
  <c r="T371" i="8" s="1"/>
  <c r="S371" i="8" a="1"/>
  <c r="S371" i="8" s="1"/>
  <c r="R371" i="8" a="1"/>
  <c r="R371" i="8" s="1"/>
  <c r="Q371" i="8" a="1"/>
  <c r="Q371" i="8" s="1"/>
  <c r="P371" i="8" a="1"/>
  <c r="P371" i="8" s="1"/>
  <c r="X370" i="8" a="1"/>
  <c r="X370" i="8" s="1"/>
  <c r="W370" i="8" a="1"/>
  <c r="W370" i="8" s="1"/>
  <c r="V370" i="8" a="1"/>
  <c r="V370" i="8" s="1"/>
  <c r="U370" i="8" a="1"/>
  <c r="U370" i="8" s="1"/>
  <c r="T370" i="8" a="1"/>
  <c r="T370" i="8" s="1"/>
  <c r="S370" i="8" a="1"/>
  <c r="S370" i="8"/>
  <c r="R370" i="8" a="1"/>
  <c r="R370" i="8" s="1"/>
  <c r="Q370" i="8" a="1"/>
  <c r="Q370" i="8" s="1"/>
  <c r="P370" i="8" a="1"/>
  <c r="P370" i="8" s="1"/>
  <c r="X369" i="8" a="1"/>
  <c r="X369" i="8" s="1"/>
  <c r="W369" i="8" a="1"/>
  <c r="W369" i="8" s="1"/>
  <c r="V369" i="8" a="1"/>
  <c r="V369" i="8" s="1"/>
  <c r="U369" i="8" a="1"/>
  <c r="U369" i="8" s="1"/>
  <c r="T369" i="8" a="1"/>
  <c r="T369" i="8"/>
  <c r="S369" i="8" a="1"/>
  <c r="S369" i="8" s="1"/>
  <c r="R369" i="8" a="1"/>
  <c r="R369" i="8" s="1"/>
  <c r="Q369" i="8" a="1"/>
  <c r="Q369" i="8" s="1"/>
  <c r="P369" i="8" a="1"/>
  <c r="P369" i="8" s="1"/>
  <c r="X368" i="8" a="1"/>
  <c r="X368" i="8" s="1"/>
  <c r="W368" i="8" a="1"/>
  <c r="W368" i="8"/>
  <c r="V368" i="8" a="1"/>
  <c r="V368" i="8"/>
  <c r="U368" i="8" a="1"/>
  <c r="U368" i="8" s="1"/>
  <c r="T368" i="8" a="1"/>
  <c r="T368" i="8" s="1"/>
  <c r="S368" i="8" a="1"/>
  <c r="S368" i="8" s="1"/>
  <c r="R368" i="8" a="1"/>
  <c r="R368" i="8" s="1"/>
  <c r="Q368" i="8" a="1"/>
  <c r="Q368" i="8" s="1"/>
  <c r="P368" i="8" a="1"/>
  <c r="P368" i="8"/>
  <c r="X367" i="8" a="1"/>
  <c r="X367" i="8" s="1"/>
  <c r="W367" i="8" a="1"/>
  <c r="W367" i="8" s="1"/>
  <c r="V367" i="8" a="1"/>
  <c r="V367" i="8" s="1"/>
  <c r="U367" i="8" a="1"/>
  <c r="U367" i="8" s="1"/>
  <c r="T367" i="8" a="1"/>
  <c r="T367" i="8"/>
  <c r="S367" i="8" a="1"/>
  <c r="S367" i="8"/>
  <c r="R367" i="8" a="1"/>
  <c r="R367" i="8" s="1"/>
  <c r="Q367" i="8" a="1"/>
  <c r="Q367" i="8" s="1"/>
  <c r="P367" i="8" a="1"/>
  <c r="P367" i="8" s="1"/>
  <c r="X366" i="8" a="1"/>
  <c r="X366" i="8" s="1"/>
  <c r="W366" i="8" a="1"/>
  <c r="W366" i="8"/>
  <c r="V366" i="8" a="1"/>
  <c r="V366" i="8" s="1"/>
  <c r="U366" i="8" a="1"/>
  <c r="U366" i="8" s="1"/>
  <c r="T366" i="8" a="1"/>
  <c r="T366" i="8"/>
  <c r="S366" i="8" a="1"/>
  <c r="S366" i="8" s="1"/>
  <c r="R366" i="8" a="1"/>
  <c r="R366" i="8" s="1"/>
  <c r="Q366" i="8" a="1"/>
  <c r="Q366" i="8" s="1"/>
  <c r="P366" i="8" a="1"/>
  <c r="P366" i="8" s="1"/>
  <c r="X365" i="8" a="1"/>
  <c r="X365" i="8"/>
  <c r="W365" i="8" a="1"/>
  <c r="W365" i="8"/>
  <c r="V365" i="8" a="1"/>
  <c r="V365" i="8" s="1"/>
  <c r="U365" i="8" a="1"/>
  <c r="U365" i="8" s="1"/>
  <c r="T365" i="8" a="1"/>
  <c r="T365" i="8" s="1"/>
  <c r="S365" i="8" a="1"/>
  <c r="S365" i="8" s="1"/>
  <c r="R365" i="8" a="1"/>
  <c r="R365" i="8" s="1"/>
  <c r="Q365" i="8" a="1"/>
  <c r="Q365" i="8"/>
  <c r="P365" i="8" a="1"/>
  <c r="P365" i="8" s="1"/>
  <c r="X364" i="8" a="1"/>
  <c r="X364" i="8" s="1"/>
  <c r="W364" i="8" a="1"/>
  <c r="W364" i="8" s="1"/>
  <c r="V364" i="8" a="1"/>
  <c r="V364" i="8" s="1"/>
  <c r="U364" i="8" a="1"/>
  <c r="U364" i="8" s="1"/>
  <c r="T364" i="8" a="1"/>
  <c r="T364" i="8"/>
  <c r="S364" i="8" a="1"/>
  <c r="S364" i="8" s="1"/>
  <c r="R364" i="8" a="1"/>
  <c r="R364" i="8" s="1"/>
  <c r="Q364" i="8" a="1"/>
  <c r="Q364" i="8" s="1"/>
  <c r="P364" i="8" a="1"/>
  <c r="P364" i="8" s="1"/>
  <c r="X363" i="8" a="1"/>
  <c r="X363" i="8" s="1"/>
  <c r="W363" i="8" a="1"/>
  <c r="W363" i="8"/>
  <c r="V363" i="8" a="1"/>
  <c r="V363" i="8" s="1"/>
  <c r="U363" i="8" a="1"/>
  <c r="U363" i="8" s="1"/>
  <c r="T363" i="8" a="1"/>
  <c r="T363" i="8" s="1"/>
  <c r="S363" i="8" a="1"/>
  <c r="S363" i="8" s="1"/>
  <c r="R363" i="8" a="1"/>
  <c r="R363" i="8" s="1"/>
  <c r="Q363" i="8" a="1"/>
  <c r="Q363" i="8"/>
  <c r="P363" i="8" a="1"/>
  <c r="P363" i="8" s="1"/>
  <c r="X362" i="8" a="1"/>
  <c r="X362" i="8"/>
  <c r="W362" i="8" a="1"/>
  <c r="W362" i="8" s="1"/>
  <c r="V362" i="8" a="1"/>
  <c r="V362" i="8" s="1"/>
  <c r="U362" i="8" a="1"/>
  <c r="U362" i="8" s="1"/>
  <c r="T362" i="8" a="1"/>
  <c r="T362" i="8" s="1"/>
  <c r="S362" i="8" a="1"/>
  <c r="S362" i="8" s="1"/>
  <c r="R362" i="8" a="1"/>
  <c r="R362" i="8"/>
  <c r="Q362" i="8" a="1"/>
  <c r="Q362" i="8"/>
  <c r="P362" i="8" a="1"/>
  <c r="P362" i="8" s="1"/>
  <c r="X361" i="8" a="1"/>
  <c r="X361" i="8" s="1"/>
  <c r="W361" i="8" a="1"/>
  <c r="W361" i="8" s="1"/>
  <c r="V361" i="8" a="1"/>
  <c r="V361" i="8" s="1"/>
  <c r="U361" i="8" a="1"/>
  <c r="U361" i="8"/>
  <c r="T361" i="8" a="1"/>
  <c r="T361" i="8" s="1"/>
  <c r="S361" i="8" a="1"/>
  <c r="S361" i="8" s="1"/>
  <c r="R361" i="8" a="1"/>
  <c r="R361" i="8" s="1"/>
  <c r="Q361" i="8" a="1"/>
  <c r="Q361" i="8" s="1"/>
  <c r="P361" i="8" a="1"/>
  <c r="P361" i="8" s="1"/>
  <c r="X360" i="8" a="1"/>
  <c r="X360" i="8"/>
  <c r="W360" i="8" a="1"/>
  <c r="W360" i="8" s="1"/>
  <c r="V360" i="8" a="1"/>
  <c r="V360" i="8" s="1"/>
  <c r="U360" i="8" a="1"/>
  <c r="U360" i="8" s="1"/>
  <c r="T360" i="8" a="1"/>
  <c r="T360" i="8" s="1"/>
  <c r="S360" i="8" a="1"/>
  <c r="S360" i="8" s="1"/>
  <c r="R360" i="8" a="1"/>
  <c r="R360" i="8" s="1"/>
  <c r="Q360" i="8" a="1"/>
  <c r="Q360" i="8"/>
  <c r="P360" i="8" a="1"/>
  <c r="P360" i="8" s="1"/>
  <c r="X359" i="8" a="1"/>
  <c r="X359" i="8" s="1"/>
  <c r="W359" i="8" a="1"/>
  <c r="W359" i="8" s="1"/>
  <c r="V359" i="8" a="1"/>
  <c r="V359" i="8" s="1"/>
  <c r="U359" i="8" a="1"/>
  <c r="U359" i="8"/>
  <c r="T359" i="8" a="1"/>
  <c r="T359" i="8" s="1"/>
  <c r="S359" i="8" a="1"/>
  <c r="S359" i="8" s="1"/>
  <c r="R359" i="8" a="1"/>
  <c r="R359" i="8"/>
  <c r="Q359" i="8" a="1"/>
  <c r="Q359" i="8" s="1"/>
  <c r="P359" i="8" a="1"/>
  <c r="P359" i="8" s="1"/>
  <c r="X358" i="8" a="1"/>
  <c r="X358" i="8" s="1"/>
  <c r="W358" i="8" a="1"/>
  <c r="W358" i="8" s="1"/>
  <c r="V358" i="8" a="1"/>
  <c r="V358" i="8"/>
  <c r="U358" i="8" a="1"/>
  <c r="U358" i="8"/>
  <c r="T358" i="8" a="1"/>
  <c r="T358" i="8" s="1"/>
  <c r="S358" i="8" a="1"/>
  <c r="S358" i="8" s="1"/>
  <c r="R358" i="8" a="1"/>
  <c r="R358" i="8" s="1"/>
  <c r="Q358" i="8" a="1"/>
  <c r="Q358" i="8" s="1"/>
  <c r="P358" i="8" a="1"/>
  <c r="P358" i="8" s="1"/>
  <c r="X357" i="8" a="1"/>
  <c r="X357" i="8"/>
  <c r="W357" i="8" a="1"/>
  <c r="W357" i="8" s="1"/>
  <c r="V357" i="8" a="1"/>
  <c r="V357" i="8" s="1"/>
  <c r="U357" i="8" a="1"/>
  <c r="U357" i="8" s="1"/>
  <c r="T357" i="8" a="1"/>
  <c r="T357" i="8" s="1"/>
  <c r="S357" i="8" a="1"/>
  <c r="S357" i="8"/>
  <c r="R357" i="8" a="1"/>
  <c r="R357" i="8"/>
  <c r="Q357" i="8" a="1"/>
  <c r="Q357" i="8" s="1"/>
  <c r="P357" i="8" a="1"/>
  <c r="P357" i="8" s="1"/>
  <c r="X356" i="8" a="1"/>
  <c r="X356" i="8" s="1"/>
  <c r="W356" i="8" a="1"/>
  <c r="W356" i="8" s="1"/>
  <c r="V356" i="8" a="1"/>
  <c r="V356" i="8"/>
  <c r="U356" i="8" a="1"/>
  <c r="U356" i="8"/>
  <c r="T356" i="8" a="1"/>
  <c r="T356" i="8" s="1"/>
  <c r="S356" i="8" a="1"/>
  <c r="S356" i="8" s="1"/>
  <c r="R356" i="8" a="1"/>
  <c r="R356" i="8" s="1"/>
  <c r="Q356" i="8" a="1"/>
  <c r="Q356" i="8" s="1"/>
  <c r="P356" i="8" a="1"/>
  <c r="P356" i="8" s="1"/>
  <c r="X355" i="8" a="1"/>
  <c r="X355" i="8" s="1"/>
  <c r="W355" i="8" a="1"/>
  <c r="W355" i="8" s="1"/>
  <c r="V355" i="8" a="1"/>
  <c r="V355" i="8" s="1"/>
  <c r="U355" i="8" a="1"/>
  <c r="U355" i="8"/>
  <c r="T355" i="8" a="1"/>
  <c r="T355" i="8" s="1"/>
  <c r="S355" i="8" a="1"/>
  <c r="S355" i="8" s="1"/>
  <c r="R355" i="8" a="1"/>
  <c r="R355" i="8" s="1"/>
  <c r="Q355" i="8" a="1"/>
  <c r="Q355" i="8" s="1"/>
  <c r="P355" i="8" a="1"/>
  <c r="P355" i="8"/>
  <c r="X354" i="8" a="1"/>
  <c r="X354" i="8" s="1"/>
  <c r="W354" i="8" a="1"/>
  <c r="W354" i="8" s="1"/>
  <c r="V354" i="8" a="1"/>
  <c r="V354" i="8" s="1"/>
  <c r="U354" i="8" a="1"/>
  <c r="U354" i="8" s="1"/>
  <c r="T354" i="8" a="1"/>
  <c r="T354" i="8" s="1"/>
  <c r="S354" i="8" a="1"/>
  <c r="S354" i="8"/>
  <c r="R354" i="8" a="1"/>
  <c r="R354" i="8" s="1"/>
  <c r="Q354" i="8" a="1"/>
  <c r="Q354" i="8"/>
  <c r="P354" i="8" a="1"/>
  <c r="P354" i="8" s="1"/>
  <c r="X353" i="8" a="1"/>
  <c r="X353" i="8" s="1"/>
  <c r="W353" i="8" a="1"/>
  <c r="W353" i="8"/>
  <c r="V353" i="8" a="1"/>
  <c r="V353" i="8"/>
  <c r="U353" i="8" a="1"/>
  <c r="U353" i="8" s="1"/>
  <c r="T353" i="8" a="1"/>
  <c r="T353" i="8" s="1"/>
  <c r="S353" i="8" a="1"/>
  <c r="S353" i="8" s="1"/>
  <c r="R353" i="8" a="1"/>
  <c r="R353" i="8" s="1"/>
  <c r="Q353" i="8" a="1"/>
  <c r="Q353" i="8" s="1"/>
  <c r="P353" i="8" a="1"/>
  <c r="P353" i="8" s="1"/>
  <c r="X352" i="8" a="1"/>
  <c r="X352" i="8" s="1"/>
  <c r="W352" i="8" a="1"/>
  <c r="W352" i="8" s="1"/>
  <c r="V352" i="8" a="1"/>
  <c r="V352" i="8" s="1"/>
  <c r="U352" i="8" a="1"/>
  <c r="U352" i="8" s="1"/>
  <c r="T352" i="8" a="1"/>
  <c r="T352" i="8" s="1"/>
  <c r="S352" i="8" a="1"/>
  <c r="S352" i="8"/>
  <c r="R352" i="8" a="1"/>
  <c r="R352" i="8" s="1"/>
  <c r="Q352" i="8" a="1"/>
  <c r="Q352" i="8" s="1"/>
  <c r="P352" i="8" a="1"/>
  <c r="P352" i="8"/>
  <c r="X351" i="8" a="1"/>
  <c r="X351" i="8" s="1"/>
  <c r="W351" i="8" a="1"/>
  <c r="W351" i="8" s="1"/>
  <c r="V351" i="8" a="1"/>
  <c r="V351" i="8" s="1"/>
  <c r="U351" i="8" a="1"/>
  <c r="U351" i="8" s="1"/>
  <c r="T351" i="8" a="1"/>
  <c r="T351" i="8"/>
  <c r="S351" i="8" a="1"/>
  <c r="S351" i="8" s="1"/>
  <c r="R351" i="8" a="1"/>
  <c r="R351" i="8"/>
  <c r="Q351" i="8" a="1"/>
  <c r="Q351" i="8" s="1"/>
  <c r="P351" i="8" a="1"/>
  <c r="P351" i="8" s="1"/>
  <c r="X350" i="8" a="1"/>
  <c r="X350" i="8" s="1"/>
  <c r="W350" i="8" a="1"/>
  <c r="W350" i="8"/>
  <c r="V350" i="8" a="1"/>
  <c r="V350" i="8"/>
  <c r="U350" i="8" a="1"/>
  <c r="U350" i="8" s="1"/>
  <c r="T350" i="8" a="1"/>
  <c r="T350" i="8" s="1"/>
  <c r="S350" i="8" a="1"/>
  <c r="S350" i="8" s="1"/>
  <c r="R350" i="8" a="1"/>
  <c r="R350" i="8" s="1"/>
  <c r="Q350" i="8" a="1"/>
  <c r="Q350" i="8" s="1"/>
  <c r="P350" i="8" a="1"/>
  <c r="P350" i="8"/>
  <c r="X349" i="8" a="1"/>
  <c r="X349" i="8" s="1"/>
  <c r="W349" i="8" a="1"/>
  <c r="W349" i="8" s="1"/>
  <c r="V349" i="8" a="1"/>
  <c r="V349" i="8" s="1"/>
  <c r="U349" i="8" a="1"/>
  <c r="U349" i="8" s="1"/>
  <c r="T349" i="8" a="1"/>
  <c r="T349" i="8" s="1"/>
  <c r="S349" i="8" a="1"/>
  <c r="S349" i="8"/>
  <c r="R349" i="8" a="1"/>
  <c r="R349" i="8" s="1"/>
  <c r="Q349" i="8" a="1"/>
  <c r="Q349" i="8" s="1"/>
  <c r="P349" i="8" a="1"/>
  <c r="P349" i="8" s="1"/>
  <c r="X348" i="8" a="1"/>
  <c r="X348" i="8" s="1"/>
  <c r="W348" i="8" a="1"/>
  <c r="W348" i="8" s="1"/>
  <c r="V348" i="8" a="1"/>
  <c r="V348" i="8" s="1"/>
  <c r="U348" i="8" a="1"/>
  <c r="U348" i="8" s="1"/>
  <c r="T348" i="8" a="1"/>
  <c r="T348" i="8" s="1"/>
  <c r="S348" i="8" a="1"/>
  <c r="S348" i="8" s="1"/>
  <c r="R348" i="8" a="1"/>
  <c r="R348" i="8" s="1"/>
  <c r="Q348" i="8" a="1"/>
  <c r="Q348" i="8" s="1"/>
  <c r="P348" i="8" a="1"/>
  <c r="P348" i="8" s="1"/>
  <c r="X347" i="8" a="1"/>
  <c r="X347" i="8" s="1"/>
  <c r="W347" i="8" a="1"/>
  <c r="W347" i="8" s="1"/>
  <c r="V347" i="8" a="1"/>
  <c r="V347" i="8" s="1"/>
  <c r="U347" i="8" a="1"/>
  <c r="U347" i="8" s="1"/>
  <c r="T347" i="8" a="1"/>
  <c r="T347" i="8" s="1"/>
  <c r="S347" i="8" a="1"/>
  <c r="S347" i="8" s="1"/>
  <c r="R347" i="8" a="1"/>
  <c r="R347" i="8"/>
  <c r="Q347" i="8" a="1"/>
  <c r="Q347" i="8"/>
  <c r="P347" i="8" a="1"/>
  <c r="P347" i="8"/>
  <c r="X346" i="8" a="1"/>
  <c r="X346" i="8" s="1"/>
  <c r="W346" i="8" a="1"/>
  <c r="W346" i="8" s="1"/>
  <c r="V346" i="8" a="1"/>
  <c r="V346" i="8" s="1"/>
  <c r="U346" i="8" a="1"/>
  <c r="U346" i="8" s="1"/>
  <c r="T346" i="8" a="1"/>
  <c r="T346" i="8"/>
  <c r="S346" i="8" a="1"/>
  <c r="S346" i="8" s="1"/>
  <c r="R346" i="8" a="1"/>
  <c r="R346" i="8" s="1"/>
  <c r="Q346" i="8" a="1"/>
  <c r="Q346" i="8" s="1"/>
  <c r="P346" i="8" a="1"/>
  <c r="P346" i="8" s="1"/>
  <c r="X345" i="8" a="1"/>
  <c r="X345" i="8" s="1"/>
  <c r="W345" i="8" a="1"/>
  <c r="W345" i="8" s="1"/>
  <c r="V345" i="8" a="1"/>
  <c r="V345" i="8" s="1"/>
  <c r="U345" i="8" a="1"/>
  <c r="U345" i="8" s="1"/>
  <c r="T345" i="8" a="1"/>
  <c r="T345" i="8" s="1"/>
  <c r="S345" i="8" a="1"/>
  <c r="S345" i="8" s="1"/>
  <c r="R345" i="8" a="1"/>
  <c r="R345" i="8" s="1"/>
  <c r="Q345" i="8" a="1"/>
  <c r="Q345" i="8" s="1"/>
  <c r="P345" i="8" a="1"/>
  <c r="P345" i="8" s="1"/>
  <c r="X344" i="8" a="1"/>
  <c r="X344" i="8" s="1"/>
  <c r="W344" i="8" a="1"/>
  <c r="W344" i="8"/>
  <c r="V344" i="8" a="1"/>
  <c r="V344" i="8" s="1"/>
  <c r="U344" i="8" a="1"/>
  <c r="U344" i="8" s="1"/>
  <c r="T344" i="8" a="1"/>
  <c r="T344" i="8" s="1"/>
  <c r="S344" i="8" a="1"/>
  <c r="S344" i="8"/>
  <c r="R344" i="8" a="1"/>
  <c r="R344" i="8" s="1"/>
  <c r="Q344" i="8" a="1"/>
  <c r="Q344" i="8"/>
  <c r="P344" i="8" a="1"/>
  <c r="P344" i="8"/>
  <c r="X343" i="8" a="1"/>
  <c r="X343" i="8" s="1"/>
  <c r="W343" i="8" a="1"/>
  <c r="W343" i="8"/>
  <c r="V343" i="8" a="1"/>
  <c r="V343" i="8" s="1"/>
  <c r="U343" i="8" a="1"/>
  <c r="U343" i="8" s="1"/>
  <c r="T343" i="8" a="1"/>
  <c r="T343" i="8"/>
  <c r="S343" i="8" a="1"/>
  <c r="S343" i="8" s="1"/>
  <c r="R343" i="8" a="1"/>
  <c r="R343" i="8" s="1"/>
  <c r="Q343" i="8" a="1"/>
  <c r="Q343" i="8"/>
  <c r="P343" i="8" a="1"/>
  <c r="P343" i="8"/>
  <c r="X342" i="8" a="1"/>
  <c r="X342" i="8" s="1"/>
  <c r="W342" i="8" a="1"/>
  <c r="W342" i="8"/>
  <c r="V342" i="8" a="1"/>
  <c r="V342" i="8" s="1"/>
  <c r="U342" i="8" a="1"/>
  <c r="U342" i="8" s="1"/>
  <c r="T342" i="8" a="1"/>
  <c r="T342" i="8" s="1"/>
  <c r="S342" i="8" a="1"/>
  <c r="S342" i="8"/>
  <c r="R342" i="8" a="1"/>
  <c r="R342" i="8" s="1"/>
  <c r="Q342" i="8" a="1"/>
  <c r="Q342" i="8" s="1"/>
  <c r="P342" i="8" a="1"/>
  <c r="P342" i="8" s="1"/>
  <c r="X341" i="8" a="1"/>
  <c r="X341" i="8"/>
  <c r="W341" i="8" a="1"/>
  <c r="W341" i="8" s="1"/>
  <c r="V341" i="8" a="1"/>
  <c r="V341" i="8" s="1"/>
  <c r="U341" i="8" a="1"/>
  <c r="U341" i="8"/>
  <c r="T341" i="8" a="1"/>
  <c r="T341" i="8" s="1"/>
  <c r="S341" i="8" a="1"/>
  <c r="S341" i="8" s="1"/>
  <c r="R341" i="8" a="1"/>
  <c r="R341" i="8" s="1"/>
  <c r="Q341" i="8" a="1"/>
  <c r="Q341" i="8" s="1"/>
  <c r="P341" i="8" a="1"/>
  <c r="P341" i="8"/>
  <c r="X340" i="8" a="1"/>
  <c r="X340" i="8" s="1"/>
  <c r="W340" i="8" a="1"/>
  <c r="W340" i="8"/>
  <c r="V340" i="8" a="1"/>
  <c r="V340" i="8"/>
  <c r="U340" i="8" a="1"/>
  <c r="U340" i="8"/>
  <c r="T340" i="8" a="1"/>
  <c r="T340" i="8"/>
  <c r="S340" i="8" a="1"/>
  <c r="S340" i="8" s="1"/>
  <c r="R340" i="8" a="1"/>
  <c r="R340" i="8" s="1"/>
  <c r="Q340" i="8" a="1"/>
  <c r="Q340" i="8" s="1"/>
  <c r="P340" i="8" a="1"/>
  <c r="P340" i="8" s="1"/>
  <c r="X339" i="8" a="1"/>
  <c r="X339" i="8" s="1"/>
  <c r="W339" i="8" a="1"/>
  <c r="W339" i="8" s="1"/>
  <c r="V339" i="8" a="1"/>
  <c r="V339" i="8" s="1"/>
  <c r="U339" i="8" a="1"/>
  <c r="U339" i="8"/>
  <c r="T339" i="8" a="1"/>
  <c r="T339" i="8" s="1"/>
  <c r="S339" i="8" a="1"/>
  <c r="S339" i="8"/>
  <c r="R339" i="8" a="1"/>
  <c r="R339" i="8"/>
  <c r="Q339" i="8" a="1"/>
  <c r="Q339" i="8"/>
  <c r="P339" i="8" a="1"/>
  <c r="P339" i="8" s="1"/>
  <c r="X338" i="8" a="1"/>
  <c r="X338" i="8"/>
  <c r="W338" i="8" a="1"/>
  <c r="W338" i="8" s="1"/>
  <c r="V338" i="8" a="1"/>
  <c r="V338" i="8" s="1"/>
  <c r="U338" i="8" a="1"/>
  <c r="U338" i="8" s="1"/>
  <c r="T338" i="8" a="1"/>
  <c r="T338" i="8" s="1"/>
  <c r="S338" i="8" a="1"/>
  <c r="S338" i="8"/>
  <c r="R338" i="8" a="1"/>
  <c r="R338" i="8"/>
  <c r="Q338" i="8" a="1"/>
  <c r="Q338" i="8" s="1"/>
  <c r="P338" i="8" a="1"/>
  <c r="P338" i="8"/>
  <c r="X337" i="8" a="1"/>
  <c r="X337" i="8" s="1"/>
  <c r="W337" i="8" a="1"/>
  <c r="W337" i="8" s="1"/>
  <c r="V337" i="8" a="1"/>
  <c r="V337" i="8"/>
  <c r="U337" i="8" a="1"/>
  <c r="U337" i="8"/>
  <c r="T337" i="8" a="1"/>
  <c r="T337" i="8" s="1"/>
  <c r="S337" i="8" a="1"/>
  <c r="S337" i="8" s="1"/>
  <c r="R337" i="8" a="1"/>
  <c r="R337" i="8" s="1"/>
  <c r="Q337" i="8" a="1"/>
  <c r="Q337" i="8" s="1"/>
  <c r="P337" i="8" a="1"/>
  <c r="P337" i="8" s="1"/>
  <c r="X336" i="8" a="1"/>
  <c r="X336" i="8" s="1"/>
  <c r="W336" i="8" a="1"/>
  <c r="W336" i="8"/>
  <c r="V336" i="8" a="1"/>
  <c r="V336" i="8" s="1"/>
  <c r="U336" i="8" a="1"/>
  <c r="U336" i="8" s="1"/>
  <c r="T336" i="8" a="1"/>
  <c r="T336" i="8" s="1"/>
  <c r="S336" i="8" a="1"/>
  <c r="S336" i="8" s="1"/>
  <c r="R336" i="8" a="1"/>
  <c r="R336" i="8"/>
  <c r="Q336" i="8" a="1"/>
  <c r="Q336" i="8" s="1"/>
  <c r="P336" i="8" a="1"/>
  <c r="P336" i="8" s="1"/>
  <c r="X335" i="8" a="1"/>
  <c r="X335" i="8"/>
  <c r="W335" i="8" a="1"/>
  <c r="W335" i="8" s="1"/>
  <c r="V335" i="8" a="1"/>
  <c r="V335" i="8" s="1"/>
  <c r="U335" i="8" a="1"/>
  <c r="U335" i="8" s="1"/>
  <c r="T335" i="8" a="1"/>
  <c r="T335" i="8" s="1"/>
  <c r="S335" i="8" a="1"/>
  <c r="S335" i="8" s="1"/>
  <c r="R335" i="8" a="1"/>
  <c r="R335" i="8"/>
  <c r="Q335" i="8" a="1"/>
  <c r="Q335" i="8"/>
  <c r="P335" i="8" a="1"/>
  <c r="P335" i="8" s="1"/>
  <c r="X334" i="8" a="1"/>
  <c r="X334" i="8" s="1"/>
  <c r="W334" i="8" a="1"/>
  <c r="W334" i="8"/>
  <c r="V334" i="8" a="1"/>
  <c r="V334" i="8"/>
  <c r="U334" i="8" a="1"/>
  <c r="U334" i="8" s="1"/>
  <c r="T334" i="8" a="1"/>
  <c r="T334" i="8"/>
  <c r="S334" i="8" a="1"/>
  <c r="S334" i="8" s="1"/>
  <c r="R334" i="8" a="1"/>
  <c r="R334" i="8" s="1"/>
  <c r="Q334" i="8" a="1"/>
  <c r="Q334" i="8" s="1"/>
  <c r="P334" i="8" a="1"/>
  <c r="P334" i="8" s="1"/>
  <c r="X333" i="8" a="1"/>
  <c r="X333" i="8"/>
  <c r="W333" i="8" a="1"/>
  <c r="W333" i="8" s="1"/>
  <c r="V333" i="8" a="1"/>
  <c r="V333" i="8" s="1"/>
  <c r="U333" i="8" a="1"/>
  <c r="U333" i="8"/>
  <c r="T333" i="8" a="1"/>
  <c r="T333" i="8"/>
  <c r="S333" i="8" a="1"/>
  <c r="S333" i="8"/>
  <c r="R333" i="8" a="1"/>
  <c r="R333" i="8"/>
  <c r="Q333" i="8" a="1"/>
  <c r="Q333" i="8" s="1"/>
  <c r="P333" i="8" a="1"/>
  <c r="P333" i="8" s="1"/>
  <c r="X332" i="8" a="1"/>
  <c r="X332" i="8" s="1"/>
  <c r="W332" i="8" a="1"/>
  <c r="W332" i="8" s="1"/>
  <c r="V332" i="8" a="1"/>
  <c r="V332" i="8" s="1"/>
  <c r="U332" i="8" a="1"/>
  <c r="U332" i="8" s="1"/>
  <c r="T332" i="8" a="1"/>
  <c r="T332" i="8" s="1"/>
  <c r="S332" i="8" a="1"/>
  <c r="S332" i="8" s="1"/>
  <c r="R332" i="8" a="1"/>
  <c r="R332" i="8" s="1"/>
  <c r="Q332" i="8" a="1"/>
  <c r="Q332" i="8"/>
  <c r="P332" i="8" a="1"/>
  <c r="P332" i="8"/>
  <c r="X331" i="8" a="1"/>
  <c r="X331" i="8" s="1"/>
  <c r="W331" i="8" a="1"/>
  <c r="W331" i="8"/>
  <c r="V331" i="8" a="1"/>
  <c r="V331" i="8"/>
  <c r="U331" i="8" a="1"/>
  <c r="U331" i="8" s="1"/>
  <c r="T331" i="8" a="1"/>
  <c r="T331" i="8" s="1"/>
  <c r="S331" i="8" a="1"/>
  <c r="S331" i="8" s="1"/>
  <c r="R331" i="8" a="1"/>
  <c r="R331" i="8" s="1"/>
  <c r="Q331" i="8" a="1"/>
  <c r="Q331" i="8"/>
  <c r="P331" i="8" a="1"/>
  <c r="P331" i="8"/>
  <c r="X330" i="8" a="1"/>
  <c r="X330" i="8"/>
  <c r="W330" i="8" a="1"/>
  <c r="W330" i="8"/>
  <c r="V330" i="8" a="1"/>
  <c r="V330" i="8" s="1"/>
  <c r="U330" i="8" a="1"/>
  <c r="U330" i="8" s="1"/>
  <c r="T330" i="8" a="1"/>
  <c r="T330" i="8" s="1"/>
  <c r="S330" i="8" a="1"/>
  <c r="S330" i="8"/>
  <c r="R330" i="8" a="1"/>
  <c r="R330" i="8" s="1"/>
  <c r="Q330" i="8" a="1"/>
  <c r="Q330" i="8" s="1"/>
  <c r="P330" i="8" a="1"/>
  <c r="P330" i="8" s="1"/>
  <c r="X329" i="8" a="1"/>
  <c r="X329" i="8" s="1"/>
  <c r="W329" i="8" a="1"/>
  <c r="W329" i="8"/>
  <c r="V329" i="8" a="1"/>
  <c r="V329" i="8"/>
  <c r="U329" i="8" a="1"/>
  <c r="U329" i="8"/>
  <c r="T329" i="8" a="1"/>
  <c r="T329" i="8" s="1"/>
  <c r="S329" i="8" a="1"/>
  <c r="S329" i="8" s="1"/>
  <c r="R329" i="8" a="1"/>
  <c r="R329" i="8" s="1"/>
  <c r="Q329" i="8" a="1"/>
  <c r="Q329" i="8" s="1"/>
  <c r="P329" i="8" a="1"/>
  <c r="P329" i="8" s="1"/>
  <c r="X328" i="8" a="1"/>
  <c r="X328" i="8" s="1"/>
  <c r="W328" i="8" a="1"/>
  <c r="W328" i="8"/>
  <c r="V328" i="8" a="1"/>
  <c r="V328" i="8" s="1"/>
  <c r="U328" i="8" a="1"/>
  <c r="U328" i="8"/>
  <c r="T328" i="8" a="1"/>
  <c r="T328" i="8" s="1"/>
  <c r="S328" i="8" a="1"/>
  <c r="S328" i="8" s="1"/>
  <c r="R328" i="8" a="1"/>
  <c r="R328" i="8" s="1"/>
  <c r="Q328" i="8" a="1"/>
  <c r="Q328" i="8" s="1"/>
  <c r="P328" i="8" a="1"/>
  <c r="P328" i="8" s="1"/>
  <c r="X327" i="8" a="1"/>
  <c r="X327" i="8"/>
  <c r="W327" i="8" a="1"/>
  <c r="W327" i="8" s="1"/>
  <c r="V327" i="8" a="1"/>
  <c r="V327" i="8" s="1"/>
  <c r="U327" i="8" a="1"/>
  <c r="U327" i="8"/>
  <c r="T327" i="8" a="1"/>
  <c r="T327" i="8"/>
  <c r="S327" i="8" a="1"/>
  <c r="S327" i="8" s="1"/>
  <c r="R327" i="8" a="1"/>
  <c r="R327" i="8"/>
  <c r="Q327" i="8" a="1"/>
  <c r="Q327" i="8" s="1"/>
  <c r="P327" i="8" a="1"/>
  <c r="P327" i="8" s="1"/>
  <c r="X326" i="8" a="1"/>
  <c r="X326" i="8" s="1"/>
  <c r="W326" i="8" a="1"/>
  <c r="W326" i="8"/>
  <c r="V326" i="8" a="1"/>
  <c r="V326" i="8" s="1"/>
  <c r="U326" i="8" a="1"/>
  <c r="U326" i="8" s="1"/>
  <c r="T326" i="8" a="1"/>
  <c r="T326" i="8" s="1"/>
  <c r="S326" i="8" a="1"/>
  <c r="S326" i="8"/>
  <c r="R326" i="8" a="1"/>
  <c r="R326" i="8"/>
  <c r="Q326" i="8" a="1"/>
  <c r="Q326" i="8"/>
  <c r="P326" i="8" a="1"/>
  <c r="P326" i="8"/>
  <c r="X325" i="8" a="1"/>
  <c r="X325" i="8" s="1"/>
  <c r="W325" i="8" a="1"/>
  <c r="W325" i="8" s="1"/>
  <c r="V325" i="8" a="1"/>
  <c r="V325" i="8" s="1"/>
  <c r="U325" i="8" a="1"/>
  <c r="U325" i="8" s="1"/>
  <c r="T325" i="8" a="1"/>
  <c r="T325" i="8" s="1"/>
  <c r="S325" i="8" a="1"/>
  <c r="S325" i="8"/>
  <c r="R325" i="8" a="1"/>
  <c r="R325" i="8" s="1"/>
  <c r="Q325" i="8" a="1"/>
  <c r="Q325" i="8" s="1"/>
  <c r="P325" i="8" a="1"/>
  <c r="P325" i="8" s="1"/>
  <c r="X324" i="8" a="1"/>
  <c r="X324" i="8"/>
  <c r="W324" i="8" a="1"/>
  <c r="W324" i="8" s="1"/>
  <c r="V324" i="8" a="1"/>
  <c r="V324" i="8" s="1"/>
  <c r="U324" i="8" a="1"/>
  <c r="U324" i="8"/>
  <c r="T324" i="8" a="1"/>
  <c r="T324" i="8"/>
  <c r="S324" i="8" a="1"/>
  <c r="S324" i="8" s="1"/>
  <c r="R324" i="8" a="1"/>
  <c r="R324" i="8" s="1"/>
  <c r="Q324" i="8" a="1"/>
  <c r="Q324" i="8" s="1"/>
  <c r="P324" i="8" a="1"/>
  <c r="P324" i="8" s="1"/>
  <c r="X323" i="8" a="1"/>
  <c r="X323" i="8"/>
  <c r="W323" i="8" a="1"/>
  <c r="W323" i="8" s="1"/>
  <c r="V323" i="8" a="1"/>
  <c r="V323" i="8"/>
  <c r="U323" i="8" a="1"/>
  <c r="U323" i="8"/>
  <c r="T323" i="8" a="1"/>
  <c r="T323" i="8" s="1"/>
  <c r="S323" i="8" a="1"/>
  <c r="S323" i="8"/>
  <c r="R323" i="8" a="1"/>
  <c r="R323" i="8"/>
  <c r="Q323" i="8" a="1"/>
  <c r="Q323" i="8"/>
  <c r="P323" i="8" a="1"/>
  <c r="P323" i="8" s="1"/>
  <c r="X322" i="8" a="1"/>
  <c r="X322" i="8" s="1"/>
  <c r="W322" i="8" a="1"/>
  <c r="W322" i="8" s="1"/>
  <c r="V322" i="8" a="1"/>
  <c r="V322" i="8" s="1"/>
  <c r="U322" i="8" a="1"/>
  <c r="U322" i="8" s="1"/>
  <c r="T322" i="8" a="1"/>
  <c r="T322" i="8"/>
  <c r="S322" i="8" a="1"/>
  <c r="S322" i="8"/>
  <c r="R322" i="8" a="1"/>
  <c r="R322" i="8" s="1"/>
  <c r="Q322" i="8" a="1"/>
  <c r="Q322" i="8"/>
  <c r="P322" i="8" a="1"/>
  <c r="P322" i="8"/>
  <c r="X321" i="8" a="1"/>
  <c r="X321" i="8"/>
  <c r="W321" i="8" a="1"/>
  <c r="W321" i="8" s="1"/>
  <c r="V321" i="8" a="1"/>
  <c r="V321" i="8" s="1"/>
  <c r="U321" i="8" a="1"/>
  <c r="U321" i="8"/>
  <c r="T321" i="8" a="1"/>
  <c r="T321" i="8"/>
  <c r="S321" i="8" a="1"/>
  <c r="S321" i="8"/>
  <c r="R321" i="8" a="1"/>
  <c r="R321" i="8"/>
  <c r="Q321" i="8" a="1"/>
  <c r="Q321" i="8"/>
  <c r="P321" i="8" a="1"/>
  <c r="P321" i="8" s="1"/>
  <c r="X320" i="8" a="1"/>
  <c r="X320" i="8"/>
  <c r="W320" i="8" a="1"/>
  <c r="W320" i="8"/>
  <c r="V320" i="8" a="1"/>
  <c r="V320" i="8"/>
  <c r="U320" i="8" a="1"/>
  <c r="U320" i="8"/>
  <c r="T320" i="8" a="1"/>
  <c r="T320" i="8" s="1"/>
  <c r="S320" i="8" a="1"/>
  <c r="S320" i="8"/>
  <c r="R320" i="8" a="1"/>
  <c r="R320" i="8"/>
  <c r="Q320" i="8" a="1"/>
  <c r="Q320" i="8"/>
  <c r="P320" i="8" a="1"/>
  <c r="P320" i="8" s="1"/>
  <c r="X319" i="8" a="1"/>
  <c r="X319" i="8" s="1"/>
  <c r="W319" i="8" a="1"/>
  <c r="W319" i="8" s="1"/>
  <c r="V319" i="8" a="1"/>
  <c r="V319" i="8" s="1"/>
  <c r="U319" i="8" a="1"/>
  <c r="U319" i="8" s="1"/>
  <c r="T319" i="8" a="1"/>
  <c r="T319" i="8" s="1"/>
  <c r="S319" i="8" a="1"/>
  <c r="S319" i="8"/>
  <c r="R319" i="8" a="1"/>
  <c r="R319" i="8" s="1"/>
  <c r="Q319" i="8" a="1"/>
  <c r="Q319" i="8" s="1"/>
  <c r="P319" i="8" a="1"/>
  <c r="P319" i="8"/>
  <c r="X318" i="8" a="1"/>
  <c r="X318" i="8" s="1"/>
  <c r="W318" i="8" a="1"/>
  <c r="W318" i="8" s="1"/>
  <c r="V318" i="8" a="1"/>
  <c r="V318" i="8" s="1"/>
  <c r="U318" i="8" a="1"/>
  <c r="U318" i="8"/>
  <c r="T318" i="8" a="1"/>
  <c r="T318" i="8"/>
  <c r="S318" i="8" a="1"/>
  <c r="S318" i="8"/>
  <c r="R318" i="8" a="1"/>
  <c r="R318" i="8" s="1"/>
  <c r="Q318" i="8" a="1"/>
  <c r="Q318" i="8" s="1"/>
  <c r="P318" i="8" a="1"/>
  <c r="P318" i="8" s="1"/>
  <c r="X317" i="8" a="1"/>
  <c r="X317" i="8"/>
  <c r="W317" i="8" a="1"/>
  <c r="W317" i="8"/>
  <c r="V317" i="8" a="1"/>
  <c r="V317" i="8" s="1"/>
  <c r="U317" i="8" a="1"/>
  <c r="U317" i="8" s="1"/>
  <c r="T317" i="8" a="1"/>
  <c r="T317" i="8" s="1"/>
  <c r="S317" i="8" a="1"/>
  <c r="S317" i="8"/>
  <c r="R317" i="8" a="1"/>
  <c r="R317" i="8"/>
  <c r="Q317" i="8" a="1"/>
  <c r="Q317" i="8"/>
  <c r="P317" i="8" a="1"/>
  <c r="P317" i="8" s="1"/>
  <c r="X316" i="8" a="1"/>
  <c r="X316" i="8" s="1"/>
  <c r="W316" i="8" a="1"/>
  <c r="W316" i="8"/>
  <c r="V316" i="8" a="1"/>
  <c r="V316" i="8"/>
  <c r="U316" i="8" a="1"/>
  <c r="U316" i="8"/>
  <c r="T316" i="8" a="1"/>
  <c r="T316" i="8" s="1"/>
  <c r="S316" i="8" a="1"/>
  <c r="S316" i="8" s="1"/>
  <c r="R316" i="8" a="1"/>
  <c r="R316" i="8" s="1"/>
  <c r="Q316" i="8" a="1"/>
  <c r="Q316" i="8"/>
  <c r="P316" i="8" a="1"/>
  <c r="P316" i="8"/>
  <c r="X315" i="8" a="1"/>
  <c r="X315" i="8"/>
  <c r="W315" i="8" a="1"/>
  <c r="W315" i="8" s="1"/>
  <c r="V315" i="8" a="1"/>
  <c r="V315" i="8" s="1"/>
  <c r="U315" i="8" a="1"/>
  <c r="U315" i="8" s="1"/>
  <c r="T315" i="8" a="1"/>
  <c r="T315" i="8"/>
  <c r="S315" i="8" a="1"/>
  <c r="S315" i="8"/>
  <c r="R315" i="8" a="1"/>
  <c r="R315" i="8"/>
  <c r="Q315" i="8" a="1"/>
  <c r="Q315" i="8" s="1"/>
  <c r="P315" i="8" a="1"/>
  <c r="P315" i="8" s="1"/>
  <c r="X314" i="8" a="1"/>
  <c r="X314" i="8"/>
  <c r="W314" i="8" a="1"/>
  <c r="W314" i="8"/>
  <c r="V314" i="8" a="1"/>
  <c r="V314" i="8"/>
  <c r="U314" i="8" a="1"/>
  <c r="U314" i="8" s="1"/>
  <c r="T314" i="8" a="1"/>
  <c r="T314" i="8" s="1"/>
  <c r="S314" i="8" a="1"/>
  <c r="S314" i="8" s="1"/>
  <c r="R314" i="8" a="1"/>
  <c r="R314" i="8"/>
  <c r="Q314" i="8" a="1"/>
  <c r="Q314" i="8"/>
  <c r="P314" i="8" a="1"/>
  <c r="P314" i="8"/>
  <c r="X313" i="8" a="1"/>
  <c r="X313" i="8" s="1"/>
  <c r="W313" i="8" a="1"/>
  <c r="W313" i="8" s="1"/>
  <c r="V313" i="8" a="1"/>
  <c r="V313" i="8"/>
  <c r="U313" i="8" a="1"/>
  <c r="U313" i="8"/>
  <c r="T313" i="8" a="1"/>
  <c r="T313" i="8"/>
  <c r="S313" i="8" a="1"/>
  <c r="S313" i="8" s="1"/>
  <c r="R313" i="8" a="1"/>
  <c r="R313" i="8" s="1"/>
  <c r="Q313" i="8" a="1"/>
  <c r="Q313" i="8" s="1"/>
  <c r="P313" i="8" a="1"/>
  <c r="P313" i="8"/>
  <c r="X312" i="8" a="1"/>
  <c r="X312" i="8"/>
  <c r="W312" i="8" a="1"/>
  <c r="W312" i="8" s="1"/>
  <c r="V312" i="8" a="1"/>
  <c r="V312" i="8" s="1"/>
  <c r="U312" i="8" a="1"/>
  <c r="U312" i="8" s="1"/>
  <c r="T312" i="8" a="1"/>
  <c r="T312" i="8"/>
  <c r="S312" i="8" a="1"/>
  <c r="S312" i="8"/>
  <c r="R312" i="8" a="1"/>
  <c r="R312" i="8"/>
  <c r="Q312" i="8" a="1"/>
  <c r="Q312" i="8" s="1"/>
  <c r="P312" i="8" a="1"/>
  <c r="P312" i="8" s="1"/>
  <c r="X311" i="8" a="1"/>
  <c r="X311" i="8"/>
  <c r="W311" i="8" a="1"/>
  <c r="W311" i="8"/>
  <c r="V311" i="8" a="1"/>
  <c r="V311" i="8"/>
  <c r="U311" i="8" a="1"/>
  <c r="U311" i="8" s="1"/>
  <c r="T311" i="8" a="1"/>
  <c r="T311" i="8" s="1"/>
  <c r="S311" i="8" a="1"/>
  <c r="S311" i="8" s="1"/>
  <c r="R311" i="8" a="1"/>
  <c r="R311" i="8"/>
  <c r="Q311" i="8" a="1"/>
  <c r="Q311" i="8"/>
  <c r="P311" i="8" a="1"/>
  <c r="P311" i="8"/>
  <c r="X310" i="8" a="1"/>
  <c r="X310" i="8" s="1"/>
  <c r="W310" i="8" a="1"/>
  <c r="W310" i="8" s="1"/>
  <c r="V310" i="8" a="1"/>
  <c r="V310" i="8"/>
  <c r="U310" i="8" a="1"/>
  <c r="U310" i="8"/>
  <c r="T310" i="8" a="1"/>
  <c r="T310" i="8"/>
  <c r="S310" i="8" a="1"/>
  <c r="S310" i="8" s="1"/>
  <c r="R310" i="8" a="1"/>
  <c r="R310" i="8" s="1"/>
  <c r="Q310" i="8" a="1"/>
  <c r="Q310" i="8" s="1"/>
  <c r="P310" i="8" a="1"/>
  <c r="P310" i="8"/>
  <c r="X309" i="8" a="1"/>
  <c r="X309" i="8" s="1"/>
  <c r="W309" i="8" a="1"/>
  <c r="W309" i="8"/>
  <c r="V309" i="8" a="1"/>
  <c r="V309" i="8"/>
  <c r="U309" i="8" a="1"/>
  <c r="U309" i="8"/>
  <c r="T309" i="8" a="1"/>
  <c r="T309" i="8"/>
  <c r="S309" i="8" a="1"/>
  <c r="S309" i="8"/>
  <c r="R309" i="8" a="1"/>
  <c r="R309" i="8" s="1"/>
  <c r="Q309" i="8" a="1"/>
  <c r="Q309" i="8"/>
  <c r="P309" i="8" a="1"/>
  <c r="P309" i="8" s="1"/>
  <c r="X308" i="8" a="1"/>
  <c r="X308" i="8"/>
  <c r="W308" i="8" a="1"/>
  <c r="W308" i="8"/>
  <c r="V308" i="8" a="1"/>
  <c r="V308" i="8" s="1"/>
  <c r="U308" i="8" a="1"/>
  <c r="U308" i="8"/>
  <c r="T308" i="8" a="1"/>
  <c r="T308" i="8" s="1"/>
  <c r="S308" i="8" a="1"/>
  <c r="S308" i="8"/>
  <c r="R308" i="8" a="1"/>
  <c r="R308" i="8"/>
  <c r="Q308" i="8" a="1"/>
  <c r="Q308" i="8"/>
  <c r="P308" i="8" a="1"/>
  <c r="P308" i="8" s="1"/>
  <c r="X307" i="8" a="1"/>
  <c r="X307" i="8"/>
  <c r="W307" i="8" a="1"/>
  <c r="W307" i="8"/>
  <c r="V307" i="8" a="1"/>
  <c r="V307" i="8"/>
  <c r="U307" i="8" a="1"/>
  <c r="U307" i="8"/>
  <c r="T307" i="8" a="1"/>
  <c r="T307" i="8" s="1"/>
  <c r="S307" i="8" a="1"/>
  <c r="S307" i="8"/>
  <c r="R307" i="8" a="1"/>
  <c r="R307" i="8" s="1"/>
  <c r="Q307" i="8" a="1"/>
  <c r="Q307" i="8"/>
  <c r="P307" i="8" a="1"/>
  <c r="P307" i="8"/>
  <c r="X306" i="8" a="1"/>
  <c r="X306" i="8"/>
  <c r="W306" i="8" a="1"/>
  <c r="W306" i="8"/>
  <c r="V306" i="8" a="1"/>
  <c r="V306" i="8" s="1"/>
  <c r="U306" i="8" a="1"/>
  <c r="U306" i="8"/>
  <c r="T306" i="8" a="1"/>
  <c r="T306" i="8"/>
  <c r="S306" i="8" a="1"/>
  <c r="S306" i="8"/>
  <c r="R306" i="8" a="1"/>
  <c r="R306" i="8"/>
  <c r="Q306" i="8" a="1"/>
  <c r="Q306" i="8"/>
  <c r="P306" i="8" a="1"/>
  <c r="P306" i="8" s="1"/>
  <c r="X305" i="8" a="1"/>
  <c r="X305" i="8"/>
  <c r="W305" i="8" a="1"/>
  <c r="W305" i="8"/>
  <c r="V305" i="8" a="1"/>
  <c r="V305" i="8"/>
  <c r="U305" i="8" a="1"/>
  <c r="U305" i="8"/>
  <c r="T305" i="8" a="1"/>
  <c r="T305" i="8" s="1"/>
  <c r="S305" i="8" a="1"/>
  <c r="S305" i="8"/>
  <c r="R305" i="8" a="1"/>
  <c r="R305" i="8"/>
  <c r="Q305" i="8" a="1"/>
  <c r="Q305" i="8"/>
  <c r="P305" i="8" a="1"/>
  <c r="P305" i="8"/>
  <c r="X304" i="8" a="1"/>
  <c r="X304" i="8"/>
  <c r="W304" i="8" a="1"/>
  <c r="W304" i="8" s="1"/>
  <c r="V304" i="8" a="1"/>
  <c r="V304" i="8"/>
  <c r="U304" i="8" a="1"/>
  <c r="U304" i="8"/>
  <c r="T304" i="8" a="1"/>
  <c r="T304" i="8"/>
  <c r="S304" i="8" a="1"/>
  <c r="S304" i="8"/>
  <c r="R304" i="8" a="1"/>
  <c r="R304" i="8"/>
  <c r="Q304" i="8" a="1"/>
  <c r="Q304" i="8" s="1"/>
  <c r="P304" i="8" a="1"/>
  <c r="P304" i="8"/>
  <c r="X303" i="8" a="1"/>
  <c r="X303" i="8" s="1"/>
  <c r="W303" i="8" a="1"/>
  <c r="W303" i="8" s="1"/>
  <c r="V303" i="8" a="1"/>
  <c r="V303" i="8"/>
  <c r="U303" i="8" a="1"/>
  <c r="U303" i="8" s="1"/>
  <c r="T303" i="8" a="1"/>
  <c r="T303" i="8"/>
  <c r="S303" i="8" a="1"/>
  <c r="S303" i="8"/>
  <c r="R303" i="8" a="1"/>
  <c r="R303" i="8" s="1"/>
  <c r="Q303" i="8" a="1"/>
  <c r="Q303" i="8" s="1"/>
  <c r="P303" i="8" a="1"/>
  <c r="P303" i="8"/>
  <c r="X302" i="8" a="1"/>
  <c r="X302" i="8"/>
  <c r="W302" i="8" a="1"/>
  <c r="W302" i="8"/>
  <c r="V302" i="8" a="1"/>
  <c r="V302" i="8" s="1"/>
  <c r="U302" i="8" a="1"/>
  <c r="U302" i="8" s="1"/>
  <c r="T302" i="8" a="1"/>
  <c r="T302" i="8"/>
  <c r="S302" i="8" a="1"/>
  <c r="S302" i="8" s="1"/>
  <c r="R302" i="8" a="1"/>
  <c r="R302" i="8"/>
  <c r="Q302" i="8" a="1"/>
  <c r="Q302" i="8"/>
  <c r="P302" i="8" a="1"/>
  <c r="P302" i="8" s="1"/>
  <c r="X301" i="8" a="1"/>
  <c r="X301" i="8"/>
  <c r="W301" i="8" a="1"/>
  <c r="W301" i="8"/>
  <c r="V301" i="8" a="1"/>
  <c r="V301" i="8"/>
  <c r="U301" i="8" a="1"/>
  <c r="U301" i="8"/>
  <c r="T301" i="8" a="1"/>
  <c r="T301" i="8" s="1"/>
  <c r="S301" i="8" a="1"/>
  <c r="S301" i="8" s="1"/>
  <c r="R301" i="8" a="1"/>
  <c r="R301" i="8"/>
  <c r="Q301" i="8" a="1"/>
  <c r="Q301" i="8" s="1"/>
  <c r="P301" i="8" a="1"/>
  <c r="P301" i="8"/>
  <c r="X300" i="8" a="1"/>
  <c r="X300" i="8" s="1"/>
  <c r="W300" i="8" a="1"/>
  <c r="W300" i="8"/>
  <c r="V300" i="8" a="1"/>
  <c r="V300" i="8"/>
  <c r="U300" i="8" a="1"/>
  <c r="U300" i="8" s="1"/>
  <c r="T300" i="8" a="1"/>
  <c r="T300" i="8"/>
  <c r="S300" i="8" a="1"/>
  <c r="S300" i="8"/>
  <c r="R300" i="8" a="1"/>
  <c r="R300" i="8" s="1"/>
  <c r="Q300" i="8" a="1"/>
  <c r="Q300" i="8"/>
  <c r="P300" i="8" a="1"/>
  <c r="P300" i="8"/>
  <c r="X299" i="8" a="1"/>
  <c r="X299" i="8"/>
  <c r="W299" i="8" a="1"/>
  <c r="W299" i="8"/>
  <c r="V299" i="8" a="1"/>
  <c r="V299" i="8" s="1"/>
  <c r="U299" i="8" a="1"/>
  <c r="U299" i="8"/>
  <c r="T299" i="8" a="1"/>
  <c r="T299" i="8"/>
  <c r="S299" i="8" a="1"/>
  <c r="S299" i="8" s="1"/>
  <c r="R299" i="8" a="1"/>
  <c r="R299" i="8"/>
  <c r="Q299" i="8" a="1"/>
  <c r="Q299" i="8"/>
  <c r="P299" i="8" a="1"/>
  <c r="P299" i="8" s="1"/>
  <c r="X298" i="8" a="1"/>
  <c r="X298" i="8"/>
  <c r="W298" i="8" a="1"/>
  <c r="W298" i="8" s="1"/>
  <c r="V298" i="8" a="1"/>
  <c r="V298" i="8"/>
  <c r="U298" i="8" a="1"/>
  <c r="U298" i="8"/>
  <c r="T298" i="8" a="1"/>
  <c r="T298" i="8"/>
  <c r="S298" i="8" a="1"/>
  <c r="S298" i="8"/>
  <c r="R298" i="8" a="1"/>
  <c r="R298" i="8"/>
  <c r="Q298" i="8" a="1"/>
  <c r="Q298" i="8" s="1"/>
  <c r="P298" i="8" a="1"/>
  <c r="P298" i="8"/>
  <c r="X297" i="8" a="1"/>
  <c r="X297" i="8"/>
  <c r="W297" i="8" a="1"/>
  <c r="W297" i="8" s="1"/>
  <c r="V297" i="8" a="1"/>
  <c r="V297" i="8" s="1"/>
  <c r="U297" i="8" a="1"/>
  <c r="U297" i="8"/>
  <c r="T297" i="8" a="1"/>
  <c r="T297" i="8"/>
  <c r="S297" i="8" a="1"/>
  <c r="S297" i="8"/>
  <c r="R297" i="8" a="1"/>
  <c r="R297" i="8" s="1"/>
  <c r="Q297" i="8" a="1"/>
  <c r="Q297" i="8" s="1"/>
  <c r="P297" i="8" a="1"/>
  <c r="P297" i="8" s="1"/>
  <c r="X296" i="8" a="1"/>
  <c r="X296" i="8"/>
  <c r="W296" i="8" a="1"/>
  <c r="W296" i="8"/>
  <c r="V296" i="8" a="1"/>
  <c r="V296" i="8" s="1"/>
  <c r="U296" i="8" a="1"/>
  <c r="U296" i="8" s="1"/>
  <c r="T296" i="8" a="1"/>
  <c r="T296" i="8" s="1"/>
  <c r="S296" i="8" a="1"/>
  <c r="S296" i="8"/>
  <c r="R296" i="8" a="1"/>
  <c r="R296" i="8"/>
  <c r="Q296" i="8" a="1"/>
  <c r="Q296" i="8"/>
  <c r="P296" i="8" a="1"/>
  <c r="P296" i="8" s="1"/>
  <c r="X295" i="8" a="1"/>
  <c r="X295" i="8" s="1"/>
  <c r="W295" i="8" a="1"/>
  <c r="W295" i="8"/>
  <c r="V295" i="8" a="1"/>
  <c r="V295" i="8"/>
  <c r="U295" i="8" a="1"/>
  <c r="U295" i="8"/>
  <c r="T295" i="8" a="1"/>
  <c r="T295" i="8" s="1"/>
  <c r="S295" i="8" a="1"/>
  <c r="S295" i="8" s="1"/>
  <c r="R295" i="8" a="1"/>
  <c r="R295" i="8" s="1"/>
  <c r="Q295" i="8" a="1"/>
  <c r="Q295" i="8"/>
  <c r="P295" i="8" a="1"/>
  <c r="P295" i="8"/>
  <c r="X294" i="8" a="1"/>
  <c r="X294" i="8"/>
  <c r="W294" i="8" a="1"/>
  <c r="W294" i="8" s="1"/>
  <c r="V294" i="8" a="1"/>
  <c r="V294" i="8"/>
  <c r="U294" i="8" a="1"/>
  <c r="U294" i="8"/>
  <c r="T294" i="8" a="1"/>
  <c r="T294" i="8"/>
  <c r="S294" i="8" a="1"/>
  <c r="S294" i="8"/>
  <c r="R294" i="8" a="1"/>
  <c r="R294" i="8"/>
  <c r="Q294" i="8" a="1"/>
  <c r="Q294" i="8" s="1"/>
  <c r="P294" i="8" a="1"/>
  <c r="P294" i="8"/>
  <c r="X293" i="8" a="1"/>
  <c r="X293" i="8"/>
  <c r="W293" i="8" a="1"/>
  <c r="W293" i="8"/>
  <c r="V293" i="8" a="1"/>
  <c r="V293" i="8" s="1"/>
  <c r="U293" i="8" a="1"/>
  <c r="U293" i="8"/>
  <c r="T293" i="8" a="1"/>
  <c r="T293" i="8"/>
  <c r="S293" i="8" a="1"/>
  <c r="S293" i="8"/>
  <c r="R293" i="8" a="1"/>
  <c r="R293" i="8"/>
  <c r="Q293" i="8" a="1"/>
  <c r="Q293" i="8"/>
  <c r="P293" i="8" a="1"/>
  <c r="P293" i="8" s="1"/>
  <c r="X292" i="8" a="1"/>
  <c r="X292" i="8"/>
  <c r="W292" i="8" a="1"/>
  <c r="W292" i="8"/>
  <c r="V292" i="8" a="1"/>
  <c r="V292" i="8"/>
  <c r="U292" i="8" a="1"/>
  <c r="U292" i="8"/>
  <c r="T292" i="8" a="1"/>
  <c r="T292" i="8" s="1"/>
  <c r="S292" i="8" a="1"/>
  <c r="S292" i="8"/>
  <c r="R292" i="8" a="1"/>
  <c r="R292" i="8"/>
  <c r="Q292" i="8" a="1"/>
  <c r="Q292" i="8"/>
  <c r="P292" i="8" a="1"/>
  <c r="P292" i="8"/>
  <c r="X291" i="8" a="1"/>
  <c r="X291" i="8" s="1"/>
  <c r="W291" i="8" a="1"/>
  <c r="W291" i="8" s="1"/>
  <c r="V291" i="8" a="1"/>
  <c r="V291" i="8" s="1"/>
  <c r="U291" i="8" a="1"/>
  <c r="U291" i="8" s="1"/>
  <c r="T291" i="8" a="1"/>
  <c r="T291" i="8"/>
  <c r="S291" i="8" a="1"/>
  <c r="S291" i="8"/>
  <c r="R291" i="8" a="1"/>
  <c r="R291" i="8" s="1"/>
  <c r="Q291" i="8" a="1"/>
  <c r="Q291" i="8" s="1"/>
  <c r="P291" i="8" a="1"/>
  <c r="P291" i="8" s="1"/>
  <c r="X290" i="8" a="1"/>
  <c r="X290" i="8"/>
  <c r="W290" i="8" a="1"/>
  <c r="W290" i="8" s="1"/>
  <c r="V290" i="8" a="1"/>
  <c r="V290" i="8"/>
  <c r="U290" i="8" a="1"/>
  <c r="U290" i="8"/>
  <c r="T290" i="8" a="1"/>
  <c r="T290" i="8" s="1"/>
  <c r="S290" i="8" a="1"/>
  <c r="S290" i="8" s="1"/>
  <c r="R290" i="8" a="1"/>
  <c r="R290" i="8" s="1"/>
  <c r="Q290" i="8" a="1"/>
  <c r="Q290" i="8"/>
  <c r="P290" i="8" a="1"/>
  <c r="P290" i="8"/>
  <c r="X289" i="8" a="1"/>
  <c r="X289" i="8" s="1"/>
  <c r="W289" i="8" a="1"/>
  <c r="W289" i="8" s="1"/>
  <c r="V289" i="8" a="1"/>
  <c r="V289" i="8"/>
  <c r="U289" i="8" a="1"/>
  <c r="U289" i="8" s="1"/>
  <c r="T289" i="8" a="1"/>
  <c r="T289" i="8"/>
  <c r="S289" i="8" a="1"/>
  <c r="S289" i="8"/>
  <c r="R289" i="8" a="1"/>
  <c r="R289" i="8" s="1"/>
  <c r="Q289" i="8" a="1"/>
  <c r="Q289" i="8" s="1"/>
  <c r="P289" i="8" a="1"/>
  <c r="P289" i="8"/>
  <c r="X288" i="8" a="1"/>
  <c r="X288" i="8" s="1"/>
  <c r="W288" i="8" a="1"/>
  <c r="W288" i="8"/>
  <c r="V288" i="8" a="1"/>
  <c r="V288" i="8" s="1"/>
  <c r="U288" i="8" a="1"/>
  <c r="U288" i="8" s="1"/>
  <c r="T288" i="8" a="1"/>
  <c r="T288" i="8"/>
  <c r="S288" i="8" a="1"/>
  <c r="S288" i="8"/>
  <c r="R288" i="8" a="1"/>
  <c r="R288" i="8"/>
  <c r="Q288" i="8" a="1"/>
  <c r="Q288" i="8" s="1"/>
  <c r="P288" i="8" a="1"/>
  <c r="P288" i="8" s="1"/>
  <c r="X287" i="8" a="1"/>
  <c r="X287" i="8"/>
  <c r="W287" i="8" a="1"/>
  <c r="W287" i="8"/>
  <c r="V287" i="8" a="1"/>
  <c r="V287" i="8"/>
  <c r="U287" i="8" a="1"/>
  <c r="U287" i="8"/>
  <c r="T287" i="8" a="1"/>
  <c r="T287" i="8" s="1"/>
  <c r="S287" i="8" a="1"/>
  <c r="S287" i="8" s="1"/>
  <c r="R287" i="8" a="1"/>
  <c r="R287" i="8"/>
  <c r="Q287" i="8" a="1"/>
  <c r="Q287" i="8"/>
  <c r="P287" i="8" a="1"/>
  <c r="P287" i="8"/>
  <c r="X286" i="8" a="1"/>
  <c r="X286" i="8" s="1"/>
  <c r="W286" i="8" a="1"/>
  <c r="W286" i="8" s="1"/>
  <c r="V286" i="8" a="1"/>
  <c r="V286" i="8" s="1"/>
  <c r="U286" i="8" a="1"/>
  <c r="U286" i="8"/>
  <c r="T286" i="8" a="1"/>
  <c r="T286" i="8"/>
  <c r="S286" i="8" a="1"/>
  <c r="S286" i="8"/>
  <c r="R286" i="8" a="1"/>
  <c r="R286" i="8" s="1"/>
  <c r="Q286" i="8" a="1"/>
  <c r="Q286" i="8" s="1"/>
  <c r="P286" i="8" a="1"/>
  <c r="P286" i="8"/>
  <c r="X285" i="8" a="1"/>
  <c r="X285" i="8"/>
  <c r="W285" i="8" a="1"/>
  <c r="W285" i="8"/>
  <c r="V285" i="8" a="1"/>
  <c r="V285" i="8" s="1"/>
  <c r="U285" i="8" a="1"/>
  <c r="U285" i="8" s="1"/>
  <c r="T285" i="8" a="1"/>
  <c r="T285" i="8"/>
  <c r="S285" i="8" a="1"/>
  <c r="S285" i="8"/>
  <c r="R285" i="8" a="1"/>
  <c r="R285" i="8" s="1"/>
  <c r="Q285" i="8" a="1"/>
  <c r="Q285" i="8"/>
  <c r="P285" i="8" a="1"/>
  <c r="P285" i="8" s="1"/>
  <c r="X284" i="8" a="1"/>
  <c r="X284" i="8"/>
  <c r="W284" i="8" a="1"/>
  <c r="W284" i="8"/>
  <c r="V284" i="8" a="1"/>
  <c r="V284" i="8"/>
  <c r="U284" i="8" a="1"/>
  <c r="U284" i="8" s="1"/>
  <c r="T284" i="8" a="1"/>
  <c r="T284" i="8" s="1"/>
  <c r="S284" i="8" a="1"/>
  <c r="S284" i="8" s="1"/>
  <c r="R284" i="8" a="1"/>
  <c r="R284" i="8" s="1"/>
  <c r="Q284" i="8" a="1"/>
  <c r="Q284" i="8"/>
  <c r="P284" i="8" a="1"/>
  <c r="P284" i="8"/>
  <c r="X283" i="8" a="1"/>
  <c r="X283" i="8" s="1"/>
  <c r="W283" i="8" a="1"/>
  <c r="W283" i="8" s="1"/>
  <c r="V283" i="8" a="1"/>
  <c r="V283" i="8"/>
  <c r="U283" i="8" a="1"/>
  <c r="U283" i="8"/>
  <c r="T283" i="8" a="1"/>
  <c r="T283" i="8"/>
  <c r="S283" i="8" a="1"/>
  <c r="S283" i="8"/>
  <c r="R283" i="8" a="1"/>
  <c r="R283" i="8" s="1"/>
  <c r="Q283" i="8" a="1"/>
  <c r="Q283" i="8" s="1"/>
  <c r="P283" i="8" a="1"/>
  <c r="P283" i="8" s="1"/>
  <c r="X282" i="8" a="1"/>
  <c r="X282" i="8"/>
  <c r="W282" i="8" a="1"/>
  <c r="W282" i="8"/>
  <c r="V282" i="8" a="1"/>
  <c r="V282" i="8" s="1"/>
  <c r="U282" i="8" a="1"/>
  <c r="U282" i="8" s="1"/>
  <c r="T282" i="8" a="1"/>
  <c r="T282" i="8"/>
  <c r="S282" i="8" a="1"/>
  <c r="S282" i="8" s="1"/>
  <c r="R282" i="8" a="1"/>
  <c r="R282" i="8"/>
  <c r="Q282" i="8" a="1"/>
  <c r="Q282" i="8" s="1"/>
  <c r="P282" i="8" a="1"/>
  <c r="P282" i="8" s="1"/>
  <c r="X281" i="8" a="1"/>
  <c r="X281" i="8"/>
  <c r="W281" i="8" a="1"/>
  <c r="W281" i="8"/>
  <c r="V281" i="8" a="1"/>
  <c r="V281" i="8" s="1"/>
  <c r="U281" i="8" a="1"/>
  <c r="U281" i="8"/>
  <c r="T281" i="8" a="1"/>
  <c r="T281" i="8" s="1"/>
  <c r="S281" i="8" a="1"/>
  <c r="S281" i="8" s="1"/>
  <c r="R281" i="8" a="1"/>
  <c r="R281" i="8"/>
  <c r="Q281" i="8" a="1"/>
  <c r="Q281" i="8"/>
  <c r="P281" i="8" a="1"/>
  <c r="P281" i="8"/>
  <c r="X280" i="8" a="1"/>
  <c r="X280" i="8" s="1"/>
  <c r="W280" i="8" a="1"/>
  <c r="W280" i="8" s="1"/>
  <c r="V280" i="8" a="1"/>
  <c r="V280" i="8" s="1"/>
  <c r="U280" i="8" a="1"/>
  <c r="U280" i="8"/>
  <c r="T280" i="8" a="1"/>
  <c r="T280" i="8"/>
  <c r="S280" i="8" a="1"/>
  <c r="S280" i="8"/>
  <c r="R280" i="8" a="1"/>
  <c r="R280" i="8" s="1"/>
  <c r="Q280" i="8" a="1"/>
  <c r="Q280" i="8" s="1"/>
  <c r="P280" i="8" a="1"/>
  <c r="P280" i="8"/>
  <c r="X279" i="8" a="1"/>
  <c r="X279" i="8"/>
  <c r="W279" i="8" a="1"/>
  <c r="W279" i="8"/>
  <c r="V279" i="8" a="1"/>
  <c r="V279" i="8" s="1"/>
  <c r="U279" i="8" a="1"/>
  <c r="U279" i="8" s="1"/>
  <c r="T279" i="8" a="1"/>
  <c r="T279" i="8" s="1"/>
  <c r="S279" i="8" a="1"/>
  <c r="S279" i="8"/>
  <c r="R279" i="8" a="1"/>
  <c r="R279" i="8"/>
  <c r="Q279" i="8" a="1"/>
  <c r="Q279" i="8"/>
  <c r="P279" i="8" a="1"/>
  <c r="P279" i="8" s="1"/>
  <c r="X278" i="8" a="1"/>
  <c r="X278" i="8"/>
  <c r="W278" i="8" a="1"/>
  <c r="W278" i="8" s="1"/>
  <c r="V278" i="8" a="1"/>
  <c r="V278" i="8"/>
  <c r="U278" i="8" a="1"/>
  <c r="U278" i="8" s="1"/>
  <c r="T278" i="8" a="1"/>
  <c r="T278" i="8" s="1"/>
  <c r="S278" i="8" a="1"/>
  <c r="S278" i="8" s="1"/>
  <c r="R278" i="8" a="1"/>
  <c r="R278" i="8"/>
  <c r="Q278" i="8" a="1"/>
  <c r="Q278" i="8"/>
  <c r="P278" i="8" a="1"/>
  <c r="P278" i="8" s="1"/>
  <c r="X277" i="8" a="1"/>
  <c r="X277" i="8" s="1"/>
  <c r="W277" i="8" a="1"/>
  <c r="W277" i="8" s="1"/>
  <c r="V277" i="8" a="1"/>
  <c r="V277" i="8"/>
  <c r="U277" i="8" a="1"/>
  <c r="U277" i="8"/>
  <c r="T277" i="8" a="1"/>
  <c r="T277" i="8"/>
  <c r="S277" i="8" a="1"/>
  <c r="S277" i="8" s="1"/>
  <c r="R277" i="8" a="1"/>
  <c r="R277" i="8" s="1"/>
  <c r="Q277" i="8" a="1"/>
  <c r="Q277" i="8" s="1"/>
  <c r="P277" i="8" a="1"/>
  <c r="P277" i="8"/>
  <c r="X276" i="8" a="1"/>
  <c r="X276" i="8"/>
  <c r="W276" i="8" a="1"/>
  <c r="W276" i="8"/>
  <c r="V276" i="8" a="1"/>
  <c r="V276" i="8" s="1"/>
  <c r="U276" i="8" a="1"/>
  <c r="U276" i="8" s="1"/>
  <c r="T276" i="8" a="1"/>
  <c r="T276" i="8"/>
  <c r="S276" i="8" a="1"/>
  <c r="S276" i="8" s="1"/>
  <c r="R276" i="8" a="1"/>
  <c r="R276" i="8"/>
  <c r="Q276" i="8" a="1"/>
  <c r="Q276" i="8"/>
  <c r="P276" i="8" a="1"/>
  <c r="P276" i="8" s="1"/>
  <c r="X275" i="8" a="1"/>
  <c r="X275" i="8" s="1"/>
  <c r="W275" i="8" a="1"/>
  <c r="W275" i="8"/>
  <c r="V275" i="8" a="1"/>
  <c r="V275" i="8" s="1"/>
  <c r="U275" i="8" a="1"/>
  <c r="U275" i="8"/>
  <c r="T275" i="8" a="1"/>
  <c r="T275" i="8" s="1"/>
  <c r="S275" i="8" a="1"/>
  <c r="S275" i="8" s="1"/>
  <c r="R275" i="8" a="1"/>
  <c r="R275" i="8"/>
  <c r="Q275" i="8" a="1"/>
  <c r="Q275" i="8" s="1"/>
  <c r="P275" i="8" a="1"/>
  <c r="P275" i="8"/>
  <c r="X274" i="8" a="1"/>
  <c r="X274" i="8" s="1"/>
  <c r="W274" i="8" a="1"/>
  <c r="W274" i="8" s="1"/>
  <c r="V274" i="8" a="1"/>
  <c r="V274" i="8"/>
  <c r="U274" i="8" a="1"/>
  <c r="U274" i="8"/>
  <c r="T274" i="8" a="1"/>
  <c r="T274" i="8" s="1"/>
  <c r="S274" i="8" a="1"/>
  <c r="S274" i="8"/>
  <c r="R274" i="8" a="1"/>
  <c r="R274" i="8" s="1"/>
  <c r="Q274" i="8" a="1"/>
  <c r="Q274" i="8" s="1"/>
  <c r="P274" i="8" a="1"/>
  <c r="P274" i="8"/>
  <c r="X273" i="8" a="1"/>
  <c r="X273" i="8"/>
  <c r="W273" i="8" a="1"/>
  <c r="W273" i="8" s="1"/>
  <c r="V273" i="8" a="1"/>
  <c r="V273" i="8" s="1"/>
  <c r="U273" i="8" a="1"/>
  <c r="U273" i="8" s="1"/>
  <c r="T273" i="8" a="1"/>
  <c r="T273" i="8" s="1"/>
  <c r="S273" i="8" a="1"/>
  <c r="S273" i="8"/>
  <c r="R273" i="8" a="1"/>
  <c r="R273" i="8"/>
  <c r="Q273" i="8" a="1"/>
  <c r="Q273" i="8"/>
  <c r="P273" i="8" a="1"/>
  <c r="P273" i="8" s="1"/>
  <c r="X272" i="8" a="1"/>
  <c r="X272" i="8"/>
  <c r="W272" i="8" a="1"/>
  <c r="W272" i="8"/>
  <c r="V272" i="8" a="1"/>
  <c r="V272" i="8"/>
  <c r="U272" i="8" a="1"/>
  <c r="U272" i="8"/>
  <c r="T272" i="8" a="1"/>
  <c r="T272" i="8" s="1"/>
  <c r="S272" i="8" a="1"/>
  <c r="S272" i="8" s="1"/>
  <c r="R272" i="8" a="1"/>
  <c r="R272" i="8" s="1"/>
  <c r="Q272" i="8" a="1"/>
  <c r="Q272" i="8"/>
  <c r="P272" i="8" a="1"/>
  <c r="P272" i="8" s="1"/>
  <c r="X271" i="8" a="1"/>
  <c r="X271" i="8" s="1"/>
  <c r="W271" i="8" a="1"/>
  <c r="W271" i="8" s="1"/>
  <c r="V271" i="8" a="1"/>
  <c r="V271" i="8"/>
  <c r="U271" i="8" a="1"/>
  <c r="U271" i="8" s="1"/>
  <c r="T271" i="8" a="1"/>
  <c r="T271" i="8"/>
  <c r="S271" i="8" a="1"/>
  <c r="S271" i="8"/>
  <c r="R271" i="8" a="1"/>
  <c r="R271" i="8" s="1"/>
  <c r="Q271" i="8" a="1"/>
  <c r="Q271" i="8" s="1"/>
  <c r="P271" i="8" a="1"/>
  <c r="P271" i="8"/>
  <c r="X270" i="8" a="1"/>
  <c r="X270" i="8" s="1"/>
  <c r="W270" i="8" a="1"/>
  <c r="W270" i="8"/>
  <c r="V270" i="8" a="1"/>
  <c r="V270" i="8" s="1"/>
  <c r="U270" i="8" a="1"/>
  <c r="U270" i="8" s="1"/>
  <c r="T270" i="8" a="1"/>
  <c r="T270" i="8"/>
  <c r="S270" i="8" a="1"/>
  <c r="S270" i="8"/>
  <c r="R270" i="8" a="1"/>
  <c r="R270" i="8"/>
  <c r="Q270" i="8" a="1"/>
  <c r="Q270" i="8" s="1"/>
  <c r="P270" i="8" a="1"/>
  <c r="P270" i="8" s="1"/>
  <c r="X269" i="8" a="1"/>
  <c r="X269" i="8" s="1"/>
  <c r="W269" i="8" a="1"/>
  <c r="W269" i="8" s="1"/>
  <c r="V269" i="8" a="1"/>
  <c r="V269" i="8" s="1"/>
  <c r="U269" i="8" a="1"/>
  <c r="U269" i="8" s="1"/>
  <c r="T269" i="8" a="1"/>
  <c r="T269" i="8"/>
  <c r="S269" i="8" a="1"/>
  <c r="S269" i="8" s="1"/>
  <c r="R269" i="8" a="1"/>
  <c r="R269" i="8" s="1"/>
  <c r="Q269" i="8" a="1"/>
  <c r="Q269" i="8" s="1"/>
  <c r="P269" i="8" a="1"/>
  <c r="P269" i="8" s="1"/>
  <c r="X268" i="8" a="1"/>
  <c r="X268" i="8"/>
  <c r="W268" i="8" a="1"/>
  <c r="W268" i="8"/>
  <c r="V268" i="8" a="1"/>
  <c r="V268" i="8" s="1"/>
  <c r="U268" i="8" a="1"/>
  <c r="U268" i="8" s="1"/>
  <c r="T268" i="8" a="1"/>
  <c r="T268" i="8" s="1"/>
  <c r="S268" i="8" a="1"/>
  <c r="S268" i="8" s="1"/>
  <c r="R268" i="8" a="1"/>
  <c r="R268" i="8"/>
  <c r="Q268" i="8" a="1"/>
  <c r="Q268" i="8" s="1"/>
  <c r="P268" i="8" a="1"/>
  <c r="P268" i="8" s="1"/>
  <c r="X267" i="8" a="1"/>
  <c r="X267" i="8" s="1"/>
  <c r="W267" i="8" a="1"/>
  <c r="W267" i="8" s="1"/>
  <c r="V267" i="8" a="1"/>
  <c r="V267" i="8"/>
  <c r="U267" i="8" a="1"/>
  <c r="U267" i="8" s="1"/>
  <c r="T267" i="8" a="1"/>
  <c r="T267" i="8" s="1"/>
  <c r="S267" i="8" a="1"/>
  <c r="S267" i="8" s="1"/>
  <c r="R267" i="8" a="1"/>
  <c r="R267" i="8" s="1"/>
  <c r="Q267" i="8" a="1"/>
  <c r="Q267" i="8" s="1"/>
  <c r="P267" i="8" a="1"/>
  <c r="P267" i="8"/>
  <c r="X266" i="8" a="1"/>
  <c r="X266" i="8" s="1"/>
  <c r="W266" i="8" a="1"/>
  <c r="W266" i="8" s="1"/>
  <c r="V266" i="8" a="1"/>
  <c r="V266" i="8" s="1"/>
  <c r="U266" i="8" a="1"/>
  <c r="U266" i="8" s="1"/>
  <c r="T266" i="8" a="1"/>
  <c r="T266" i="8"/>
  <c r="S266" i="8" a="1"/>
  <c r="S266" i="8" s="1"/>
  <c r="R266" i="8" a="1"/>
  <c r="R266" i="8" s="1"/>
  <c r="Q266" i="8" a="1"/>
  <c r="Q266" i="8" s="1"/>
  <c r="P266" i="8" a="1"/>
  <c r="P266" i="8" s="1"/>
  <c r="X265" i="8" a="1"/>
  <c r="X265" i="8"/>
  <c r="W265" i="8" a="1"/>
  <c r="W265" i="8" s="1"/>
  <c r="V265" i="8" a="1"/>
  <c r="V265" i="8" s="1"/>
  <c r="U265" i="8" a="1"/>
  <c r="U265" i="8" s="1"/>
  <c r="T265" i="8" a="1"/>
  <c r="T265" i="8" s="1"/>
  <c r="S265" i="8" a="1"/>
  <c r="S265" i="8" s="1"/>
  <c r="R265" i="8" a="1"/>
  <c r="R265" i="8"/>
  <c r="Q265" i="8" a="1"/>
  <c r="Q265" i="8"/>
  <c r="P265" i="8" a="1"/>
  <c r="P265" i="8" s="1"/>
  <c r="X264" i="8" a="1"/>
  <c r="X264" i="8" s="1"/>
  <c r="W264" i="8" a="1"/>
  <c r="W264" i="8" s="1"/>
  <c r="V264" i="8" a="1"/>
  <c r="V264" i="8" s="1"/>
  <c r="U264" i="8" a="1"/>
  <c r="U264" i="8" s="1"/>
  <c r="T264" i="8" a="1"/>
  <c r="T264" i="8" s="1"/>
  <c r="S264" i="8" a="1"/>
  <c r="S264" i="8" s="1"/>
  <c r="R264" i="8" a="1"/>
  <c r="R264" i="8"/>
  <c r="Q264" i="8" a="1"/>
  <c r="Q264" i="8" s="1"/>
  <c r="P264" i="8" a="1"/>
  <c r="P264" i="8" s="1"/>
  <c r="X263" i="8" a="1"/>
  <c r="X263" i="8" s="1"/>
  <c r="W263" i="8" a="1"/>
  <c r="W263" i="8" s="1"/>
  <c r="V263" i="8" a="1"/>
  <c r="V263" i="8" s="1"/>
  <c r="U263" i="8" a="1"/>
  <c r="U263" i="8" s="1"/>
  <c r="T263" i="8" a="1"/>
  <c r="T263" i="8" s="1"/>
  <c r="S263" i="8" a="1"/>
  <c r="S263" i="8"/>
  <c r="R263" i="8" a="1"/>
  <c r="R263" i="8" s="1"/>
  <c r="Q263" i="8" a="1"/>
  <c r="Q263" i="8" s="1"/>
  <c r="P263" i="8" a="1"/>
  <c r="P263" i="8" s="1"/>
  <c r="X262" i="8" a="1"/>
  <c r="X262" i="8" s="1"/>
  <c r="W262" i="8" a="1"/>
  <c r="W262" i="8" s="1"/>
  <c r="V262" i="8" a="1"/>
  <c r="V262" i="8" s="1"/>
  <c r="U262" i="8" a="1"/>
  <c r="U262" i="8" s="1"/>
  <c r="T262" i="8" a="1"/>
  <c r="T262" i="8"/>
  <c r="S262" i="8" a="1"/>
  <c r="S262" i="8" s="1"/>
  <c r="R262" i="8" a="1"/>
  <c r="R262" i="8" s="1"/>
  <c r="Q262" i="8" a="1"/>
  <c r="Q262" i="8" s="1"/>
  <c r="P262" i="8" a="1"/>
  <c r="P262" i="8" s="1"/>
  <c r="X261" i="8" a="1"/>
  <c r="X261" i="8" s="1"/>
  <c r="W261" i="8" a="1"/>
  <c r="W261" i="8" s="1"/>
  <c r="V261" i="8" a="1"/>
  <c r="V261" i="8" s="1"/>
  <c r="U261" i="8" a="1"/>
  <c r="U261" i="8"/>
  <c r="T261" i="8" a="1"/>
  <c r="T261" i="8" s="1"/>
  <c r="S261" i="8" a="1"/>
  <c r="S261" i="8" s="1"/>
  <c r="R261" i="8" a="1"/>
  <c r="R261" i="8" s="1"/>
  <c r="Q261" i="8" a="1"/>
  <c r="Q261" i="8" s="1"/>
  <c r="P261" i="8" a="1"/>
  <c r="P261" i="8" s="1"/>
  <c r="X260" i="8" a="1"/>
  <c r="X260" i="8" s="1"/>
  <c r="W260" i="8" a="1"/>
  <c r="W260" i="8" s="1"/>
  <c r="V260" i="8" a="1"/>
  <c r="V260" i="8"/>
  <c r="U260" i="8" a="1"/>
  <c r="U260" i="8" s="1"/>
  <c r="T260" i="8" a="1"/>
  <c r="T260" i="8" s="1"/>
  <c r="S260" i="8" a="1"/>
  <c r="S260" i="8" s="1"/>
  <c r="R260" i="8" a="1"/>
  <c r="R260" i="8" s="1"/>
  <c r="Q260" i="8" a="1"/>
  <c r="Q260" i="8" s="1"/>
  <c r="P260" i="8" a="1"/>
  <c r="P260" i="8" s="1"/>
  <c r="X259" i="8" a="1"/>
  <c r="X259" i="8" s="1"/>
  <c r="W259" i="8" a="1"/>
  <c r="W259" i="8"/>
  <c r="V259" i="8" a="1"/>
  <c r="V259" i="8" s="1"/>
  <c r="U259" i="8" a="1"/>
  <c r="U259" i="8" s="1"/>
  <c r="T259" i="8" a="1"/>
  <c r="T259" i="8" s="1"/>
  <c r="S259" i="8" a="1"/>
  <c r="S259" i="8" s="1"/>
  <c r="R259" i="8" a="1"/>
  <c r="R259" i="8" s="1"/>
  <c r="Q259" i="8" a="1"/>
  <c r="Q259" i="8" s="1"/>
  <c r="P259" i="8" a="1"/>
  <c r="P259" i="8" s="1"/>
  <c r="X258" i="8" a="1"/>
  <c r="X258" i="8"/>
  <c r="W258" i="8" a="1"/>
  <c r="W258" i="8" s="1"/>
  <c r="V258" i="8" a="1"/>
  <c r="V258" i="8" s="1"/>
  <c r="U258" i="8" a="1"/>
  <c r="U258" i="8" s="1"/>
  <c r="T258" i="8" a="1"/>
  <c r="T258" i="8" s="1"/>
  <c r="S258" i="8" a="1"/>
  <c r="S258" i="8" s="1"/>
  <c r="R258" i="8" a="1"/>
  <c r="R258" i="8" s="1"/>
  <c r="Q258" i="8" a="1"/>
  <c r="Q258" i="8" s="1"/>
  <c r="P258" i="8" a="1"/>
  <c r="P258" i="8" s="1"/>
  <c r="X257" i="8" a="1"/>
  <c r="X257" i="8" s="1"/>
  <c r="W257" i="8" a="1"/>
  <c r="W257" i="8" s="1"/>
  <c r="V257" i="8" a="1"/>
  <c r="V257" i="8" s="1"/>
  <c r="U257" i="8" a="1"/>
  <c r="U257" i="8" s="1"/>
  <c r="T257" i="8" a="1"/>
  <c r="T257" i="8" s="1"/>
  <c r="S257" i="8" a="1"/>
  <c r="S257" i="8" s="1"/>
  <c r="R257" i="8" a="1"/>
  <c r="R257" i="8" s="1"/>
  <c r="Q257" i="8" a="1"/>
  <c r="Q257" i="8" s="1"/>
  <c r="P257" i="8" a="1"/>
  <c r="P257" i="8"/>
  <c r="X256" i="8" a="1"/>
  <c r="X256" i="8" s="1"/>
  <c r="W256" i="8" a="1"/>
  <c r="W256" i="8" s="1"/>
  <c r="V256" i="8" a="1"/>
  <c r="V256" i="8" s="1"/>
  <c r="U256" i="8" a="1"/>
  <c r="U256" i="8" s="1"/>
  <c r="T256" i="8" a="1"/>
  <c r="T256" i="8" s="1"/>
  <c r="S256" i="8" a="1"/>
  <c r="S256" i="8" s="1"/>
  <c r="R256" i="8" a="1"/>
  <c r="R256" i="8" s="1"/>
  <c r="Q256" i="8" a="1"/>
  <c r="Q256" i="8"/>
  <c r="P256" i="8" a="1"/>
  <c r="P256" i="8" s="1"/>
  <c r="X255" i="8" a="1"/>
  <c r="X255" i="8" s="1"/>
  <c r="W255" i="8" a="1"/>
  <c r="W255" i="8" s="1"/>
  <c r="V255" i="8" a="1"/>
  <c r="V255" i="8" s="1"/>
  <c r="U255" i="8" a="1"/>
  <c r="U255" i="8" s="1"/>
  <c r="T255" i="8" a="1"/>
  <c r="T255" i="8" s="1"/>
  <c r="S255" i="8" a="1"/>
  <c r="S255" i="8" s="1"/>
  <c r="R255" i="8" a="1"/>
  <c r="R255" i="8"/>
  <c r="Q255" i="8" a="1"/>
  <c r="Q255" i="8" s="1"/>
  <c r="P255" i="8" a="1"/>
  <c r="P255" i="8" s="1"/>
  <c r="X254" i="8" a="1"/>
  <c r="X254" i="8" s="1"/>
  <c r="W254" i="8" a="1"/>
  <c r="W254" i="8" s="1"/>
  <c r="V254" i="8" a="1"/>
  <c r="V254" i="8" s="1"/>
  <c r="U254" i="8" a="1"/>
  <c r="U254" i="8" s="1"/>
  <c r="T254" i="8" a="1"/>
  <c r="T254" i="8" s="1"/>
  <c r="S254" i="8" a="1"/>
  <c r="S254" i="8"/>
  <c r="R254" i="8" a="1"/>
  <c r="R254" i="8" s="1"/>
  <c r="Q254" i="8" a="1"/>
  <c r="Q254" i="8" s="1"/>
  <c r="P254" i="8" a="1"/>
  <c r="P254" i="8" s="1"/>
  <c r="X253" i="8" a="1"/>
  <c r="X253" i="8" s="1"/>
  <c r="W253" i="8" a="1"/>
  <c r="W253" i="8" s="1"/>
  <c r="V253" i="8" a="1"/>
  <c r="V253" i="8" s="1"/>
  <c r="U253" i="8" a="1"/>
  <c r="U253" i="8" s="1"/>
  <c r="T253" i="8" a="1"/>
  <c r="T253" i="8"/>
  <c r="S253" i="8" a="1"/>
  <c r="S253" i="8" s="1"/>
  <c r="R253" i="8" a="1"/>
  <c r="R253" i="8" s="1"/>
  <c r="Q253" i="8" a="1"/>
  <c r="Q253" i="8" s="1"/>
  <c r="P253" i="8" a="1"/>
  <c r="P253" i="8" s="1"/>
  <c r="X252" i="8" a="1"/>
  <c r="X252" i="8" s="1"/>
  <c r="W252" i="8" a="1"/>
  <c r="W252" i="8" s="1"/>
  <c r="V252" i="8" a="1"/>
  <c r="V252" i="8" s="1"/>
  <c r="U252" i="8" a="1"/>
  <c r="U252" i="8"/>
  <c r="T252" i="8" a="1"/>
  <c r="T252" i="8" s="1"/>
  <c r="S252" i="8" a="1"/>
  <c r="S252" i="8" s="1"/>
  <c r="R252" i="8" a="1"/>
  <c r="R252" i="8" s="1"/>
  <c r="Q252" i="8" a="1"/>
  <c r="Q252" i="8" s="1"/>
  <c r="P252" i="8" a="1"/>
  <c r="P252" i="8" s="1"/>
  <c r="X251" i="8" a="1"/>
  <c r="X251" i="8" s="1"/>
  <c r="W251" i="8" a="1"/>
  <c r="W251" i="8" s="1"/>
  <c r="V251" i="8" a="1"/>
  <c r="V251" i="8"/>
  <c r="U251" i="8" a="1"/>
  <c r="U251" i="8" s="1"/>
  <c r="T251" i="8" a="1"/>
  <c r="T251" i="8" s="1"/>
  <c r="S251" i="8" a="1"/>
  <c r="S251" i="8" s="1"/>
  <c r="R251" i="8" a="1"/>
  <c r="R251" i="8" s="1"/>
  <c r="Q251" i="8" a="1"/>
  <c r="Q251" i="8" s="1"/>
  <c r="P251" i="8" a="1"/>
  <c r="P251" i="8" s="1"/>
  <c r="X250" i="8" a="1"/>
  <c r="X250" i="8" s="1"/>
  <c r="W250" i="8" a="1"/>
  <c r="W250" i="8"/>
  <c r="V250" i="8" a="1"/>
  <c r="V250" i="8" s="1"/>
  <c r="U250" i="8" a="1"/>
  <c r="U250" i="8" s="1"/>
  <c r="T250" i="8" a="1"/>
  <c r="T250" i="8" s="1"/>
  <c r="S250" i="8" a="1"/>
  <c r="S250" i="8" s="1"/>
  <c r="R250" i="8" a="1"/>
  <c r="R250" i="8" s="1"/>
  <c r="Q250" i="8" a="1"/>
  <c r="Q250" i="8" s="1"/>
  <c r="P250" i="8" a="1"/>
  <c r="P250" i="8" s="1"/>
  <c r="X249" i="8" a="1"/>
  <c r="X249" i="8"/>
  <c r="W249" i="8" a="1"/>
  <c r="W249" i="8" s="1"/>
  <c r="V249" i="8" a="1"/>
  <c r="V249" i="8" s="1"/>
  <c r="U249" i="8" a="1"/>
  <c r="U249" i="8" s="1"/>
  <c r="T249" i="8" a="1"/>
  <c r="T249" i="8" s="1"/>
  <c r="S249" i="8" a="1"/>
  <c r="S249" i="8" s="1"/>
  <c r="R249" i="8" a="1"/>
  <c r="R249" i="8" s="1"/>
  <c r="Q249" i="8" a="1"/>
  <c r="Q249" i="8" s="1"/>
  <c r="P249" i="8" a="1"/>
  <c r="P249" i="8" s="1"/>
  <c r="X248" i="8" a="1"/>
  <c r="X248" i="8" s="1"/>
  <c r="W248" i="8" a="1"/>
  <c r="W248" i="8" s="1"/>
  <c r="V248" i="8" a="1"/>
  <c r="V248" i="8" s="1"/>
  <c r="U248" i="8" a="1"/>
  <c r="U248" i="8" s="1"/>
  <c r="T248" i="8" a="1"/>
  <c r="T248" i="8" s="1"/>
  <c r="S248" i="8" a="1"/>
  <c r="S248" i="8" s="1"/>
  <c r="R248" i="8" a="1"/>
  <c r="R248" i="8" s="1"/>
  <c r="Q248" i="8" a="1"/>
  <c r="Q248" i="8" s="1"/>
  <c r="P248" i="8" a="1"/>
  <c r="P248" i="8"/>
  <c r="X247" i="8" a="1"/>
  <c r="X247" i="8" s="1"/>
  <c r="W247" i="8" a="1"/>
  <c r="W247" i="8" s="1"/>
  <c r="V247" i="8" a="1"/>
  <c r="V247" i="8" s="1"/>
  <c r="U247" i="8" a="1"/>
  <c r="U247" i="8" s="1"/>
  <c r="T247" i="8" a="1"/>
  <c r="T247" i="8" s="1"/>
  <c r="S247" i="8" a="1"/>
  <c r="S247" i="8" s="1"/>
  <c r="R247" i="8" a="1"/>
  <c r="R247" i="8" s="1"/>
  <c r="Q247" i="8" a="1"/>
  <c r="Q247" i="8"/>
  <c r="P247" i="8" a="1"/>
  <c r="P247" i="8" s="1"/>
  <c r="X246" i="8" a="1"/>
  <c r="X246" i="8" s="1"/>
  <c r="W246" i="8" a="1"/>
  <c r="W246" i="8" s="1"/>
  <c r="V246" i="8" a="1"/>
  <c r="V246" i="8" s="1"/>
  <c r="U246" i="8" a="1"/>
  <c r="U246" i="8" s="1"/>
  <c r="T246" i="8" a="1"/>
  <c r="T246" i="8" s="1"/>
  <c r="S246" i="8" a="1"/>
  <c r="S246" i="8" s="1"/>
  <c r="R246" i="8" a="1"/>
  <c r="R246" i="8"/>
  <c r="Q246" i="8" a="1"/>
  <c r="Q246" i="8" s="1"/>
  <c r="P246" i="8" a="1"/>
  <c r="P246" i="8" s="1"/>
  <c r="X245" i="8" a="1"/>
  <c r="X245" i="8" s="1"/>
  <c r="W245" i="8" a="1"/>
  <c r="W245" i="8" s="1"/>
  <c r="V245" i="8" a="1"/>
  <c r="V245" i="8" s="1"/>
  <c r="U245" i="8" a="1"/>
  <c r="U245" i="8" s="1"/>
  <c r="T245" i="8" a="1"/>
  <c r="T245" i="8" s="1"/>
  <c r="S245" i="8" a="1"/>
  <c r="S245" i="8"/>
  <c r="R245" i="8" a="1"/>
  <c r="R245" i="8" s="1"/>
  <c r="Q245" i="8" a="1"/>
  <c r="Q245" i="8" s="1"/>
  <c r="P245" i="8" a="1"/>
  <c r="P245" i="8" s="1"/>
  <c r="X244" i="8" a="1"/>
  <c r="X244" i="8" s="1"/>
  <c r="W244" i="8" a="1"/>
  <c r="W244" i="8" s="1"/>
  <c r="V244" i="8" a="1"/>
  <c r="V244" i="8" s="1"/>
  <c r="U244" i="8" a="1"/>
  <c r="U244" i="8" s="1"/>
  <c r="T244" i="8" a="1"/>
  <c r="T244" i="8"/>
  <c r="S244" i="8" a="1"/>
  <c r="S244" i="8" s="1"/>
  <c r="R244" i="8" a="1"/>
  <c r="R244" i="8" s="1"/>
  <c r="Q244" i="8" a="1"/>
  <c r="Q244" i="8" s="1"/>
  <c r="P244" i="8" a="1"/>
  <c r="P244" i="8" s="1"/>
  <c r="X243" i="8" a="1"/>
  <c r="X243" i="8" s="1"/>
  <c r="W243" i="8" a="1"/>
  <c r="W243" i="8" s="1"/>
  <c r="V243" i="8" a="1"/>
  <c r="V243" i="8" s="1"/>
  <c r="U243" i="8" a="1"/>
  <c r="U243" i="8"/>
  <c r="T243" i="8" a="1"/>
  <c r="T243" i="8" s="1"/>
  <c r="S243" i="8" a="1"/>
  <c r="S243" i="8" s="1"/>
  <c r="R243" i="8" a="1"/>
  <c r="R243" i="8" s="1"/>
  <c r="Q243" i="8" a="1"/>
  <c r="Q243" i="8" s="1"/>
  <c r="P243" i="8" a="1"/>
  <c r="P243" i="8" s="1"/>
  <c r="X242" i="8" a="1"/>
  <c r="X242" i="8" s="1"/>
  <c r="W242" i="8" a="1"/>
  <c r="W242" i="8" s="1"/>
  <c r="V242" i="8" a="1"/>
  <c r="V242" i="8"/>
  <c r="U242" i="8" a="1"/>
  <c r="U242" i="8" s="1"/>
  <c r="T242" i="8" a="1"/>
  <c r="T242" i="8" s="1"/>
  <c r="S242" i="8" a="1"/>
  <c r="S242" i="8" s="1"/>
  <c r="R242" i="8" a="1"/>
  <c r="R242" i="8" s="1"/>
  <c r="Q242" i="8" a="1"/>
  <c r="Q242" i="8" s="1"/>
  <c r="P242" i="8" a="1"/>
  <c r="P242" i="8" s="1"/>
  <c r="X241" i="8" a="1"/>
  <c r="X241" i="8" s="1"/>
  <c r="W241" i="8" a="1"/>
  <c r="W241" i="8"/>
  <c r="V241" i="8" a="1"/>
  <c r="V241" i="8" s="1"/>
  <c r="U241" i="8" a="1"/>
  <c r="U241" i="8" s="1"/>
  <c r="T241" i="8" a="1"/>
  <c r="T241" i="8" s="1"/>
  <c r="S241" i="8" a="1"/>
  <c r="S241" i="8" s="1"/>
  <c r="R241" i="8" a="1"/>
  <c r="R241" i="8" s="1"/>
  <c r="Q241" i="8" a="1"/>
  <c r="Q241" i="8" s="1"/>
  <c r="P241" i="8" a="1"/>
  <c r="P241" i="8" s="1"/>
  <c r="X240" i="8" a="1"/>
  <c r="X240" i="8"/>
  <c r="W240" i="8" a="1"/>
  <c r="W240" i="8" s="1"/>
  <c r="V240" i="8" a="1"/>
  <c r="V240" i="8" s="1"/>
  <c r="U240" i="8" a="1"/>
  <c r="U240" i="8" s="1"/>
  <c r="T240" i="8" a="1"/>
  <c r="T240" i="8" s="1"/>
  <c r="S240" i="8" a="1"/>
  <c r="S240" i="8" s="1"/>
  <c r="R240" i="8" a="1"/>
  <c r="R240" i="8" s="1"/>
  <c r="Q240" i="8" a="1"/>
  <c r="Q240" i="8" s="1"/>
  <c r="P240" i="8" a="1"/>
  <c r="P240" i="8" s="1"/>
  <c r="X239" i="8" a="1"/>
  <c r="X239" i="8" s="1"/>
  <c r="W239" i="8" a="1"/>
  <c r="W239" i="8" s="1"/>
  <c r="V239" i="8" a="1"/>
  <c r="V239" i="8" s="1"/>
  <c r="U239" i="8" a="1"/>
  <c r="U239" i="8" s="1"/>
  <c r="T239" i="8" a="1"/>
  <c r="T239" i="8" s="1"/>
  <c r="S239" i="8" a="1"/>
  <c r="S239" i="8" s="1"/>
  <c r="R239" i="8" a="1"/>
  <c r="R239" i="8" s="1"/>
  <c r="Q239" i="8" a="1"/>
  <c r="Q239" i="8" s="1"/>
  <c r="P239" i="8" a="1"/>
  <c r="P239" i="8"/>
  <c r="X238" i="8" a="1"/>
  <c r="X238" i="8" s="1"/>
  <c r="W238" i="8" a="1"/>
  <c r="W238" i="8"/>
  <c r="V238" i="8" a="1"/>
  <c r="V238" i="8"/>
  <c r="U238" i="8" a="1"/>
  <c r="U238" i="8" s="1"/>
  <c r="T238" i="8" a="1"/>
  <c r="T238" i="8" s="1"/>
  <c r="S238" i="8" a="1"/>
  <c r="S238" i="8" s="1"/>
  <c r="R238" i="8" a="1"/>
  <c r="R238" i="8" s="1"/>
  <c r="Q238" i="8" a="1"/>
  <c r="Q238" i="8"/>
  <c r="P238" i="8" a="1"/>
  <c r="P238" i="8" s="1"/>
  <c r="X237" i="8" a="1"/>
  <c r="X237" i="8"/>
  <c r="W237" i="8" a="1"/>
  <c r="W237" i="8" s="1"/>
  <c r="V237" i="8" a="1"/>
  <c r="V237" i="8" s="1"/>
  <c r="U237" i="8" a="1"/>
  <c r="U237" i="8"/>
  <c r="T237" i="8" a="1"/>
  <c r="T237" i="8"/>
  <c r="S237" i="8" a="1"/>
  <c r="S237" i="8" s="1"/>
  <c r="R237" i="8" a="1"/>
  <c r="R237" i="8" s="1"/>
  <c r="Q237" i="8" a="1"/>
  <c r="Q237" i="8" s="1"/>
  <c r="P237" i="8" a="1"/>
  <c r="P237" i="8" s="1"/>
  <c r="X236" i="8" a="1"/>
  <c r="X236" i="8" s="1"/>
  <c r="W236" i="8" a="1"/>
  <c r="W236" i="8" s="1"/>
  <c r="V236" i="8" a="1"/>
  <c r="V236" i="8"/>
  <c r="U236" i="8" a="1"/>
  <c r="U236" i="8" s="1"/>
  <c r="T236" i="8" a="1"/>
  <c r="T236" i="8" s="1"/>
  <c r="S236" i="8" a="1"/>
  <c r="S236" i="8"/>
  <c r="R236" i="8" a="1"/>
  <c r="R236" i="8"/>
  <c r="Q236" i="8" a="1"/>
  <c r="Q236" i="8" s="1"/>
  <c r="P236" i="8" a="1"/>
  <c r="P236" i="8" s="1"/>
  <c r="X235" i="8" a="1"/>
  <c r="X235" i="8" s="1"/>
  <c r="W235" i="8" a="1"/>
  <c r="W235" i="8"/>
  <c r="V235" i="8" a="1"/>
  <c r="V235" i="8" s="1"/>
  <c r="U235" i="8" a="1"/>
  <c r="U235" i="8" s="1"/>
  <c r="T235" i="8" a="1"/>
  <c r="T235" i="8"/>
  <c r="S235" i="8" a="1"/>
  <c r="S235" i="8" s="1"/>
  <c r="R235" i="8" a="1"/>
  <c r="R235" i="8" s="1"/>
  <c r="Q235" i="8" a="1"/>
  <c r="Q235" i="8"/>
  <c r="P235" i="8" a="1"/>
  <c r="P235" i="8"/>
  <c r="X234" i="8" a="1"/>
  <c r="X234" i="8" s="1"/>
  <c r="W234" i="8" a="1"/>
  <c r="W234" i="8" s="1"/>
  <c r="V234" i="8" a="1"/>
  <c r="V234" i="8" s="1"/>
  <c r="U234" i="8" a="1"/>
  <c r="U234" i="8" s="1"/>
  <c r="T234" i="8" a="1"/>
  <c r="T234" i="8" s="1"/>
  <c r="S234" i="8" a="1"/>
  <c r="S234" i="8" s="1"/>
  <c r="R234" i="8" a="1"/>
  <c r="R234" i="8"/>
  <c r="Q234" i="8" a="1"/>
  <c r="Q234" i="8" s="1"/>
  <c r="P234" i="8" a="1"/>
  <c r="P234" i="8" s="1"/>
  <c r="X233" i="8" a="1"/>
  <c r="X233" i="8"/>
  <c r="W233" i="8" a="1"/>
  <c r="W233" i="8" s="1"/>
  <c r="V233" i="8" a="1"/>
  <c r="V233" i="8" s="1"/>
  <c r="U233" i="8" a="1"/>
  <c r="U233" i="8" s="1"/>
  <c r="T233" i="8" a="1"/>
  <c r="T233" i="8" s="1"/>
  <c r="S233" i="8" a="1"/>
  <c r="S233" i="8" s="1"/>
  <c r="R233" i="8" a="1"/>
  <c r="R233" i="8" s="1"/>
  <c r="Q233" i="8" a="1"/>
  <c r="Q233" i="8" s="1"/>
  <c r="P233" i="8" a="1"/>
  <c r="P233" i="8"/>
  <c r="X232" i="8" a="1"/>
  <c r="X232" i="8" s="1"/>
  <c r="W232" i="8" a="1"/>
  <c r="W232" i="8"/>
  <c r="V232" i="8" a="1"/>
  <c r="V232" i="8" s="1"/>
  <c r="U232" i="8" a="1"/>
  <c r="U232" i="8" s="1"/>
  <c r="T232" i="8" a="1"/>
  <c r="T232" i="8" s="1"/>
  <c r="S232" i="8" a="1"/>
  <c r="S232" i="8" s="1"/>
  <c r="R232" i="8" a="1"/>
  <c r="R232" i="8" s="1"/>
  <c r="Q232" i="8" a="1"/>
  <c r="Q232" i="8" s="1"/>
  <c r="P232" i="8" a="1"/>
  <c r="P232" i="8" s="1"/>
  <c r="X231" i="8" a="1"/>
  <c r="X231" i="8"/>
  <c r="W231" i="8" a="1"/>
  <c r="W231" i="8" s="1"/>
  <c r="V231" i="8" a="1"/>
  <c r="V231" i="8" s="1"/>
  <c r="U231" i="8" a="1"/>
  <c r="U231" i="8"/>
  <c r="T231" i="8" a="1"/>
  <c r="T231" i="8"/>
  <c r="S231" i="8" a="1"/>
  <c r="S231" i="8" s="1"/>
  <c r="R231" i="8" a="1"/>
  <c r="R231" i="8" s="1"/>
  <c r="Q231" i="8" a="1"/>
  <c r="Q231" i="8" s="1"/>
  <c r="P231" i="8" a="1"/>
  <c r="P231" i="8" s="1"/>
  <c r="X230" i="8" a="1"/>
  <c r="X230" i="8" s="1"/>
  <c r="W230" i="8" a="1"/>
  <c r="W230" i="8" s="1"/>
  <c r="V230" i="8" a="1"/>
  <c r="V230" i="8"/>
  <c r="U230" i="8" a="1"/>
  <c r="U230" i="8" s="1"/>
  <c r="T230" i="8" a="1"/>
  <c r="T230" i="8" s="1"/>
  <c r="S230" i="8" a="1"/>
  <c r="S230" i="8"/>
  <c r="R230" i="8" a="1"/>
  <c r="R230" i="8" s="1"/>
  <c r="Q230" i="8" a="1"/>
  <c r="Q230" i="8" s="1"/>
  <c r="P230" i="8" a="1"/>
  <c r="P230" i="8" s="1"/>
  <c r="X229" i="8" a="1"/>
  <c r="X229" i="8" s="1"/>
  <c r="W229" i="8" a="1"/>
  <c r="W229" i="8" s="1"/>
  <c r="V229" i="8" a="1"/>
  <c r="V229" i="8" s="1"/>
  <c r="U229" i="8" a="1"/>
  <c r="U229" i="8" s="1"/>
  <c r="T229" i="8" a="1"/>
  <c r="T229" i="8"/>
  <c r="S229" i="8" a="1"/>
  <c r="S229" i="8" s="1"/>
  <c r="R229" i="8" a="1"/>
  <c r="R229" i="8" s="1"/>
  <c r="Q229" i="8" a="1"/>
  <c r="Q229" i="8"/>
  <c r="P229" i="8" a="1"/>
  <c r="P229" i="8"/>
  <c r="X228" i="8" a="1"/>
  <c r="X228" i="8" s="1"/>
  <c r="W228" i="8" a="1"/>
  <c r="W228" i="8" s="1"/>
  <c r="V228" i="8" a="1"/>
  <c r="V228" i="8" s="1"/>
  <c r="U228" i="8" a="1"/>
  <c r="U228" i="8" s="1"/>
  <c r="T228" i="8" a="1"/>
  <c r="T228" i="8" s="1"/>
  <c r="S228" i="8" a="1"/>
  <c r="S228" i="8" s="1"/>
  <c r="R228" i="8" a="1"/>
  <c r="R228" i="8"/>
  <c r="Q228" i="8" a="1"/>
  <c r="Q228" i="8" s="1"/>
  <c r="P228" i="8" a="1"/>
  <c r="P228" i="8" s="1"/>
  <c r="X227" i="8" a="1"/>
  <c r="X227" i="8" s="1"/>
  <c r="W227" i="8" a="1"/>
  <c r="W227" i="8" s="1"/>
  <c r="V227" i="8" a="1"/>
  <c r="V227" i="8" s="1"/>
  <c r="U227" i="8" a="1"/>
  <c r="U227" i="8" s="1"/>
  <c r="T227" i="8" a="1"/>
  <c r="T227" i="8" s="1"/>
  <c r="S227" i="8" a="1"/>
  <c r="S227" i="8" s="1"/>
  <c r="R227" i="8" a="1"/>
  <c r="R227" i="8" s="1"/>
  <c r="Q227" i="8" a="1"/>
  <c r="Q227" i="8" s="1"/>
  <c r="P227" i="8" a="1"/>
  <c r="P227" i="8" s="1"/>
  <c r="X226" i="8" a="1"/>
  <c r="X226" i="8" s="1"/>
  <c r="W226" i="8" a="1"/>
  <c r="W226" i="8"/>
  <c r="V226" i="8" a="1"/>
  <c r="V226" i="8"/>
  <c r="U226" i="8" a="1"/>
  <c r="U226" i="8" s="1"/>
  <c r="T226" i="8" a="1"/>
  <c r="T226" i="8" s="1"/>
  <c r="S226" i="8" a="1"/>
  <c r="S226" i="8" s="1"/>
  <c r="R226" i="8" a="1"/>
  <c r="R226" i="8" s="1"/>
  <c r="Q226" i="8" a="1"/>
  <c r="Q226" i="8" s="1"/>
  <c r="P226" i="8" a="1"/>
  <c r="P226" i="8" s="1"/>
  <c r="X225" i="8" a="1"/>
  <c r="X225" i="8"/>
  <c r="W225" i="8" a="1"/>
  <c r="W225" i="8" s="1"/>
  <c r="V225" i="8" a="1"/>
  <c r="V225" i="8" s="1"/>
  <c r="U225" i="8" a="1"/>
  <c r="U225" i="8"/>
  <c r="T225" i="8" a="1"/>
  <c r="T225" i="8" s="1"/>
  <c r="S225" i="8" a="1"/>
  <c r="S225" i="8" s="1"/>
  <c r="R225" i="8" a="1"/>
  <c r="R225" i="8" s="1"/>
  <c r="Q225" i="8" a="1"/>
  <c r="Q225" i="8" s="1"/>
  <c r="P225" i="8" a="1"/>
  <c r="P225" i="8" s="1"/>
  <c r="X224" i="8" a="1"/>
  <c r="X224" i="8" s="1"/>
  <c r="W224" i="8" a="1"/>
  <c r="W224" i="8" s="1"/>
  <c r="V224" i="8" a="1"/>
  <c r="V224" i="8" s="1"/>
  <c r="U224" i="8" a="1"/>
  <c r="U224" i="8" s="1"/>
  <c r="T224" i="8" a="1"/>
  <c r="T224" i="8" s="1"/>
  <c r="S224" i="8" a="1"/>
  <c r="S224" i="8"/>
  <c r="R224" i="8" a="1"/>
  <c r="R224" i="8"/>
  <c r="Q224" i="8" a="1"/>
  <c r="Q224" i="8" s="1"/>
  <c r="P224" i="8" a="1"/>
  <c r="P224" i="8" s="1"/>
  <c r="X223" i="8" a="1"/>
  <c r="X223" i="8" s="1"/>
  <c r="W223" i="8" a="1"/>
  <c r="W223" i="8" s="1"/>
  <c r="V223" i="8" a="1"/>
  <c r="V223" i="8" s="1"/>
  <c r="U223" i="8" a="1"/>
  <c r="U223" i="8" s="1"/>
  <c r="T223" i="8" a="1"/>
  <c r="T223" i="8"/>
  <c r="S223" i="8" a="1"/>
  <c r="S223" i="8" s="1"/>
  <c r="R223" i="8" a="1"/>
  <c r="R223" i="8" s="1"/>
  <c r="Q223" i="8" a="1"/>
  <c r="Q223" i="8"/>
  <c r="P223" i="8" a="1"/>
  <c r="P223" i="8" s="1"/>
  <c r="X222" i="8" a="1"/>
  <c r="X222" i="8" s="1"/>
  <c r="W222" i="8" a="1"/>
  <c r="W222" i="8" s="1"/>
  <c r="V222" i="8" a="1"/>
  <c r="V222" i="8" s="1"/>
  <c r="U222" i="8" a="1"/>
  <c r="U222" i="8" s="1"/>
  <c r="T222" i="8" a="1"/>
  <c r="T222" i="8" s="1"/>
  <c r="S222" i="8" a="1"/>
  <c r="S222" i="8" s="1"/>
  <c r="R222" i="8" a="1"/>
  <c r="R222" i="8"/>
  <c r="Q222" i="8" a="1"/>
  <c r="Q222" i="8" s="1"/>
  <c r="P222" i="8" a="1"/>
  <c r="P222" i="8" s="1"/>
  <c r="X221" i="8" a="1"/>
  <c r="X221" i="8"/>
  <c r="W221" i="8" a="1"/>
  <c r="W221" i="8" s="1"/>
  <c r="V221" i="8" a="1"/>
  <c r="V221" i="8" s="1"/>
  <c r="U221" i="8" a="1"/>
  <c r="U221" i="8" s="1"/>
  <c r="T221" i="8" a="1"/>
  <c r="T221" i="8" s="1"/>
  <c r="S221" i="8" a="1"/>
  <c r="S221" i="8" s="1"/>
  <c r="R221" i="8" a="1"/>
  <c r="R221" i="8" s="1"/>
  <c r="Q221" i="8" a="1"/>
  <c r="Q221" i="8" s="1"/>
  <c r="P221" i="8" a="1"/>
  <c r="P221" i="8"/>
  <c r="X220" i="8" a="1"/>
  <c r="X220" i="8" s="1"/>
  <c r="W220" i="8" a="1"/>
  <c r="W220" i="8"/>
  <c r="V220" i="8" a="1"/>
  <c r="V220" i="8" s="1"/>
  <c r="U220" i="8" a="1"/>
  <c r="U220" i="8" s="1"/>
  <c r="T220" i="8" a="1"/>
  <c r="T220" i="8" s="1"/>
  <c r="S220" i="8" a="1"/>
  <c r="S220" i="8" s="1"/>
  <c r="R220" i="8" a="1"/>
  <c r="R220" i="8" s="1"/>
  <c r="Q220" i="8" a="1"/>
  <c r="Q220" i="8" s="1"/>
  <c r="P220" i="8" a="1"/>
  <c r="P220" i="8" s="1"/>
  <c r="X219" i="8" a="1"/>
  <c r="X219" i="8"/>
  <c r="W219" i="8" a="1"/>
  <c r="W219" i="8" s="1"/>
  <c r="V219" i="8" a="1"/>
  <c r="V219" i="8" s="1"/>
  <c r="U219" i="8" a="1"/>
  <c r="U219" i="8"/>
  <c r="T219" i="8" a="1"/>
  <c r="T219" i="8"/>
  <c r="S219" i="8" a="1"/>
  <c r="S219" i="8" s="1"/>
  <c r="R219" i="8" a="1"/>
  <c r="R219" i="8" s="1"/>
  <c r="Q219" i="8" a="1"/>
  <c r="Q219" i="8" s="1"/>
  <c r="P219" i="8" a="1"/>
  <c r="P219" i="8" s="1"/>
  <c r="X218" i="8" a="1"/>
  <c r="X218" i="8" s="1"/>
  <c r="W218" i="8" a="1"/>
  <c r="W218" i="8" s="1"/>
  <c r="V218" i="8" a="1"/>
  <c r="V218" i="8"/>
  <c r="U218" i="8" a="1"/>
  <c r="U218" i="8" s="1"/>
  <c r="T218" i="8" a="1"/>
  <c r="T218" i="8" s="1"/>
  <c r="S218" i="8" a="1"/>
  <c r="S218" i="8"/>
  <c r="R218" i="8" a="1"/>
  <c r="R218" i="8"/>
  <c r="Q218" i="8" a="1"/>
  <c r="Q218" i="8" s="1"/>
  <c r="P218" i="8" a="1"/>
  <c r="P218" i="8" s="1"/>
  <c r="X217" i="8" a="1"/>
  <c r="X217" i="8" s="1"/>
  <c r="W217" i="8" a="1"/>
  <c r="W217" i="8" s="1"/>
  <c r="V217" i="8" a="1"/>
  <c r="V217" i="8" s="1"/>
  <c r="U217" i="8" a="1"/>
  <c r="U217" i="8" s="1"/>
  <c r="T217" i="8" a="1"/>
  <c r="T217" i="8" s="1"/>
  <c r="S217" i="8" a="1"/>
  <c r="S217" i="8" s="1"/>
  <c r="R217" i="8" a="1"/>
  <c r="R217" i="8" s="1"/>
  <c r="Q217" i="8" a="1"/>
  <c r="Q217" i="8"/>
  <c r="P217" i="8" a="1"/>
  <c r="P217" i="8"/>
  <c r="X216" i="8" a="1"/>
  <c r="X216" i="8" s="1"/>
  <c r="W216" i="8" a="1"/>
  <c r="W216" i="8" s="1"/>
  <c r="V216" i="8" a="1"/>
  <c r="V216" i="8" s="1"/>
  <c r="U216" i="8" a="1"/>
  <c r="U216" i="8"/>
  <c r="T216" i="8" a="1"/>
  <c r="T216" i="8" s="1"/>
  <c r="S216" i="8" a="1"/>
  <c r="S216" i="8" s="1"/>
  <c r="R216" i="8" a="1"/>
  <c r="R216" i="8"/>
  <c r="Q216" i="8" a="1"/>
  <c r="Q216" i="8" s="1"/>
  <c r="P216" i="8" a="1"/>
  <c r="P216" i="8" s="1"/>
  <c r="X215" i="8" a="1"/>
  <c r="X215" i="8" s="1"/>
  <c r="W215" i="8" a="1"/>
  <c r="W215" i="8" s="1"/>
  <c r="V215" i="8" a="1"/>
  <c r="V215" i="8" s="1"/>
  <c r="U215" i="8" a="1"/>
  <c r="U215" i="8" s="1"/>
  <c r="T215" i="8" a="1"/>
  <c r="T215" i="8" s="1"/>
  <c r="S215" i="8" a="1"/>
  <c r="S215" i="8" s="1"/>
  <c r="R215" i="8" a="1"/>
  <c r="R215" i="8" s="1"/>
  <c r="Q215" i="8" a="1"/>
  <c r="Q215" i="8" s="1"/>
  <c r="P215" i="8" a="1"/>
  <c r="P215" i="8" s="1"/>
  <c r="X214" i="8" a="1"/>
  <c r="X214" i="8" s="1"/>
  <c r="W214" i="8" a="1"/>
  <c r="W214" i="8"/>
  <c r="V214" i="8" a="1"/>
  <c r="V214" i="8"/>
  <c r="U214" i="8" a="1"/>
  <c r="U214" i="8" s="1"/>
  <c r="T214" i="8" a="1"/>
  <c r="T214" i="8" s="1"/>
  <c r="S214" i="8" a="1"/>
  <c r="S214" i="8" s="1"/>
  <c r="R214" i="8" a="1"/>
  <c r="R214" i="8" s="1"/>
  <c r="Q214" i="8" a="1"/>
  <c r="Q214" i="8" s="1"/>
  <c r="P214" i="8" a="1"/>
  <c r="P214" i="8" s="1"/>
  <c r="X213" i="8" a="1"/>
  <c r="X213" i="8"/>
  <c r="W213" i="8" a="1"/>
  <c r="W213" i="8" s="1"/>
  <c r="V213" i="8" a="1"/>
  <c r="V213" i="8" s="1"/>
  <c r="U213" i="8" a="1"/>
  <c r="U213" i="8"/>
  <c r="T213" i="8" a="1"/>
  <c r="T213" i="8"/>
  <c r="S213" i="8" a="1"/>
  <c r="S213" i="8" s="1"/>
  <c r="R213" i="8" a="1"/>
  <c r="R213" i="8" s="1"/>
  <c r="Q213" i="8" a="1"/>
  <c r="Q213" i="8" s="1"/>
  <c r="P213" i="8" a="1"/>
  <c r="P213" i="8" s="1"/>
  <c r="X212" i="8" a="1"/>
  <c r="X212" i="8" s="1"/>
  <c r="W212" i="8" a="1"/>
  <c r="W212" i="8" s="1"/>
  <c r="V212" i="8" a="1"/>
  <c r="V212" i="8"/>
  <c r="U212" i="8" a="1"/>
  <c r="U212" i="8" s="1"/>
  <c r="T212" i="8" a="1"/>
  <c r="T212" i="8" s="1"/>
  <c r="S212" i="8" a="1"/>
  <c r="S212" i="8"/>
  <c r="R212" i="8" a="1"/>
  <c r="R212" i="8"/>
  <c r="Q212" i="8" a="1"/>
  <c r="Q212" i="8" s="1"/>
  <c r="P212" i="8" a="1"/>
  <c r="P212" i="8" s="1"/>
  <c r="X211" i="8" a="1"/>
  <c r="X211" i="8" s="1"/>
  <c r="W211" i="8" a="1"/>
  <c r="W211" i="8" s="1"/>
  <c r="V211" i="8" a="1"/>
  <c r="V211" i="8" s="1"/>
  <c r="U211" i="8" a="1"/>
  <c r="U211" i="8" s="1"/>
  <c r="T211" i="8" a="1"/>
  <c r="T211" i="8"/>
  <c r="S211" i="8" a="1"/>
  <c r="S211" i="8" s="1"/>
  <c r="R211" i="8" a="1"/>
  <c r="R211" i="8" s="1"/>
  <c r="Q211" i="8" a="1"/>
  <c r="Q211" i="8"/>
  <c r="P211" i="8" a="1"/>
  <c r="P211" i="8"/>
  <c r="X210" i="8" a="1"/>
  <c r="X210" i="8" s="1"/>
  <c r="W210" i="8" a="1"/>
  <c r="W210" i="8" s="1"/>
  <c r="V210" i="8" a="1"/>
  <c r="V210" i="8" s="1"/>
  <c r="U210" i="8" a="1"/>
  <c r="U210" i="8" s="1"/>
  <c r="T210" i="8" a="1"/>
  <c r="T210" i="8" s="1"/>
  <c r="S210" i="8" a="1"/>
  <c r="S210" i="8" s="1"/>
  <c r="R210" i="8" a="1"/>
  <c r="R210" i="8"/>
  <c r="Q210" i="8" a="1"/>
  <c r="Q210" i="8" s="1"/>
  <c r="P210" i="8" a="1"/>
  <c r="P210" i="8" s="1"/>
  <c r="X209" i="8" a="1"/>
  <c r="X209" i="8"/>
  <c r="W209" i="8" a="1"/>
  <c r="W209" i="8" s="1"/>
  <c r="V209" i="8" a="1"/>
  <c r="V209" i="8" s="1"/>
  <c r="U209" i="8" a="1"/>
  <c r="U209" i="8" s="1"/>
  <c r="T209" i="8" a="1"/>
  <c r="T209" i="8" s="1"/>
  <c r="S209" i="8" a="1"/>
  <c r="S209" i="8" s="1"/>
  <c r="R209" i="8" a="1"/>
  <c r="R209" i="8" s="1"/>
  <c r="Q209" i="8" a="1"/>
  <c r="Q209" i="8" s="1"/>
  <c r="P209" i="8" a="1"/>
  <c r="P209" i="8"/>
  <c r="X208" i="8" a="1"/>
  <c r="X208" i="8" s="1"/>
  <c r="W208" i="8" a="1"/>
  <c r="W208" i="8"/>
  <c r="V208" i="8" a="1"/>
  <c r="V208" i="8"/>
  <c r="U208" i="8" a="1"/>
  <c r="U208" i="8" s="1"/>
  <c r="T208" i="8" a="1"/>
  <c r="T208" i="8" s="1"/>
  <c r="S208" i="8" a="1"/>
  <c r="S208" i="8" s="1"/>
  <c r="R208" i="8" a="1"/>
  <c r="R208" i="8" s="1"/>
  <c r="Q208" i="8" a="1"/>
  <c r="Q208" i="8" s="1"/>
  <c r="P208" i="8" a="1"/>
  <c r="P208" i="8" s="1"/>
  <c r="X207" i="8" a="1"/>
  <c r="X207" i="8" s="1"/>
  <c r="W207" i="8" a="1"/>
  <c r="W207" i="8" s="1"/>
  <c r="V207" i="8" a="1"/>
  <c r="V207" i="8" s="1"/>
  <c r="U207" i="8" a="1"/>
  <c r="U207" i="8"/>
  <c r="T207" i="8" a="1"/>
  <c r="T207" i="8"/>
  <c r="S207" i="8" a="1"/>
  <c r="S207" i="8" s="1"/>
  <c r="R207" i="8" a="1"/>
  <c r="R207" i="8" s="1"/>
  <c r="Q207" i="8" a="1"/>
  <c r="Q207" i="8" s="1"/>
  <c r="P207" i="8" a="1"/>
  <c r="P207" i="8" s="1"/>
  <c r="X206" i="8" a="1"/>
  <c r="X206" i="8" s="1"/>
  <c r="W206" i="8" a="1"/>
  <c r="W206" i="8" s="1"/>
  <c r="V206" i="8" a="1"/>
  <c r="V206" i="8" s="1"/>
  <c r="U206" i="8" a="1"/>
  <c r="U206" i="8" s="1"/>
  <c r="T206" i="8" a="1"/>
  <c r="T206" i="8" s="1"/>
  <c r="S206" i="8" a="1"/>
  <c r="S206" i="8"/>
  <c r="R206" i="8" a="1"/>
  <c r="R206" i="8" s="1"/>
  <c r="Q206" i="8" a="1"/>
  <c r="Q206" i="8" s="1"/>
  <c r="P206" i="8" a="1"/>
  <c r="P206" i="8" s="1"/>
  <c r="X205" i="8" a="1"/>
  <c r="X205" i="8" s="1"/>
  <c r="W205" i="8" a="1"/>
  <c r="W205" i="8" s="1"/>
  <c r="V205" i="8" a="1"/>
  <c r="V205" i="8"/>
  <c r="U205" i="8" a="1"/>
  <c r="U205" i="8" s="1"/>
  <c r="T205" i="8" a="1"/>
  <c r="T205" i="8" s="1"/>
  <c r="S205" i="8" a="1"/>
  <c r="S205" i="8" s="1"/>
  <c r="R205" i="8" a="1"/>
  <c r="R205" i="8" s="1"/>
  <c r="Q205" i="8" a="1"/>
  <c r="Q205" i="8" s="1"/>
  <c r="P205" i="8" a="1"/>
  <c r="P205" i="8" s="1"/>
  <c r="X204" i="8" a="1"/>
  <c r="X204" i="8"/>
  <c r="W204" i="8" a="1"/>
  <c r="W204" i="8" s="1"/>
  <c r="V204" i="8" a="1"/>
  <c r="V204" i="8" s="1"/>
  <c r="U204" i="8" a="1"/>
  <c r="U204" i="8" s="1"/>
  <c r="T204" i="8" a="1"/>
  <c r="T204" i="8" s="1"/>
  <c r="S204" i="8" a="1"/>
  <c r="S204" i="8" s="1"/>
  <c r="R204" i="8" a="1"/>
  <c r="R204" i="8"/>
  <c r="Q204" i="8" a="1"/>
  <c r="Q204" i="8" s="1"/>
  <c r="P204" i="8" a="1"/>
  <c r="P204" i="8" s="1"/>
  <c r="X203" i="8" a="1"/>
  <c r="X203" i="8" s="1"/>
  <c r="W203" i="8" a="1"/>
  <c r="W203" i="8" s="1"/>
  <c r="V203" i="8" a="1"/>
  <c r="V203" i="8" s="1"/>
  <c r="U203" i="8" a="1"/>
  <c r="U203" i="8" s="1"/>
  <c r="T203" i="8" a="1"/>
  <c r="T203" i="8" s="1"/>
  <c r="S203" i="8" a="1"/>
  <c r="S203" i="8" s="1"/>
  <c r="R203" i="8" a="1"/>
  <c r="R203" i="8" s="1"/>
  <c r="Q203" i="8" a="1"/>
  <c r="Q203" i="8" s="1"/>
  <c r="P203" i="8" a="1"/>
  <c r="P203" i="8" s="1"/>
  <c r="X202" i="8" a="1"/>
  <c r="X202" i="8" s="1"/>
  <c r="W202" i="8" a="1"/>
  <c r="W202" i="8"/>
  <c r="V202" i="8" a="1"/>
  <c r="V202" i="8" s="1"/>
  <c r="U202" i="8" a="1"/>
  <c r="U202" i="8" s="1"/>
  <c r="T202" i="8" a="1"/>
  <c r="T202" i="8" s="1"/>
  <c r="S202" i="8" a="1"/>
  <c r="S202" i="8" s="1"/>
  <c r="R202" i="8" a="1"/>
  <c r="R202" i="8" s="1"/>
  <c r="Q202" i="8" a="1"/>
  <c r="Q202" i="8" s="1"/>
  <c r="P202" i="8" a="1"/>
  <c r="P202" i="8"/>
  <c r="X201" i="8" a="1"/>
  <c r="X201" i="8" s="1"/>
  <c r="W201" i="8" a="1"/>
  <c r="W201" i="8" s="1"/>
  <c r="V201" i="8" a="1"/>
  <c r="V201" i="8" s="1"/>
  <c r="U201" i="8" a="1"/>
  <c r="U201" i="8" s="1"/>
  <c r="T201" i="8" a="1"/>
  <c r="T201" i="8" s="1"/>
  <c r="S201" i="8" a="1"/>
  <c r="S201" i="8"/>
  <c r="R201" i="8" a="1"/>
  <c r="R201" i="8" s="1"/>
  <c r="Q201" i="8" a="1"/>
  <c r="Q201" i="8" s="1"/>
  <c r="P201" i="8" a="1"/>
  <c r="P201" i="8" s="1"/>
  <c r="X200" i="8" a="1"/>
  <c r="X200" i="8" s="1"/>
  <c r="W200" i="8" a="1"/>
  <c r="W200" i="8" s="1"/>
  <c r="V200" i="8" a="1"/>
  <c r="V200" i="8"/>
  <c r="U200" i="8" a="1"/>
  <c r="U200" i="8" s="1"/>
  <c r="T200" i="8" a="1"/>
  <c r="T200" i="8" s="1"/>
  <c r="S200" i="8" a="1"/>
  <c r="S200" i="8" s="1"/>
  <c r="R200" i="8" a="1"/>
  <c r="R200" i="8" s="1"/>
  <c r="Q200" i="8" a="1"/>
  <c r="Q200" i="8" s="1"/>
  <c r="P200" i="8" a="1"/>
  <c r="P200" i="8" s="1"/>
  <c r="X199" i="8" a="1"/>
  <c r="X199" i="8" s="1"/>
  <c r="W199" i="8" a="1"/>
  <c r="W199" i="8" s="1"/>
  <c r="V199" i="8" a="1"/>
  <c r="V199" i="8" s="1"/>
  <c r="U199" i="8" a="1"/>
  <c r="U199" i="8" s="1"/>
  <c r="T199" i="8" a="1"/>
  <c r="T199" i="8" s="1"/>
  <c r="S199" i="8" a="1"/>
  <c r="S199" i="8" s="1"/>
  <c r="R199" i="8" a="1"/>
  <c r="R199" i="8" s="1"/>
  <c r="Q199" i="8" a="1"/>
  <c r="Q199" i="8"/>
  <c r="P199" i="8" a="1"/>
  <c r="P199" i="8" s="1"/>
  <c r="X198" i="8" a="1"/>
  <c r="X198" i="8" s="1"/>
  <c r="W198" i="8" a="1"/>
  <c r="W198" i="8" s="1"/>
  <c r="V198" i="8" a="1"/>
  <c r="V198" i="8" s="1"/>
  <c r="U198" i="8" a="1"/>
  <c r="U198" i="8" s="1"/>
  <c r="T198" i="8" a="1"/>
  <c r="T198" i="8"/>
  <c r="S198" i="8" a="1"/>
  <c r="S198" i="8"/>
  <c r="R198" i="8" a="1"/>
  <c r="R198" i="8" s="1"/>
  <c r="Q198" i="8" a="1"/>
  <c r="Q198" i="8" s="1"/>
  <c r="P198" i="8" a="1"/>
  <c r="P198" i="8" s="1"/>
  <c r="X197" i="8" a="1"/>
  <c r="X197" i="8" s="1"/>
  <c r="W197" i="8" a="1"/>
  <c r="W197" i="8"/>
  <c r="V197" i="8" a="1"/>
  <c r="V197" i="8"/>
  <c r="U197" i="8" a="1"/>
  <c r="U197" i="8" s="1"/>
  <c r="T197" i="8" a="1"/>
  <c r="T197" i="8" s="1"/>
  <c r="S197" i="8" a="1"/>
  <c r="S197" i="8" s="1"/>
  <c r="R197" i="8" a="1"/>
  <c r="R197" i="8" s="1"/>
  <c r="Q197" i="8" a="1"/>
  <c r="Q197" i="8" s="1"/>
  <c r="P197" i="8" a="1"/>
  <c r="P197" i="8"/>
  <c r="X196" i="8" a="1"/>
  <c r="X196" i="8" s="1"/>
  <c r="W196" i="8" a="1"/>
  <c r="W196" i="8" s="1"/>
  <c r="V196" i="8" a="1"/>
  <c r="V196" i="8" s="1"/>
  <c r="U196" i="8" a="1"/>
  <c r="U196" i="8" s="1"/>
  <c r="T196" i="8" a="1"/>
  <c r="T196" i="8" s="1"/>
  <c r="S196" i="8" a="1"/>
  <c r="S196" i="8" s="1"/>
  <c r="R196" i="8" a="1"/>
  <c r="R196" i="8" s="1"/>
  <c r="Q196" i="8" a="1"/>
  <c r="Q196" i="8" s="1"/>
  <c r="P196" i="8" a="1"/>
  <c r="P196" i="8" s="1"/>
  <c r="X195" i="8" a="1"/>
  <c r="X195" i="8" s="1"/>
  <c r="W195" i="8" a="1"/>
  <c r="W195" i="8" s="1"/>
  <c r="V195" i="8" a="1"/>
  <c r="V195" i="8" s="1"/>
  <c r="U195" i="8" a="1"/>
  <c r="U195" i="8"/>
  <c r="T195" i="8" a="1"/>
  <c r="T195" i="8" s="1"/>
  <c r="S195" i="8" a="1"/>
  <c r="S195" i="8" s="1"/>
  <c r="R195" i="8" a="1"/>
  <c r="R195" i="8" s="1"/>
  <c r="Q195" i="8" a="1"/>
  <c r="Q195" i="8" s="1"/>
  <c r="P195" i="8" a="1"/>
  <c r="P195" i="8" s="1"/>
  <c r="X194" i="8" a="1"/>
  <c r="X194" i="8"/>
  <c r="W194" i="8" a="1"/>
  <c r="W194" i="8"/>
  <c r="V194" i="8" a="1"/>
  <c r="V194" i="8" s="1"/>
  <c r="U194" i="8" a="1"/>
  <c r="U194" i="8" s="1"/>
  <c r="T194" i="8" a="1"/>
  <c r="T194" i="8" s="1"/>
  <c r="S194" i="8" a="1"/>
  <c r="S194" i="8" s="1"/>
  <c r="R194" i="8" a="1"/>
  <c r="R194" i="8" s="1"/>
  <c r="Q194" i="8" a="1"/>
  <c r="Q194" i="8"/>
  <c r="P194" i="8" a="1"/>
  <c r="P194" i="8"/>
  <c r="X193" i="8" a="1"/>
  <c r="X193" i="8" s="1"/>
  <c r="W193" i="8" a="1"/>
  <c r="W193" i="8" s="1"/>
  <c r="V193" i="8" a="1"/>
  <c r="V193" i="8" s="1"/>
  <c r="U193" i="8" a="1"/>
  <c r="U193" i="8" s="1"/>
  <c r="T193" i="8" a="1"/>
  <c r="T193" i="8"/>
  <c r="S193" i="8" a="1"/>
  <c r="S193" i="8" s="1"/>
  <c r="R193" i="8" a="1"/>
  <c r="R193" i="8" s="1"/>
  <c r="Q193" i="8" a="1"/>
  <c r="Q193" i="8" s="1"/>
  <c r="P193" i="8" a="1"/>
  <c r="P193" i="8" s="1"/>
  <c r="X192" i="8" a="1"/>
  <c r="X192" i="8" s="1"/>
  <c r="W192" i="8" a="1"/>
  <c r="W192" i="8"/>
  <c r="V192" i="8" a="1"/>
  <c r="V192" i="8" s="1"/>
  <c r="U192" i="8" a="1"/>
  <c r="U192" i="8"/>
  <c r="T192" i="8" a="1"/>
  <c r="T192" i="8"/>
  <c r="S192" i="8" a="1"/>
  <c r="S192" i="8"/>
  <c r="R192" i="8" a="1"/>
  <c r="R192" i="8"/>
  <c r="Q192" i="8" a="1"/>
  <c r="Q192" i="8"/>
  <c r="P192" i="8" a="1"/>
  <c r="P192" i="8" s="1"/>
  <c r="X191" i="8" a="1"/>
  <c r="X191" i="8" s="1"/>
  <c r="W191" i="8" a="1"/>
  <c r="W191" i="8" s="1"/>
  <c r="V191" i="8" a="1"/>
  <c r="V191" i="8" s="1"/>
  <c r="U191" i="8" a="1"/>
  <c r="U191" i="8" s="1"/>
  <c r="T191" i="8" a="1"/>
  <c r="T191" i="8" s="1"/>
  <c r="S191" i="8" a="1"/>
  <c r="S191" i="8"/>
  <c r="R191" i="8" a="1"/>
  <c r="R191" i="8" s="1"/>
  <c r="Q191" i="8" a="1"/>
  <c r="Q191" i="8"/>
  <c r="P191" i="8" a="1"/>
  <c r="P191" i="8"/>
  <c r="X190" i="8" a="1"/>
  <c r="X190" i="8" s="1"/>
  <c r="W190" i="8" a="1"/>
  <c r="W190" i="8"/>
  <c r="V190" i="8" a="1"/>
  <c r="V190" i="8"/>
  <c r="U190" i="8" a="1"/>
  <c r="U190" i="8" s="1"/>
  <c r="T190" i="8" a="1"/>
  <c r="T190" i="8" s="1"/>
  <c r="S190" i="8" a="1"/>
  <c r="S190" i="8" s="1"/>
  <c r="R190" i="8" a="1"/>
  <c r="R190" i="8" s="1"/>
  <c r="Q190" i="8" a="1"/>
  <c r="Q190" i="8"/>
  <c r="P190" i="8" a="1"/>
  <c r="P190" i="8"/>
  <c r="X189" i="8" a="1"/>
  <c r="X189" i="8"/>
  <c r="W189" i="8" a="1"/>
  <c r="W189" i="8"/>
  <c r="V189" i="8" a="1"/>
  <c r="V189" i="8" s="1"/>
  <c r="U189" i="8" a="1"/>
  <c r="U189" i="8" s="1"/>
  <c r="T189" i="8" a="1"/>
  <c r="T189" i="8" s="1"/>
  <c r="S189" i="8" a="1"/>
  <c r="S189" i="8" s="1"/>
  <c r="R189" i="8" a="1"/>
  <c r="R189" i="8" s="1"/>
  <c r="Q189" i="8" a="1"/>
  <c r="Q189" i="8" s="1"/>
  <c r="P189" i="8" a="1"/>
  <c r="P189" i="8" s="1"/>
  <c r="X188" i="8" a="1"/>
  <c r="X188" i="8"/>
  <c r="W188" i="8" a="1"/>
  <c r="W188" i="8" s="1"/>
  <c r="V188" i="8" a="1"/>
  <c r="V188" i="8" s="1"/>
  <c r="U188" i="8" a="1"/>
  <c r="U188" i="8"/>
  <c r="T188" i="8" a="1"/>
  <c r="T188" i="8" s="1"/>
  <c r="S188" i="8" a="1"/>
  <c r="S188" i="8" s="1"/>
  <c r="R188" i="8" a="1"/>
  <c r="R188" i="8" s="1"/>
  <c r="Q188" i="8" a="1"/>
  <c r="Q188" i="8" s="1"/>
  <c r="P188" i="8" a="1"/>
  <c r="P188" i="8"/>
  <c r="X187" i="8" a="1"/>
  <c r="X187" i="8" s="1"/>
  <c r="W187" i="8" a="1"/>
  <c r="W187" i="8"/>
  <c r="V187" i="8" a="1"/>
  <c r="V187" i="8"/>
  <c r="U187" i="8" a="1"/>
  <c r="U187" i="8"/>
  <c r="T187" i="8" a="1"/>
  <c r="T187" i="8" s="1"/>
  <c r="S187" i="8" a="1"/>
  <c r="S187" i="8"/>
  <c r="R187" i="8" a="1"/>
  <c r="R187" i="8" s="1"/>
  <c r="Q187" i="8" a="1"/>
  <c r="Q187" i="8" s="1"/>
  <c r="P187" i="8" a="1"/>
  <c r="P187" i="8" s="1"/>
  <c r="X186" i="8" a="1"/>
  <c r="X186" i="8" s="1"/>
  <c r="W186" i="8" a="1"/>
  <c r="W186" i="8" s="1"/>
  <c r="V186" i="8" a="1"/>
  <c r="V186" i="8" s="1"/>
  <c r="U186" i="8" a="1"/>
  <c r="U186" i="8"/>
  <c r="T186" i="8" a="1"/>
  <c r="T186" i="8"/>
  <c r="S186" i="8" a="1"/>
  <c r="S186" i="8"/>
  <c r="R186" i="8" a="1"/>
  <c r="R186" i="8"/>
  <c r="Q186" i="8" a="1"/>
  <c r="Q186" i="8" s="1"/>
  <c r="P186" i="8" a="1"/>
  <c r="P186" i="8" s="1"/>
  <c r="X185" i="8" a="1"/>
  <c r="X185" i="8" s="1"/>
  <c r="W185" i="8" a="1"/>
  <c r="W185" i="8" s="1"/>
  <c r="V185" i="8" a="1"/>
  <c r="V185" i="8" s="1"/>
  <c r="U185" i="8" a="1"/>
  <c r="U185" i="8"/>
  <c r="T185" i="8" a="1"/>
  <c r="T185" i="8" s="1"/>
  <c r="S185" i="8" a="1"/>
  <c r="S185" i="8" s="1"/>
  <c r="R185" i="8" a="1"/>
  <c r="R185" i="8"/>
  <c r="Q185" i="8" a="1"/>
  <c r="Q185" i="8"/>
  <c r="P185" i="8" a="1"/>
  <c r="P185" i="8"/>
  <c r="X184" i="8" a="1"/>
  <c r="X184" i="8" s="1"/>
  <c r="W184" i="8" a="1"/>
  <c r="W184" i="8"/>
  <c r="V184" i="8" a="1"/>
  <c r="V184" i="8" s="1"/>
  <c r="U184" i="8" a="1"/>
  <c r="U184" i="8" s="1"/>
  <c r="T184" i="8" a="1"/>
  <c r="T184" i="8" s="1"/>
  <c r="S184" i="8" a="1"/>
  <c r="S184" i="8" s="1"/>
  <c r="R184" i="8" a="1"/>
  <c r="R184" i="8" s="1"/>
  <c r="Q184" i="8" a="1"/>
  <c r="Q184" i="8"/>
  <c r="P184" i="8" a="1"/>
  <c r="P184" i="8" s="1"/>
  <c r="X183" i="8" a="1"/>
  <c r="X183" i="8" s="1"/>
  <c r="W183" i="8" a="1"/>
  <c r="W183" i="8" s="1"/>
  <c r="V183" i="8" a="1"/>
  <c r="V183" i="8" s="1"/>
  <c r="U183" i="8" a="1"/>
  <c r="U183" i="8"/>
  <c r="T183" i="8" a="1"/>
  <c r="T183" i="8" s="1"/>
  <c r="S183" i="8" a="1"/>
  <c r="S183" i="8"/>
  <c r="R183" i="8" a="1"/>
  <c r="R183" i="8" s="1"/>
  <c r="Q183" i="8" a="1"/>
  <c r="Q183" i="8" s="1"/>
  <c r="P183" i="8" a="1"/>
  <c r="P183" i="8" s="1"/>
  <c r="X182" i="8" a="1"/>
  <c r="X182" i="8" s="1"/>
  <c r="W182" i="8" a="1"/>
  <c r="W182" i="8"/>
  <c r="V182" i="8" a="1"/>
  <c r="V182" i="8" s="1"/>
  <c r="U182" i="8" a="1"/>
  <c r="U182" i="8" s="1"/>
  <c r="T182" i="8" a="1"/>
  <c r="T182" i="8" s="1"/>
  <c r="S182" i="8" a="1"/>
  <c r="S182" i="8" s="1"/>
  <c r="R182" i="8" a="1"/>
  <c r="R182" i="8" s="1"/>
  <c r="Q182" i="8" a="1"/>
  <c r="Q182" i="8"/>
  <c r="P182" i="8" a="1"/>
  <c r="P182" i="8" s="1"/>
  <c r="X181" i="8" a="1"/>
  <c r="X181" i="8" s="1"/>
  <c r="W181" i="8" a="1"/>
  <c r="W181" i="8" s="1"/>
  <c r="V181" i="8" a="1"/>
  <c r="V181" i="8" s="1"/>
  <c r="U181" i="8" a="1"/>
  <c r="U181" i="8"/>
  <c r="T181" i="8" a="1"/>
  <c r="T181" i="8"/>
  <c r="S181" i="8" a="1"/>
  <c r="S181" i="8" s="1"/>
  <c r="R181" i="8" a="1"/>
  <c r="R181" i="8"/>
  <c r="Q181" i="8" a="1"/>
  <c r="Q181" i="8" s="1"/>
  <c r="P181" i="8" a="1"/>
  <c r="P181" i="8" s="1"/>
  <c r="X180" i="8" a="1"/>
  <c r="X180" i="8" s="1"/>
  <c r="W180" i="8" a="1"/>
  <c r="W180" i="8" s="1"/>
  <c r="V180" i="8" a="1"/>
  <c r="V180" i="8" s="1"/>
  <c r="U180" i="8" a="1"/>
  <c r="U180" i="8"/>
  <c r="T180" i="8" a="1"/>
  <c r="T180" i="8" s="1"/>
  <c r="S180" i="8" a="1"/>
  <c r="S180" i="8"/>
  <c r="R180" i="8" a="1"/>
  <c r="R180" i="8"/>
  <c r="Q180" i="8" a="1"/>
  <c r="Q180" i="8" s="1"/>
  <c r="P180" i="8" a="1"/>
  <c r="P180" i="8" s="1"/>
  <c r="X179" i="8" a="1"/>
  <c r="X179" i="8" s="1"/>
  <c r="W179" i="8" a="1"/>
  <c r="W179" i="8" s="1"/>
  <c r="V179" i="8" a="1"/>
  <c r="V179" i="8"/>
  <c r="U179" i="8" a="1"/>
  <c r="U179" i="8" s="1"/>
  <c r="T179" i="8" a="1"/>
  <c r="T179" i="8"/>
  <c r="S179" i="8" a="1"/>
  <c r="S179" i="8" s="1"/>
  <c r="R179" i="8" a="1"/>
  <c r="R179" i="8" s="1"/>
  <c r="Q179" i="8" a="1"/>
  <c r="Q179" i="8" s="1"/>
  <c r="P179" i="8" a="1"/>
  <c r="P179" i="8" s="1"/>
  <c r="X178" i="8" a="1"/>
  <c r="X178" i="8" s="1"/>
  <c r="W178" i="8" a="1"/>
  <c r="W178" i="8"/>
  <c r="V178" i="8" a="1"/>
  <c r="V178" i="8" s="1"/>
  <c r="U178" i="8" a="1"/>
  <c r="U178" i="8" s="1"/>
  <c r="T178" i="8" a="1"/>
  <c r="T178" i="8" s="1"/>
  <c r="S178" i="8" a="1"/>
  <c r="S178" i="8" s="1"/>
  <c r="R178" i="8" a="1"/>
  <c r="R178" i="8" s="1"/>
  <c r="Q178" i="8" a="1"/>
  <c r="Q178" i="8" s="1"/>
  <c r="P178" i="8" a="1"/>
  <c r="P178" i="8" s="1"/>
  <c r="X177" i="8" a="1"/>
  <c r="X177" i="8"/>
  <c r="W177" i="8" a="1"/>
  <c r="W177" i="8" s="1"/>
  <c r="V177" i="8" a="1"/>
  <c r="V177" i="8"/>
  <c r="U177" i="8" a="1"/>
  <c r="U177" i="8" s="1"/>
  <c r="T177" i="8" a="1"/>
  <c r="T177" i="8" s="1"/>
  <c r="S177" i="8" a="1"/>
  <c r="S177" i="8"/>
  <c r="R177" i="8" a="1"/>
  <c r="R177" i="8" s="1"/>
  <c r="Q177" i="8" a="1"/>
  <c r="Q177" i="8" s="1"/>
  <c r="P177" i="8" a="1"/>
  <c r="P177" i="8" s="1"/>
  <c r="X176" i="8" a="1"/>
  <c r="X176" i="8" s="1"/>
  <c r="W176" i="8" a="1"/>
  <c r="W176" i="8"/>
  <c r="V176" i="8" a="1"/>
  <c r="V176" i="8"/>
  <c r="U176" i="8" a="1"/>
  <c r="U176" i="8" s="1"/>
  <c r="T176" i="8" a="1"/>
  <c r="T176" i="8"/>
  <c r="S176" i="8" a="1"/>
  <c r="S176" i="8" s="1"/>
  <c r="R176" i="8" a="1"/>
  <c r="R176" i="8" s="1"/>
  <c r="Q176" i="8" a="1"/>
  <c r="Q176" i="8" s="1"/>
  <c r="P176" i="8" a="1"/>
  <c r="P176" i="8"/>
  <c r="X175" i="8" a="1"/>
  <c r="X175" i="8" s="1"/>
  <c r="W175" i="8" a="1"/>
  <c r="W175" i="8"/>
  <c r="V175" i="8" a="1"/>
  <c r="V175" i="8" s="1"/>
  <c r="U175" i="8" a="1"/>
  <c r="U175" i="8" s="1"/>
  <c r="T175" i="8" a="1"/>
  <c r="T175" i="8" s="1"/>
  <c r="S175" i="8" a="1"/>
  <c r="S175" i="8" s="1"/>
  <c r="R175" i="8" a="1"/>
  <c r="R175" i="8" s="1"/>
  <c r="Q175" i="8" a="1"/>
  <c r="Q175" i="8" s="1"/>
  <c r="P175" i="8" a="1"/>
  <c r="P175" i="8" s="1"/>
  <c r="X174" i="8" a="1"/>
  <c r="X174" i="8" s="1"/>
  <c r="W174" i="8" a="1"/>
  <c r="W174" i="8" s="1"/>
  <c r="V174" i="8" a="1"/>
  <c r="V174" i="8" s="1"/>
  <c r="U174" i="8" a="1"/>
  <c r="U174" i="8" s="1"/>
  <c r="T174" i="8" a="1"/>
  <c r="T174" i="8" s="1"/>
  <c r="S174" i="8" a="1"/>
  <c r="S174" i="8" s="1"/>
  <c r="R174" i="8" a="1"/>
  <c r="R174" i="8" s="1"/>
  <c r="Q174" i="8" a="1"/>
  <c r="Q174" i="8" s="1"/>
  <c r="P174" i="8" a="1"/>
  <c r="P174" i="8"/>
  <c r="X173" i="8" a="1"/>
  <c r="X173" i="8" s="1"/>
  <c r="W173" i="8" a="1"/>
  <c r="W173" i="8" s="1"/>
  <c r="V173" i="8" a="1"/>
  <c r="V173" i="8"/>
  <c r="U173" i="8" a="1"/>
  <c r="U173" i="8" s="1"/>
  <c r="T173" i="8" a="1"/>
  <c r="T173" i="8" s="1"/>
  <c r="S173" i="8" a="1"/>
  <c r="S173" i="8" s="1"/>
  <c r="R173" i="8" a="1"/>
  <c r="R173" i="8"/>
  <c r="Q173" i="8" a="1"/>
  <c r="Q173" i="8"/>
  <c r="P173" i="8" a="1"/>
  <c r="P173" i="8"/>
  <c r="X172" i="8" a="1"/>
  <c r="X172" i="8" s="1"/>
  <c r="W172" i="8" a="1"/>
  <c r="W172" i="8"/>
  <c r="V172" i="8" a="1"/>
  <c r="V172" i="8" s="1"/>
  <c r="U172" i="8" a="1"/>
  <c r="U172" i="8" s="1"/>
  <c r="T172" i="8" a="1"/>
  <c r="T172" i="8"/>
  <c r="S172" i="8" a="1"/>
  <c r="S172" i="8" s="1"/>
  <c r="R172" i="8" a="1"/>
  <c r="R172" i="8" s="1"/>
  <c r="Q172" i="8" a="1"/>
  <c r="Q172" i="8" s="1"/>
  <c r="P172" i="8" a="1"/>
  <c r="P172" i="8" s="1"/>
  <c r="X171" i="8" a="1"/>
  <c r="X171" i="8"/>
  <c r="W171" i="8" a="1"/>
  <c r="W171" i="8" s="1"/>
  <c r="V171" i="8" a="1"/>
  <c r="V171" i="8" s="1"/>
  <c r="U171" i="8" a="1"/>
  <c r="U171" i="8" s="1"/>
  <c r="T171" i="8" a="1"/>
  <c r="T171" i="8"/>
  <c r="S171" i="8" a="1"/>
  <c r="S171" i="8" s="1"/>
  <c r="R171" i="8" a="1"/>
  <c r="R171" i="8" s="1"/>
  <c r="Q171" i="8" a="1"/>
  <c r="Q171" i="8" s="1"/>
  <c r="P171" i="8" a="1"/>
  <c r="P171" i="8" s="1"/>
  <c r="X170" i="8" a="1"/>
  <c r="X170" i="8" s="1"/>
  <c r="W170" i="8" a="1"/>
  <c r="W170" i="8" s="1"/>
  <c r="V170" i="8" a="1"/>
  <c r="V170" i="8"/>
  <c r="U170" i="8" a="1"/>
  <c r="U170" i="8" s="1"/>
  <c r="T170" i="8" a="1"/>
  <c r="T170" i="8"/>
  <c r="S170" i="8" a="1"/>
  <c r="S170" i="8"/>
  <c r="R170" i="8" a="1"/>
  <c r="R170" i="8" s="1"/>
  <c r="Q170" i="8" a="1"/>
  <c r="Q170" i="8"/>
  <c r="P170" i="8" a="1"/>
  <c r="P170" i="8" s="1"/>
  <c r="X169" i="8" a="1"/>
  <c r="X169" i="8"/>
  <c r="W169" i="8" a="1"/>
  <c r="W169" i="8" s="1"/>
  <c r="V169" i="8" a="1"/>
  <c r="V169" i="8" s="1"/>
  <c r="U169" i="8" a="1"/>
  <c r="U169" i="8" s="1"/>
  <c r="T169" i="8" a="1"/>
  <c r="T169" i="8" s="1"/>
  <c r="S169" i="8" a="1"/>
  <c r="S169" i="8" s="1"/>
  <c r="R169" i="8" a="1"/>
  <c r="R169" i="8" s="1"/>
  <c r="Q169" i="8" a="1"/>
  <c r="Q169" i="8" s="1"/>
  <c r="P169" i="8" a="1"/>
  <c r="P169" i="8" s="1"/>
  <c r="X168" i="8" a="1"/>
  <c r="X168" i="8"/>
  <c r="W168" i="8" a="1"/>
  <c r="W168" i="8" s="1"/>
  <c r="V168" i="8" a="1"/>
  <c r="V168" i="8"/>
  <c r="U168" i="8" a="1"/>
  <c r="U168" i="8"/>
  <c r="T168" i="8" a="1"/>
  <c r="T168" i="8" s="1"/>
  <c r="S168" i="8" a="1"/>
  <c r="S168" i="8" s="1"/>
  <c r="R168" i="8" a="1"/>
  <c r="R168" i="8" s="1"/>
  <c r="Q168" i="8" a="1"/>
  <c r="Q168" i="8" s="1"/>
  <c r="P168" i="8" a="1"/>
  <c r="P168" i="8" s="1"/>
  <c r="X167" i="8" a="1"/>
  <c r="X167" i="8" s="1"/>
  <c r="W167" i="8" a="1"/>
  <c r="W167" i="8" s="1"/>
  <c r="V167" i="8" a="1"/>
  <c r="V167" i="8" s="1"/>
  <c r="U167" i="8" a="1"/>
  <c r="U167" i="8" s="1"/>
  <c r="T167" i="8" a="1"/>
  <c r="T167" i="8" s="1"/>
  <c r="S167" i="8" a="1"/>
  <c r="S167" i="8"/>
  <c r="R167" i="8" a="1"/>
  <c r="R167" i="8"/>
  <c r="Q167" i="8" a="1"/>
  <c r="Q167" i="8" s="1"/>
  <c r="P167" i="8" a="1"/>
  <c r="P167" i="8" s="1"/>
  <c r="X166" i="8" a="1"/>
  <c r="X166" i="8"/>
  <c r="W166" i="8" a="1"/>
  <c r="W166" i="8" s="1"/>
  <c r="V166" i="8" a="1"/>
  <c r="V166" i="8" s="1"/>
  <c r="U166" i="8" a="1"/>
  <c r="U166" i="8" s="1"/>
  <c r="T166" i="8" a="1"/>
  <c r="T166" i="8"/>
  <c r="S166" i="8" a="1"/>
  <c r="S166" i="8" s="1"/>
  <c r="R166" i="8" a="1"/>
  <c r="R166" i="8" s="1"/>
  <c r="Q166" i="8" a="1"/>
  <c r="Q166" i="8" s="1"/>
  <c r="P166" i="8" a="1"/>
  <c r="P166" i="8"/>
  <c r="X165" i="8" a="1"/>
  <c r="X165" i="8"/>
  <c r="W165" i="8" a="1"/>
  <c r="W165" i="8" s="1"/>
  <c r="V165" i="8" a="1"/>
  <c r="V165" i="8" s="1"/>
  <c r="U165" i="8" a="1"/>
  <c r="U165" i="8"/>
  <c r="T165" i="8" a="1"/>
  <c r="T165" i="8" s="1"/>
  <c r="S165" i="8" a="1"/>
  <c r="S165" i="8" s="1"/>
  <c r="R165" i="8" a="1"/>
  <c r="R165" i="8" s="1"/>
  <c r="Q165" i="8" a="1"/>
  <c r="Q165" i="8" s="1"/>
  <c r="P165" i="8" a="1"/>
  <c r="P165" i="8" s="1"/>
  <c r="X164" i="8" a="1"/>
  <c r="X164" i="8" s="1"/>
  <c r="W164" i="8" a="1"/>
  <c r="W164" i="8"/>
  <c r="V164" i="8" a="1"/>
  <c r="V164" i="8"/>
  <c r="U164" i="8" a="1"/>
  <c r="U164" i="8" s="1"/>
  <c r="T164" i="8" a="1"/>
  <c r="T164" i="8"/>
  <c r="S164" i="8" a="1"/>
  <c r="S164" i="8" s="1"/>
  <c r="R164" i="8" a="1"/>
  <c r="R164" i="8"/>
  <c r="Q164" i="8" a="1"/>
  <c r="Q164" i="8" s="1"/>
  <c r="P164" i="8" a="1"/>
  <c r="P164" i="8" s="1"/>
  <c r="X163" i="8" a="1"/>
  <c r="X163" i="8" s="1"/>
  <c r="W163" i="8" a="1"/>
  <c r="W163" i="8" s="1"/>
  <c r="V163" i="8" a="1"/>
  <c r="V163" i="8" s="1"/>
  <c r="U163" i="8" a="1"/>
  <c r="U163" i="8" s="1"/>
  <c r="T163" i="8" a="1"/>
  <c r="T163" i="8"/>
  <c r="S163" i="8" a="1"/>
  <c r="S163" i="8" s="1"/>
  <c r="R163" i="8" a="1"/>
  <c r="R163" i="8"/>
  <c r="Q163" i="8" a="1"/>
  <c r="Q163" i="8" s="1"/>
  <c r="P163" i="8" a="1"/>
  <c r="P163" i="8" s="1"/>
  <c r="X162" i="8" a="1"/>
  <c r="X162" i="8" s="1"/>
  <c r="W162" i="8" a="1"/>
  <c r="W162" i="8" s="1"/>
  <c r="V162" i="8" a="1"/>
  <c r="V162" i="8"/>
  <c r="U162" i="8" a="1"/>
  <c r="U162" i="8" s="1"/>
  <c r="T162" i="8" a="1"/>
  <c r="T162" i="8" s="1"/>
  <c r="S162" i="8" a="1"/>
  <c r="S162" i="8" s="1"/>
  <c r="R162" i="8" a="1"/>
  <c r="R162" i="8" s="1"/>
  <c r="Q162" i="8" a="1"/>
  <c r="Q162" i="8" s="1"/>
  <c r="P162" i="8" a="1"/>
  <c r="P162" i="8" s="1"/>
  <c r="X161" i="8" a="1"/>
  <c r="X161" i="8" s="1"/>
  <c r="W161" i="8" a="1"/>
  <c r="W161" i="8" s="1"/>
  <c r="V161" i="8" a="1"/>
  <c r="V161" i="8"/>
  <c r="U161" i="8" a="1"/>
  <c r="U161" i="8" s="1"/>
  <c r="T161" i="8" a="1"/>
  <c r="T161" i="8"/>
  <c r="S161" i="8" a="1"/>
  <c r="S161" i="8"/>
  <c r="R161" i="8" a="1"/>
  <c r="R161" i="8" s="1"/>
  <c r="Q161" i="8" a="1"/>
  <c r="Q161" i="8" s="1"/>
  <c r="P161" i="8" a="1"/>
  <c r="P161" i="8" s="1"/>
  <c r="X160" i="8" a="1"/>
  <c r="X160" i="8" s="1"/>
  <c r="W160" i="8" a="1"/>
  <c r="W160" i="8" s="1"/>
  <c r="V160" i="8" a="1"/>
  <c r="V160" i="8"/>
  <c r="U160" i="8" a="1"/>
  <c r="U160" i="8" s="1"/>
  <c r="T160" i="8" a="1"/>
  <c r="T160" i="8" s="1"/>
  <c r="S160" i="8" a="1"/>
  <c r="S160" i="8" s="1"/>
  <c r="R160" i="8" a="1"/>
  <c r="R160" i="8" s="1"/>
  <c r="Q160" i="8" a="1"/>
  <c r="Q160" i="8"/>
  <c r="P160" i="8" a="1"/>
  <c r="P160" i="8"/>
  <c r="X159" i="8" a="1"/>
  <c r="X159" i="8" s="1"/>
  <c r="W159" i="8" a="1"/>
  <c r="W159" i="8" s="1"/>
  <c r="V159" i="8" a="1"/>
  <c r="V159" i="8"/>
  <c r="U159" i="8" a="1"/>
  <c r="U159" i="8" s="1"/>
  <c r="T159" i="8" a="1"/>
  <c r="T159" i="8" s="1"/>
  <c r="S159" i="8" a="1"/>
  <c r="S159" i="8" s="1"/>
  <c r="R159" i="8" a="1"/>
  <c r="R159" i="8"/>
  <c r="Q159" i="8" a="1"/>
  <c r="Q159" i="8" s="1"/>
  <c r="P159" i="8" a="1"/>
  <c r="P159" i="8" s="1"/>
  <c r="X158" i="8" a="1"/>
  <c r="X158" i="8"/>
  <c r="W158" i="8" a="1"/>
  <c r="W158" i="8"/>
  <c r="V158" i="8" a="1"/>
  <c r="V158" i="8" s="1"/>
  <c r="U158" i="8" a="1"/>
  <c r="U158" i="8" s="1"/>
  <c r="T158" i="8" a="1"/>
  <c r="T158" i="8" s="1"/>
  <c r="S158" i="8" a="1"/>
  <c r="S158" i="8"/>
  <c r="R158" i="8" a="1"/>
  <c r="R158" i="8" s="1"/>
  <c r="Q158" i="8" a="1"/>
  <c r="Q158" i="8" s="1"/>
  <c r="P158" i="8" a="1"/>
  <c r="P158" i="8" s="1"/>
  <c r="X157" i="8" a="1"/>
  <c r="X157" i="8" s="1"/>
  <c r="W157" i="8" a="1"/>
  <c r="W157" i="8" s="1"/>
  <c r="V157" i="8" a="1"/>
  <c r="V157" i="8" s="1"/>
  <c r="U157" i="8" a="1"/>
  <c r="U157" i="8"/>
  <c r="T157" i="8" a="1"/>
  <c r="T157" i="8"/>
  <c r="S157" i="8" a="1"/>
  <c r="S157" i="8" s="1"/>
  <c r="R157" i="8" a="1"/>
  <c r="R157" i="8" s="1"/>
  <c r="Q157" i="8" a="1"/>
  <c r="Q157" i="8" s="1"/>
  <c r="P157" i="8" a="1"/>
  <c r="P157" i="8"/>
  <c r="X156" i="8" a="1"/>
  <c r="X156" i="8" s="1"/>
  <c r="W156" i="8" a="1"/>
  <c r="W156" i="8" s="1"/>
  <c r="V156" i="8" a="1"/>
  <c r="V156" i="8" s="1"/>
  <c r="U156" i="8" a="1"/>
  <c r="U156" i="8" s="1"/>
  <c r="T156" i="8" a="1"/>
  <c r="T156" i="8" s="1"/>
  <c r="S156" i="8" a="1"/>
  <c r="S156" i="8" s="1"/>
  <c r="R156" i="8" a="1"/>
  <c r="R156" i="8"/>
  <c r="Q156" i="8" a="1"/>
  <c r="Q156" i="8" s="1"/>
  <c r="P156" i="8" a="1"/>
  <c r="P156" i="8"/>
  <c r="X155" i="8" a="1"/>
  <c r="X155" i="8" s="1"/>
  <c r="W155" i="8" a="1"/>
  <c r="W155" i="8"/>
  <c r="V155" i="8" a="1"/>
  <c r="V155" i="8" s="1"/>
  <c r="U155" i="8" a="1"/>
  <c r="U155" i="8" s="1"/>
  <c r="T155" i="8" a="1"/>
  <c r="T155" i="8"/>
  <c r="S155" i="8" a="1"/>
  <c r="S155" i="8"/>
  <c r="R155" i="8" a="1"/>
  <c r="R155" i="8"/>
  <c r="Q155" i="8" a="1"/>
  <c r="Q155" i="8" s="1"/>
  <c r="P155" i="8" a="1"/>
  <c r="P155" i="8" s="1"/>
  <c r="X154" i="8" a="1"/>
  <c r="X154" i="8" s="1"/>
  <c r="W154" i="8" a="1"/>
  <c r="W154" i="8"/>
  <c r="V154" i="8" a="1"/>
  <c r="V154" i="8" s="1"/>
  <c r="U154" i="8" a="1"/>
  <c r="U154" i="8" s="1"/>
  <c r="T154" i="8" a="1"/>
  <c r="T154" i="8"/>
  <c r="S154" i="8" a="1"/>
  <c r="S154" i="8" s="1"/>
  <c r="R154" i="8" a="1"/>
  <c r="R154" i="8"/>
  <c r="Q154" i="8" a="1"/>
  <c r="Q154" i="8"/>
  <c r="P154" i="8" a="1"/>
  <c r="P154" i="8"/>
  <c r="X153" i="8" a="1"/>
  <c r="X153" i="8" s="1"/>
  <c r="W153" i="8" a="1"/>
  <c r="W153" i="8" s="1"/>
  <c r="V153" i="8" a="1"/>
  <c r="V153" i="8" s="1"/>
  <c r="U153" i="8" a="1"/>
  <c r="U153" i="8" s="1"/>
  <c r="T153" i="8" a="1"/>
  <c r="T153" i="8"/>
  <c r="S153" i="8" a="1"/>
  <c r="S153" i="8"/>
  <c r="R153" i="8" a="1"/>
  <c r="R153" i="8" s="1"/>
  <c r="Q153" i="8" a="1"/>
  <c r="Q153" i="8" s="1"/>
  <c r="P153" i="8" a="1"/>
  <c r="P153" i="8" s="1"/>
  <c r="X152" i="8" a="1"/>
  <c r="X152" i="8"/>
  <c r="W152" i="8" a="1"/>
  <c r="W152" i="8" s="1"/>
  <c r="V152" i="8" a="1"/>
  <c r="V152" i="8"/>
  <c r="U152" i="8" a="1"/>
  <c r="U152" i="8" s="1"/>
  <c r="T152" i="8" a="1"/>
  <c r="T152" i="8" s="1"/>
  <c r="S152" i="8" a="1"/>
  <c r="S152" i="8" s="1"/>
  <c r="R152" i="8" a="1"/>
  <c r="R152" i="8" s="1"/>
  <c r="Q152" i="8" a="1"/>
  <c r="Q152" i="8" s="1"/>
  <c r="P152" i="8" a="1"/>
  <c r="P152" i="8"/>
  <c r="X151" i="8" a="1"/>
  <c r="X151" i="8" s="1"/>
  <c r="W151" i="8" a="1"/>
  <c r="W151" i="8" s="1"/>
  <c r="V151" i="8" a="1"/>
  <c r="V151" i="8"/>
  <c r="U151" i="8" a="1"/>
  <c r="U151" i="8"/>
  <c r="T151" i="8" a="1"/>
  <c r="T151" i="8"/>
  <c r="S151" i="8" a="1"/>
  <c r="S151" i="8" s="1"/>
  <c r="R151" i="8" a="1"/>
  <c r="R151" i="8" s="1"/>
  <c r="Q151" i="8" a="1"/>
  <c r="Q151" i="8" s="1"/>
  <c r="P151" i="8" a="1"/>
  <c r="P151" i="8" s="1"/>
  <c r="X150" i="8" a="1"/>
  <c r="X150" i="8" s="1"/>
  <c r="W150" i="8" a="1"/>
  <c r="W150" i="8" s="1"/>
  <c r="V150" i="8" a="1"/>
  <c r="V150" i="8" s="1"/>
  <c r="U150" i="8" a="1"/>
  <c r="U150" i="8" s="1"/>
  <c r="T150" i="8" a="1"/>
  <c r="T150" i="8" s="1"/>
  <c r="S150" i="8" a="1"/>
  <c r="S150" i="8"/>
  <c r="R150" i="8" a="1"/>
  <c r="R150" i="8"/>
  <c r="Q150" i="8" a="1"/>
  <c r="Q150" i="8" s="1"/>
  <c r="P150" i="8" a="1"/>
  <c r="P150" i="8" s="1"/>
  <c r="X149" i="8" a="1"/>
  <c r="X149" i="8" s="1"/>
  <c r="W149" i="8" a="1"/>
  <c r="W149" i="8" s="1"/>
  <c r="V149" i="8" a="1"/>
  <c r="V149" i="8" s="1"/>
  <c r="U149" i="8" a="1"/>
  <c r="U149" i="8" s="1"/>
  <c r="T149" i="8" a="1"/>
  <c r="T149" i="8" s="1"/>
  <c r="S149" i="8" a="1"/>
  <c r="S149" i="8" s="1"/>
  <c r="R149" i="8" a="1"/>
  <c r="R149" i="8" s="1"/>
  <c r="Q149" i="8" a="1"/>
  <c r="Q149" i="8" s="1"/>
  <c r="P149" i="8" a="1"/>
  <c r="P149" i="8"/>
  <c r="X148" i="8" a="1"/>
  <c r="X148" i="8" s="1"/>
  <c r="W148" i="8" a="1"/>
  <c r="W148" i="8"/>
  <c r="V148" i="8" a="1"/>
  <c r="V148" i="8" s="1"/>
  <c r="U148" i="8" a="1"/>
  <c r="U148" i="8" s="1"/>
  <c r="T148" i="8" a="1"/>
  <c r="T148" i="8" s="1"/>
  <c r="S148" i="8" a="1"/>
  <c r="S148" i="8" s="1"/>
  <c r="R148" i="8" a="1"/>
  <c r="R148" i="8"/>
  <c r="Q148" i="8" a="1"/>
  <c r="Q148" i="8" s="1"/>
  <c r="P148" i="8" a="1"/>
  <c r="P148" i="8" s="1"/>
  <c r="X147" i="8" a="1"/>
  <c r="X147" i="8" s="1"/>
  <c r="W147" i="8" a="1"/>
  <c r="W147" i="8" s="1"/>
  <c r="V147" i="8" a="1"/>
  <c r="V147" i="8" s="1"/>
  <c r="U147" i="8" a="1"/>
  <c r="U147" i="8"/>
  <c r="T147" i="8" a="1"/>
  <c r="T147" i="8"/>
  <c r="S147" i="8" a="1"/>
  <c r="S147" i="8" s="1"/>
  <c r="R147" i="8" a="1"/>
  <c r="R147" i="8" s="1"/>
  <c r="Q147" i="8" a="1"/>
  <c r="Q147" i="8" s="1"/>
  <c r="P147" i="8" a="1"/>
  <c r="P147" i="8"/>
  <c r="X146" i="8" a="1"/>
  <c r="X146" i="8" s="1"/>
  <c r="W146" i="8" a="1"/>
  <c r="W146" i="8"/>
  <c r="V146" i="8" a="1"/>
  <c r="V146" i="8" s="1"/>
  <c r="U146" i="8" a="1"/>
  <c r="U146" i="8" s="1"/>
  <c r="T146" i="8" a="1"/>
  <c r="T146" i="8" s="1"/>
  <c r="S146" i="8" a="1"/>
  <c r="S146" i="8" s="1"/>
  <c r="R146" i="8" a="1"/>
  <c r="R146" i="8"/>
  <c r="Q146" i="8" a="1"/>
  <c r="Q146" i="8"/>
  <c r="P146" i="8" a="1"/>
  <c r="P146" i="8" s="1"/>
  <c r="X145" i="8" a="1"/>
  <c r="X145" i="8" s="1"/>
  <c r="W145" i="8" a="1"/>
  <c r="W145" i="8"/>
  <c r="V145" i="8" a="1"/>
  <c r="V145" i="8"/>
  <c r="U145" i="8" a="1"/>
  <c r="U145" i="8"/>
  <c r="T145" i="8" a="1"/>
  <c r="T145" i="8"/>
  <c r="S145" i="8" a="1"/>
  <c r="S145" i="8" s="1"/>
  <c r="R145" i="8" a="1"/>
  <c r="R145" i="8" s="1"/>
  <c r="Q145" i="8" a="1"/>
  <c r="Q145" i="8" s="1"/>
  <c r="P145" i="8" a="1"/>
  <c r="P145" i="8" s="1"/>
  <c r="X144" i="8" a="1"/>
  <c r="X144" i="8"/>
  <c r="W144" i="8" a="1"/>
  <c r="W144" i="8" s="1"/>
  <c r="V144" i="8" a="1"/>
  <c r="V144" i="8" s="1"/>
  <c r="U144" i="8" a="1"/>
  <c r="U144" i="8" s="1"/>
  <c r="T144" i="8" a="1"/>
  <c r="T144" i="8"/>
  <c r="S144" i="8" a="1"/>
  <c r="S144" i="8"/>
  <c r="R144" i="8" a="1"/>
  <c r="R144" i="8" s="1"/>
  <c r="Q144" i="8" a="1"/>
  <c r="Q144" i="8" s="1"/>
  <c r="P144" i="8" a="1"/>
  <c r="P144" i="8" s="1"/>
  <c r="X143" i="8" a="1"/>
  <c r="X143" i="8" s="1"/>
  <c r="W143" i="8" a="1"/>
  <c r="W143" i="8" s="1"/>
  <c r="V143" i="8" a="1"/>
  <c r="V143" i="8"/>
  <c r="U143" i="8" a="1"/>
  <c r="U143" i="8" s="1"/>
  <c r="T143" i="8" a="1"/>
  <c r="T143" i="8"/>
  <c r="S143" i="8" a="1"/>
  <c r="S143" i="8" s="1"/>
  <c r="R143" i="8" a="1"/>
  <c r="R143" i="8" s="1"/>
  <c r="Q143" i="8" a="1"/>
  <c r="Q143" i="8"/>
  <c r="P143" i="8" a="1"/>
  <c r="P143" i="8"/>
  <c r="X142" i="8" a="1"/>
  <c r="X142" i="8" s="1"/>
  <c r="W142" i="8" a="1"/>
  <c r="W142" i="8" s="1"/>
  <c r="V142" i="8" a="1"/>
  <c r="V142" i="8"/>
  <c r="U142" i="8" a="1"/>
  <c r="U142" i="8" s="1"/>
  <c r="T142" i="8" a="1"/>
  <c r="T142" i="8" s="1"/>
  <c r="S142" i="8" a="1"/>
  <c r="S142" i="8" s="1"/>
  <c r="R142" i="8" a="1"/>
  <c r="R142" i="8" s="1"/>
  <c r="Q142" i="8" a="1"/>
  <c r="Q142" i="8"/>
  <c r="P142" i="8" a="1"/>
  <c r="P142" i="8" s="1"/>
  <c r="X141" i="8" a="1"/>
  <c r="X141" i="8"/>
  <c r="W141" i="8" a="1"/>
  <c r="W141" i="8" s="1"/>
  <c r="V141" i="8" a="1"/>
  <c r="V141" i="8" s="1"/>
  <c r="U141" i="8" a="1"/>
  <c r="U141" i="8"/>
  <c r="T141" i="8" a="1"/>
  <c r="T141" i="8" s="1"/>
  <c r="S141" i="8" a="1"/>
  <c r="S141" i="8" s="1"/>
  <c r="R141" i="8" a="1"/>
  <c r="R141" i="8" s="1"/>
  <c r="Q141" i="8" a="1"/>
  <c r="Q141" i="8" s="1"/>
  <c r="P141" i="8" a="1"/>
  <c r="P141" i="8"/>
  <c r="X140" i="8" a="1"/>
  <c r="X140" i="8"/>
  <c r="W140" i="8" a="1"/>
  <c r="W140" i="8" s="1"/>
  <c r="V140" i="8" a="1"/>
  <c r="V140" i="8" s="1"/>
  <c r="U140" i="8" a="1"/>
  <c r="U140" i="8" s="1"/>
  <c r="T140" i="8" a="1"/>
  <c r="T140" i="8" s="1"/>
  <c r="S140" i="8" a="1"/>
  <c r="S140" i="8"/>
  <c r="R140" i="8" a="1"/>
  <c r="R140" i="8" s="1"/>
  <c r="Q140" i="8" a="1"/>
  <c r="Q140" i="8" s="1"/>
  <c r="P140" i="8" a="1"/>
  <c r="P140" i="8"/>
  <c r="X139" i="8" a="1"/>
  <c r="X139" i="8"/>
  <c r="W139" i="8" a="1"/>
  <c r="W139" i="8"/>
  <c r="V139" i="8" a="1"/>
  <c r="V139" i="8"/>
  <c r="U139" i="8" a="1"/>
  <c r="U139" i="8" s="1"/>
  <c r="T139" i="8" a="1"/>
  <c r="T139" i="8" s="1"/>
  <c r="S139" i="8" a="1"/>
  <c r="S139" i="8" s="1"/>
  <c r="R139" i="8" a="1"/>
  <c r="R139" i="8" s="1"/>
  <c r="Q139" i="8" a="1"/>
  <c r="Q139" i="8" s="1"/>
  <c r="P139" i="8" a="1"/>
  <c r="P139" i="8"/>
  <c r="X138" i="8" a="1"/>
  <c r="X138" i="8" s="1"/>
  <c r="W138" i="8" a="1"/>
  <c r="W138" i="8" s="1"/>
  <c r="V138" i="8" a="1"/>
  <c r="V138" i="8" s="1"/>
  <c r="U138" i="8" a="1"/>
  <c r="U138" i="8"/>
  <c r="T138" i="8" a="1"/>
  <c r="T138" i="8"/>
  <c r="S138" i="8" a="1"/>
  <c r="S138" i="8"/>
  <c r="R138" i="8" a="1"/>
  <c r="R138" i="8"/>
  <c r="Q138" i="8" a="1"/>
  <c r="Q138" i="8" s="1"/>
  <c r="P138" i="8" a="1"/>
  <c r="P138" i="8"/>
  <c r="X137" i="8" a="1"/>
  <c r="X137" i="8" s="1"/>
  <c r="W137" i="8" a="1"/>
  <c r="W137" i="8" s="1"/>
  <c r="V137" i="8" a="1"/>
  <c r="V137" i="8"/>
  <c r="U137" i="8" a="1"/>
  <c r="U137" i="8" s="1"/>
  <c r="T137" i="8" a="1"/>
  <c r="T137" i="8" s="1"/>
  <c r="S137" i="8" a="1"/>
  <c r="S137" i="8" s="1"/>
  <c r="R137" i="8" a="1"/>
  <c r="R137" i="8"/>
  <c r="Q137" i="8" a="1"/>
  <c r="Q137" i="8"/>
  <c r="P137" i="8" a="1"/>
  <c r="P137" i="8"/>
  <c r="X136" i="8" a="1"/>
  <c r="X136" i="8"/>
  <c r="W136" i="8" a="1"/>
  <c r="W136" i="8"/>
  <c r="V136" i="8" a="1"/>
  <c r="V136" i="8" s="1"/>
  <c r="U136" i="8" a="1"/>
  <c r="U136" i="8" s="1"/>
  <c r="T136" i="8" a="1"/>
  <c r="T136" i="8" s="1"/>
  <c r="S136" i="8" a="1"/>
  <c r="S136" i="8" s="1"/>
  <c r="R136" i="8" a="1"/>
  <c r="R136" i="8"/>
  <c r="Q136" i="8" a="1"/>
  <c r="Q136" i="8" s="1"/>
  <c r="P136" i="8" a="1"/>
  <c r="P136" i="8" s="1"/>
  <c r="X135" i="8" a="1"/>
  <c r="X135" i="8"/>
  <c r="W135" i="8" a="1"/>
  <c r="W135" i="8" s="1"/>
  <c r="V135" i="8" a="1"/>
  <c r="V135" i="8"/>
  <c r="U135" i="8" a="1"/>
  <c r="U135" i="8" s="1"/>
  <c r="T135" i="8" a="1"/>
  <c r="T135" i="8" s="1"/>
  <c r="S135" i="8" a="1"/>
  <c r="S135" i="8" s="1"/>
  <c r="R135" i="8" a="1"/>
  <c r="R135" i="8" s="1"/>
  <c r="Q135" i="8" a="1"/>
  <c r="Q135" i="8" s="1"/>
  <c r="P135" i="8" a="1"/>
  <c r="P135" i="8"/>
  <c r="X134" i="8" a="1"/>
  <c r="X134" i="8" s="1"/>
  <c r="W134" i="8" a="1"/>
  <c r="W134" i="8" s="1"/>
  <c r="V134" i="8" a="1"/>
  <c r="V134" i="8"/>
  <c r="U134" i="8" a="1"/>
  <c r="U134" i="8" s="1"/>
  <c r="T134" i="8" a="1"/>
  <c r="T134" i="8"/>
  <c r="S134" i="8" a="1"/>
  <c r="S134" i="8" s="1"/>
  <c r="R134" i="8" a="1"/>
  <c r="R134" i="8" s="1"/>
  <c r="Q134" i="8" a="1"/>
  <c r="Q134" i="8" s="1"/>
  <c r="P134" i="8" a="1"/>
  <c r="P134" i="8" s="1"/>
  <c r="X133" i="8" a="1"/>
  <c r="X133" i="8"/>
  <c r="W133" i="8" a="1"/>
  <c r="W133" i="8"/>
  <c r="V133" i="8" a="1"/>
  <c r="V133" i="8" s="1"/>
  <c r="U133" i="8" a="1"/>
  <c r="U133" i="8" s="1"/>
  <c r="T133" i="8" a="1"/>
  <c r="T133" i="8" s="1"/>
  <c r="S133" i="8" a="1"/>
  <c r="S133" i="8"/>
  <c r="R133" i="8" a="1"/>
  <c r="R133" i="8"/>
  <c r="Q133" i="8" a="1"/>
  <c r="Q133" i="8"/>
  <c r="P133" i="8" a="1"/>
  <c r="P133" i="8"/>
  <c r="X132" i="8" a="1"/>
  <c r="X132" i="8" s="1"/>
  <c r="W132" i="8" a="1"/>
  <c r="W132" i="8"/>
  <c r="V132" i="8" a="1"/>
  <c r="V132" i="8"/>
  <c r="U132" i="8" a="1"/>
  <c r="U132" i="8"/>
  <c r="T132" i="8" a="1"/>
  <c r="T132" i="8"/>
  <c r="S132" i="8" a="1"/>
  <c r="S132" i="8" s="1"/>
  <c r="R132" i="8" a="1"/>
  <c r="R132" i="8" s="1"/>
  <c r="Q132" i="8" a="1"/>
  <c r="Q132" i="8"/>
  <c r="P132" i="8" a="1"/>
  <c r="P132" i="8"/>
  <c r="X131" i="8" a="1"/>
  <c r="X131" i="8"/>
  <c r="W131" i="8" a="1"/>
  <c r="W131" i="8" s="1"/>
  <c r="V131" i="8" a="1"/>
  <c r="V131" i="8" s="1"/>
  <c r="U131" i="8" a="1"/>
  <c r="U131" i="8"/>
  <c r="T131" i="8" a="1"/>
  <c r="T131" i="8"/>
  <c r="S131" i="8" a="1"/>
  <c r="S131" i="8"/>
  <c r="R131" i="8" a="1"/>
  <c r="R131" i="8" s="1"/>
  <c r="Q131" i="8" a="1"/>
  <c r="Q131" i="8" s="1"/>
  <c r="P131" i="8" a="1"/>
  <c r="P131" i="8" s="1"/>
  <c r="X130" i="8" a="1"/>
  <c r="X130" i="8"/>
  <c r="W130" i="8" a="1"/>
  <c r="W130" i="8"/>
  <c r="V130" i="8" a="1"/>
  <c r="V130" i="8" s="1"/>
  <c r="U130" i="8" a="1"/>
  <c r="U130" i="8" s="1"/>
  <c r="T130" i="8" a="1"/>
  <c r="T130" i="8" s="1"/>
  <c r="S130" i="8" a="1"/>
  <c r="S130" i="8"/>
  <c r="R130" i="8" a="1"/>
  <c r="R130" i="8"/>
  <c r="Q130" i="8" a="1"/>
  <c r="Q130" i="8" s="1"/>
  <c r="P130" i="8" a="1"/>
  <c r="P130" i="8" s="1"/>
  <c r="X129" i="8" a="1"/>
  <c r="X129" i="8" s="1"/>
  <c r="W129" i="8" a="1"/>
  <c r="W129" i="8"/>
  <c r="V129" i="8" a="1"/>
  <c r="V129" i="8"/>
  <c r="U129" i="8" a="1"/>
  <c r="U129" i="8" s="1"/>
  <c r="T129" i="8" a="1"/>
  <c r="T129" i="8" s="1"/>
  <c r="S129" i="8" a="1"/>
  <c r="S129" i="8" s="1"/>
  <c r="R129" i="8" a="1"/>
  <c r="R129" i="8" s="1"/>
  <c r="Q129" i="8" a="1"/>
  <c r="Q129" i="8"/>
  <c r="P129" i="8" a="1"/>
  <c r="P129" i="8"/>
  <c r="X128" i="8" a="1"/>
  <c r="X128" i="8" s="1"/>
  <c r="W128" i="8" a="1"/>
  <c r="W128" i="8" s="1"/>
  <c r="V128" i="8" a="1"/>
  <c r="V128" i="8" s="1"/>
  <c r="U128" i="8" a="1"/>
  <c r="U128" i="8"/>
  <c r="T128" i="8" a="1"/>
  <c r="T128" i="8"/>
  <c r="S128" i="8" a="1"/>
  <c r="S128" i="8"/>
  <c r="R128" i="8" a="1"/>
  <c r="R128" i="8"/>
  <c r="Q128" i="8" a="1"/>
  <c r="Q128" i="8" s="1"/>
  <c r="P128" i="8" a="1"/>
  <c r="P128" i="8" s="1"/>
  <c r="X127" i="8" a="1"/>
  <c r="X127" i="8"/>
  <c r="W127" i="8" a="1"/>
  <c r="W127" i="8" s="1"/>
  <c r="V127" i="8" a="1"/>
  <c r="V127" i="8"/>
  <c r="U127" i="8" a="1"/>
  <c r="U127" i="8" s="1"/>
  <c r="T127" i="8" a="1"/>
  <c r="T127" i="8" s="1"/>
  <c r="S127" i="8" a="1"/>
  <c r="S127" i="8"/>
  <c r="R127" i="8" a="1"/>
  <c r="R127" i="8"/>
  <c r="Q127" i="8" a="1"/>
  <c r="Q127" i="8"/>
  <c r="P127" i="8" a="1"/>
  <c r="P127" i="8" s="1"/>
  <c r="X126" i="8" a="1"/>
  <c r="X126" i="8" s="1"/>
  <c r="W126" i="8" a="1"/>
  <c r="W126" i="8"/>
  <c r="V126" i="8" a="1"/>
  <c r="V126" i="8"/>
  <c r="U126" i="8" a="1"/>
  <c r="U126" i="8"/>
  <c r="T126" i="8" a="1"/>
  <c r="T126" i="8" s="1"/>
  <c r="S126" i="8" a="1"/>
  <c r="S126" i="8" s="1"/>
  <c r="R126" i="8" a="1"/>
  <c r="R126" i="8" s="1"/>
  <c r="Q126" i="8" a="1"/>
  <c r="Q126" i="8"/>
  <c r="P126" i="8" a="1"/>
  <c r="P126" i="8"/>
  <c r="X125" i="8" a="1"/>
  <c r="X125" i="8"/>
  <c r="W125" i="8" a="1"/>
  <c r="W125" i="8" s="1"/>
  <c r="V125" i="8" a="1"/>
  <c r="V125" i="8" s="1"/>
  <c r="U125" i="8" a="1"/>
  <c r="U125" i="8"/>
  <c r="T125" i="8" a="1"/>
  <c r="T125" i="8"/>
  <c r="S125" i="8" a="1"/>
  <c r="S125" i="8" s="1"/>
  <c r="R125" i="8" a="1"/>
  <c r="R125" i="8"/>
  <c r="Q125" i="8" a="1"/>
  <c r="Q125" i="8" s="1"/>
  <c r="P125" i="8" a="1"/>
  <c r="P125" i="8" s="1"/>
  <c r="X124" i="8" a="1"/>
  <c r="X124" i="8"/>
  <c r="W124" i="8" a="1"/>
  <c r="W124" i="8" s="1"/>
  <c r="V124" i="8" a="1"/>
  <c r="V124" i="8" s="1"/>
  <c r="U124" i="8" a="1"/>
  <c r="U124" i="8" s="1"/>
  <c r="T124" i="8" a="1"/>
  <c r="T124" i="8" s="1"/>
  <c r="S124" i="8" a="1"/>
  <c r="S124" i="8"/>
  <c r="R124" i="8" a="1"/>
  <c r="R124" i="8"/>
  <c r="Q124" i="8" a="1"/>
  <c r="Q124" i="8"/>
  <c r="P124" i="8" a="1"/>
  <c r="P124" i="8" s="1"/>
  <c r="X123" i="8" a="1"/>
  <c r="X123" i="8" s="1"/>
  <c r="W123" i="8" a="1"/>
  <c r="W123" i="8"/>
  <c r="V123" i="8" a="1"/>
  <c r="V123" i="8"/>
  <c r="U123" i="8" a="1"/>
  <c r="U123" i="8"/>
  <c r="T123" i="8" a="1"/>
  <c r="T123" i="8"/>
  <c r="S123" i="8" a="1"/>
  <c r="S123" i="8" s="1"/>
  <c r="R123" i="8" a="1"/>
  <c r="R123" i="8" s="1"/>
  <c r="Q123" i="8" a="1"/>
  <c r="Q123" i="8"/>
  <c r="P123" i="8" a="1"/>
  <c r="P123" i="8"/>
  <c r="X122" i="8" a="1"/>
  <c r="X122" i="8"/>
  <c r="W122" i="8" a="1"/>
  <c r="W122" i="8" s="1"/>
  <c r="V122" i="8" a="1"/>
  <c r="V122" i="8" s="1"/>
  <c r="U122" i="8" a="1"/>
  <c r="U122" i="8"/>
  <c r="T122" i="8" a="1"/>
  <c r="T122" i="8"/>
  <c r="S122" i="8" a="1"/>
  <c r="S122" i="8"/>
  <c r="R122" i="8" a="1"/>
  <c r="R122" i="8" s="1"/>
  <c r="Q122" i="8" a="1"/>
  <c r="Q122" i="8" s="1"/>
  <c r="P122" i="8" a="1"/>
  <c r="P122" i="8" s="1"/>
  <c r="X121" i="8" a="1"/>
  <c r="X121" i="8"/>
  <c r="W121" i="8" a="1"/>
  <c r="W121" i="8"/>
  <c r="V121" i="8" a="1"/>
  <c r="V121" i="8" s="1"/>
  <c r="U121" i="8" a="1"/>
  <c r="U121" i="8" s="1"/>
  <c r="T121" i="8" a="1"/>
  <c r="T121" i="8" s="1"/>
  <c r="S121" i="8" a="1"/>
  <c r="S121" i="8"/>
  <c r="R121" i="8" a="1"/>
  <c r="R121" i="8"/>
  <c r="Q121" i="8" a="1"/>
  <c r="Q121" i="8" s="1"/>
  <c r="P121" i="8" a="1"/>
  <c r="P121" i="8"/>
  <c r="X120" i="8" a="1"/>
  <c r="X120" i="8" s="1"/>
  <c r="W120" i="8" a="1"/>
  <c r="W120" i="8"/>
  <c r="V120" i="8" a="1"/>
  <c r="V120" i="8"/>
  <c r="U120" i="8" a="1"/>
  <c r="U120" i="8"/>
  <c r="T120" i="8" a="1"/>
  <c r="T120" i="8" s="1"/>
  <c r="S120" i="8" a="1"/>
  <c r="S120" i="8" s="1"/>
  <c r="R120" i="8" a="1"/>
  <c r="R120" i="8" s="1"/>
  <c r="Q120" i="8" a="1"/>
  <c r="Q120" i="8"/>
  <c r="P120" i="8" a="1"/>
  <c r="P120" i="8"/>
  <c r="X119" i="8" a="1"/>
  <c r="X119" i="8"/>
  <c r="W119" i="8" a="1"/>
  <c r="W119" i="8" s="1"/>
  <c r="V119" i="8" a="1"/>
  <c r="V119" i="8" s="1"/>
  <c r="U119" i="8" a="1"/>
  <c r="U119" i="8"/>
  <c r="T119" i="8" a="1"/>
  <c r="T119" i="8"/>
  <c r="S119" i="8" a="1"/>
  <c r="S119" i="8" s="1"/>
  <c r="R119" i="8" a="1"/>
  <c r="R119" i="8" s="1"/>
  <c r="Q119" i="8" a="1"/>
  <c r="Q119" i="8" s="1"/>
  <c r="P119" i="8" a="1"/>
  <c r="P119" i="8" s="1"/>
  <c r="X118" i="8" a="1"/>
  <c r="X118" i="8"/>
  <c r="W118" i="8" a="1"/>
  <c r="W118" i="8" s="1"/>
  <c r="V118" i="8" a="1"/>
  <c r="V118" i="8"/>
  <c r="U118" i="8" a="1"/>
  <c r="U118" i="8" s="1"/>
  <c r="T118" i="8" a="1"/>
  <c r="T118" i="8" s="1"/>
  <c r="S118" i="8" a="1"/>
  <c r="S118" i="8"/>
  <c r="R118" i="8" a="1"/>
  <c r="R118" i="8"/>
  <c r="Q118" i="8" a="1"/>
  <c r="Q118" i="8" s="1"/>
  <c r="P118" i="8" a="1"/>
  <c r="P118" i="8"/>
  <c r="X117" i="8" a="1"/>
  <c r="X117" i="8" s="1"/>
  <c r="W117" i="8" a="1"/>
  <c r="W117" i="8"/>
  <c r="V117" i="8" a="1"/>
  <c r="V117" i="8"/>
  <c r="U117" i="8" a="1"/>
  <c r="U117" i="8"/>
  <c r="T117" i="8" a="1"/>
  <c r="T117" i="8" s="1"/>
  <c r="S117" i="8" a="1"/>
  <c r="S117" i="8" s="1"/>
  <c r="R117" i="8" a="1"/>
  <c r="R117" i="8" s="1"/>
  <c r="Q117" i="8" a="1"/>
  <c r="Q117" i="8"/>
  <c r="P117" i="8" a="1"/>
  <c r="P117" i="8"/>
  <c r="X116" i="8" a="1"/>
  <c r="X116" i="8" s="1"/>
  <c r="W116" i="8" a="1"/>
  <c r="W116" i="8" s="1"/>
  <c r="V116" i="8" a="1"/>
  <c r="V116" i="8"/>
  <c r="U116" i="8" a="1"/>
  <c r="U116" i="8"/>
  <c r="T116" i="8" a="1"/>
  <c r="T116" i="8"/>
  <c r="S116" i="8" a="1"/>
  <c r="S116" i="8" s="1"/>
  <c r="R116" i="8" a="1"/>
  <c r="R116" i="8" s="1"/>
  <c r="Q116" i="8" a="1"/>
  <c r="Q116" i="8" s="1"/>
  <c r="P116" i="8" a="1"/>
  <c r="P116" i="8"/>
  <c r="X115" i="8" a="1"/>
  <c r="X115" i="8"/>
  <c r="W115" i="8" a="1"/>
  <c r="W115" i="8" s="1"/>
  <c r="V115" i="8" a="1"/>
  <c r="V115" i="8" s="1"/>
  <c r="U115" i="8" a="1"/>
  <c r="U115" i="8" s="1"/>
  <c r="T115" i="8" a="1"/>
  <c r="T115" i="8" s="1"/>
  <c r="S115" i="8" a="1"/>
  <c r="S115" i="8"/>
  <c r="R115" i="8" a="1"/>
  <c r="R115" i="8"/>
  <c r="Q115" i="8" a="1"/>
  <c r="Q115" i="8" s="1"/>
  <c r="P115" i="8" a="1"/>
  <c r="P115" i="8"/>
  <c r="X114" i="8" a="1"/>
  <c r="X114" i="8" s="1"/>
  <c r="W114" i="8" a="1"/>
  <c r="W114" i="8"/>
  <c r="V114" i="8" a="1"/>
  <c r="V114" i="8"/>
  <c r="U114" i="8" a="1"/>
  <c r="U114" i="8"/>
  <c r="T114" i="8" a="1"/>
  <c r="T114" i="8" s="1"/>
  <c r="S114" i="8" a="1"/>
  <c r="S114" i="8" s="1"/>
  <c r="R114" i="8" a="1"/>
  <c r="R114" i="8" s="1"/>
  <c r="Q114" i="8" a="1"/>
  <c r="Q114" i="8"/>
  <c r="P114" i="8" a="1"/>
  <c r="P114" i="8"/>
  <c r="X113" i="8" a="1"/>
  <c r="X113" i="8" s="1"/>
  <c r="W113" i="8" a="1"/>
  <c r="W113" i="8"/>
  <c r="V113" i="8" a="1"/>
  <c r="V113" i="8" s="1"/>
  <c r="U113" i="8" a="1"/>
  <c r="U113" i="8"/>
  <c r="T113" i="8" a="1"/>
  <c r="T113" i="8"/>
  <c r="S113" i="8" a="1"/>
  <c r="S113" i="8"/>
  <c r="R113" i="8" a="1"/>
  <c r="R113" i="8" s="1"/>
  <c r="Q113" i="8" a="1"/>
  <c r="Q113" i="8" s="1"/>
  <c r="P113" i="8" a="1"/>
  <c r="P113" i="8" s="1"/>
  <c r="X112" i="8" a="1"/>
  <c r="X112" i="8"/>
  <c r="W112" i="8" a="1"/>
  <c r="W112" i="8" s="1"/>
  <c r="V112" i="8" a="1"/>
  <c r="V112" i="8"/>
  <c r="U112" i="8" a="1"/>
  <c r="U112" i="8"/>
  <c r="T112" i="8" a="1"/>
  <c r="T112" i="8" s="1"/>
  <c r="S112" i="8" a="1"/>
  <c r="S112" i="8"/>
  <c r="R112" i="8" a="1"/>
  <c r="R112" i="8"/>
  <c r="Q112" i="8" a="1"/>
  <c r="Q112" i="8" s="1"/>
  <c r="P112" i="8" a="1"/>
  <c r="P112" i="8"/>
  <c r="X111" i="8" a="1"/>
  <c r="X111" i="8" s="1"/>
  <c r="W111" i="8" a="1"/>
  <c r="W111" i="8"/>
  <c r="V111" i="8" a="1"/>
  <c r="V111" i="8"/>
  <c r="U111" i="8" a="1"/>
  <c r="U111" i="8" s="1"/>
  <c r="T111" i="8" a="1"/>
  <c r="T111" i="8" s="1"/>
  <c r="S111" i="8" a="1"/>
  <c r="S111" i="8"/>
  <c r="R111" i="8" a="1"/>
  <c r="R111" i="8" s="1"/>
  <c r="Q111" i="8" a="1"/>
  <c r="Q111" i="8"/>
  <c r="P111" i="8" a="1"/>
  <c r="P111" i="8"/>
  <c r="X110" i="8" a="1"/>
  <c r="X110" i="8" s="1"/>
  <c r="W110" i="8" a="1"/>
  <c r="W110" i="8"/>
  <c r="V110" i="8" a="1"/>
  <c r="V110" i="8" s="1"/>
  <c r="U110" i="8" a="1"/>
  <c r="U110" i="8"/>
  <c r="T110" i="8" a="1"/>
  <c r="T110" i="8"/>
  <c r="S110" i="8" a="1"/>
  <c r="S110" i="8" s="1"/>
  <c r="R110" i="8" a="1"/>
  <c r="R110" i="8" s="1"/>
  <c r="Q110" i="8" a="1"/>
  <c r="Q110" i="8" s="1"/>
  <c r="P110" i="8" a="1"/>
  <c r="P110" i="8" s="1"/>
  <c r="X109" i="8" a="1"/>
  <c r="X109" i="8"/>
  <c r="W109" i="8" a="1"/>
  <c r="W109" i="8" s="1"/>
  <c r="V109" i="8" a="1"/>
  <c r="V109" i="8"/>
  <c r="U109" i="8" a="1"/>
  <c r="U109" i="8"/>
  <c r="T109" i="8" a="1"/>
  <c r="T109" i="8" s="1"/>
  <c r="S109" i="8" a="1"/>
  <c r="S109" i="8"/>
  <c r="R109" i="8" a="1"/>
  <c r="R109" i="8"/>
  <c r="Q109" i="8" a="1"/>
  <c r="Q109" i="8" s="1"/>
  <c r="P109" i="8" a="1"/>
  <c r="P109" i="8"/>
  <c r="X108" i="8" a="1"/>
  <c r="X108" i="8" s="1"/>
  <c r="W108" i="8" a="1"/>
  <c r="W108" i="8"/>
  <c r="V108" i="8" a="1"/>
  <c r="V108" i="8"/>
  <c r="U108" i="8" a="1"/>
  <c r="U108" i="8" s="1"/>
  <c r="T108" i="8" a="1"/>
  <c r="T108" i="8"/>
  <c r="S108" i="8" a="1"/>
  <c r="S108" i="8"/>
  <c r="R108" i="8" a="1"/>
  <c r="R108" i="8" s="1"/>
  <c r="Q108" i="8" a="1"/>
  <c r="Q108" i="8"/>
  <c r="P108" i="8" a="1"/>
  <c r="P108" i="8"/>
  <c r="X107" i="8" a="1"/>
  <c r="X107" i="8"/>
  <c r="W107" i="8" a="1"/>
  <c r="W107" i="8"/>
  <c r="V107" i="8" a="1"/>
  <c r="V107" i="8" s="1"/>
  <c r="U107" i="8" a="1"/>
  <c r="U107" i="8"/>
  <c r="T107" i="8" a="1"/>
  <c r="T107" i="8"/>
  <c r="S107" i="8" a="1"/>
  <c r="S107" i="8" s="1"/>
  <c r="R107" i="8" a="1"/>
  <c r="R107" i="8"/>
  <c r="Q107" i="8" a="1"/>
  <c r="Q107" i="8"/>
  <c r="P107" i="8" a="1"/>
  <c r="P107" i="8" s="1"/>
  <c r="X106" i="8" a="1"/>
  <c r="X106" i="8"/>
  <c r="W106" i="8" a="1"/>
  <c r="W106" i="8"/>
  <c r="V106" i="8" a="1"/>
  <c r="V106" i="8" s="1"/>
  <c r="U106" i="8" a="1"/>
  <c r="U106" i="8"/>
  <c r="T106" i="8" a="1"/>
  <c r="T106" i="8"/>
  <c r="S106" i="8" a="1"/>
  <c r="S106" i="8"/>
  <c r="R106" i="8" a="1"/>
  <c r="R106" i="8"/>
  <c r="Q106" i="8" a="1"/>
  <c r="Q106" i="8"/>
  <c r="P106" i="8" a="1"/>
  <c r="P106" i="8" s="1"/>
  <c r="X105" i="8" a="1"/>
  <c r="X105" i="8"/>
  <c r="W105" i="8" a="1"/>
  <c r="W105" i="8"/>
  <c r="V105" i="8" a="1"/>
  <c r="V105" i="8"/>
  <c r="U105" i="8" a="1"/>
  <c r="U105" i="8" s="1"/>
  <c r="T105" i="8" a="1"/>
  <c r="T105" i="8" s="1"/>
  <c r="S105" i="8" a="1"/>
  <c r="S105" i="8"/>
  <c r="R105" i="8" a="1"/>
  <c r="R105" i="8"/>
  <c r="Q105" i="8" a="1"/>
  <c r="Q105" i="8"/>
  <c r="P105" i="8" a="1"/>
  <c r="P105" i="8"/>
  <c r="X104" i="8" a="1"/>
  <c r="X104" i="8" s="1"/>
  <c r="W104" i="8" a="1"/>
  <c r="W104" i="8"/>
  <c r="V104" i="8" a="1"/>
  <c r="V104" i="8"/>
  <c r="U104" i="8" a="1"/>
  <c r="U104" i="8"/>
  <c r="T104" i="8" a="1"/>
  <c r="T104" i="8"/>
  <c r="S104" i="8" a="1"/>
  <c r="S104" i="8"/>
  <c r="R104" i="8" a="1"/>
  <c r="R104" i="8" s="1"/>
  <c r="Q104" i="8" a="1"/>
  <c r="Q104" i="8"/>
  <c r="P104" i="8" a="1"/>
  <c r="P104" i="8"/>
  <c r="X103" i="8" a="1"/>
  <c r="X103" i="8"/>
  <c r="W103" i="8" a="1"/>
  <c r="W103" i="8"/>
  <c r="V103" i="8" a="1"/>
  <c r="V103" i="8" s="1"/>
  <c r="U103" i="8" a="1"/>
  <c r="U103" i="8"/>
  <c r="T103" i="8" a="1"/>
  <c r="T103" i="8" s="1"/>
  <c r="S103" i="8" a="1"/>
  <c r="S103" i="8"/>
  <c r="R103" i="8" a="1"/>
  <c r="R103" i="8"/>
  <c r="Q103" i="8" a="1"/>
  <c r="Q103" i="8"/>
  <c r="P103" i="8" a="1"/>
  <c r="P103" i="8"/>
  <c r="X102" i="8" a="1"/>
  <c r="X102" i="8" s="1"/>
  <c r="W102" i="8" a="1"/>
  <c r="W102" i="8"/>
  <c r="V102" i="8" a="1"/>
  <c r="V102" i="8"/>
  <c r="U102" i="8" a="1"/>
  <c r="U102" i="8"/>
  <c r="T102" i="8" a="1"/>
  <c r="T102" i="8" s="1"/>
  <c r="S102" i="8" a="1"/>
  <c r="S102" i="8"/>
  <c r="R102" i="8" a="1"/>
  <c r="R102" i="8" s="1"/>
  <c r="Q102" i="8" a="1"/>
  <c r="Q102" i="8"/>
  <c r="P102" i="8" a="1"/>
  <c r="P102" i="8" s="1"/>
  <c r="X101" i="8" a="1"/>
  <c r="X101" i="8" s="1"/>
  <c r="W101" i="8" a="1"/>
  <c r="W101" i="8" s="1"/>
  <c r="V101" i="8" a="1"/>
  <c r="V101" i="8"/>
  <c r="U101" i="8" a="1"/>
  <c r="U101" i="8"/>
  <c r="T101" i="8" a="1"/>
  <c r="T101" i="8" s="1"/>
  <c r="S101" i="8" a="1"/>
  <c r="S101" i="8" s="1"/>
  <c r="R101" i="8" a="1"/>
  <c r="R101" i="8"/>
  <c r="Q101" i="8" a="1"/>
  <c r="Q101" i="8" s="1"/>
  <c r="P101" i="8" a="1"/>
  <c r="P101" i="8"/>
  <c r="X100" i="8" a="1"/>
  <c r="X100" i="8" s="1"/>
  <c r="W100" i="8" a="1"/>
  <c r="W100" i="8" s="1"/>
  <c r="V100" i="8" a="1"/>
  <c r="V100" i="8"/>
  <c r="U100" i="8" a="1"/>
  <c r="U100" i="8"/>
  <c r="T100" i="8" a="1"/>
  <c r="T100" i="8" s="1"/>
  <c r="S100" i="8" a="1"/>
  <c r="S100" i="8"/>
  <c r="R100" i="8" a="1"/>
  <c r="R100" i="8" s="1"/>
  <c r="Q100" i="8" a="1"/>
  <c r="Q100" i="8"/>
  <c r="P100" i="8" a="1"/>
  <c r="P100" i="8"/>
  <c r="X99" i="8" a="1"/>
  <c r="X99" i="8"/>
  <c r="W99" i="8" a="1"/>
  <c r="W99" i="8"/>
  <c r="V99" i="8" a="1"/>
  <c r="V99" i="8" s="1"/>
  <c r="U99" i="8" a="1"/>
  <c r="U99" i="8"/>
  <c r="T99" i="8" a="1"/>
  <c r="T99" i="8" s="1"/>
  <c r="S99" i="8" a="1"/>
  <c r="S99" i="8"/>
  <c r="R99" i="8" a="1"/>
  <c r="R99" i="8" s="1"/>
  <c r="Q99" i="8" a="1"/>
  <c r="Q99" i="8" s="1"/>
  <c r="P99" i="8" a="1"/>
  <c r="P99" i="8" s="1"/>
  <c r="X98" i="8" a="1"/>
  <c r="X98" i="8"/>
  <c r="W98" i="8" a="1"/>
  <c r="W98" i="8"/>
  <c r="V98" i="8" a="1"/>
  <c r="V98" i="8"/>
  <c r="U98" i="8" a="1"/>
  <c r="U98" i="8"/>
  <c r="T98" i="8" a="1"/>
  <c r="T98" i="8" s="1"/>
  <c r="S98" i="8" a="1"/>
  <c r="S98" i="8"/>
  <c r="R98" i="8" a="1"/>
  <c r="R98" i="8"/>
  <c r="Q98" i="8" a="1"/>
  <c r="Q98" i="8" s="1"/>
  <c r="P98" i="8" a="1"/>
  <c r="P98" i="8"/>
  <c r="X97" i="8" a="1"/>
  <c r="X97" i="8" s="1"/>
  <c r="W97" i="8" a="1"/>
  <c r="W97" i="8"/>
  <c r="V97" i="8" a="1"/>
  <c r="V97" i="8" s="1"/>
  <c r="U97" i="8" a="1"/>
  <c r="U97" i="8"/>
  <c r="T97" i="8" a="1"/>
  <c r="T97" i="8" s="1"/>
  <c r="S97" i="8" a="1"/>
  <c r="S97" i="8"/>
  <c r="R97" i="8" a="1"/>
  <c r="R97" i="8" s="1"/>
  <c r="Q97" i="8" a="1"/>
  <c r="Q97" i="8" s="1"/>
  <c r="P97" i="8" a="1"/>
  <c r="P97" i="8"/>
  <c r="X96" i="8" a="1"/>
  <c r="X96" i="8" s="1"/>
  <c r="W96" i="8" a="1"/>
  <c r="W96" i="8"/>
  <c r="V96" i="8" a="1"/>
  <c r="V96" i="8" s="1"/>
  <c r="U96" i="8" a="1"/>
  <c r="U96" i="8"/>
  <c r="T96" i="8" a="1"/>
  <c r="T96" i="8"/>
  <c r="S96" i="8" a="1"/>
  <c r="S96" i="8" s="1"/>
  <c r="R96" i="8" a="1"/>
  <c r="R96" i="8"/>
  <c r="Q96" i="8" a="1"/>
  <c r="Q96" i="8" s="1"/>
  <c r="P96" i="8" a="1"/>
  <c r="P96" i="8" s="1"/>
  <c r="X95" i="8" a="1"/>
  <c r="X95" i="8" s="1"/>
  <c r="W95" i="8" a="1"/>
  <c r="W95" i="8"/>
  <c r="V95" i="8" a="1"/>
  <c r="V95" i="8"/>
  <c r="U95" i="8" a="1"/>
  <c r="U95" i="8" s="1"/>
  <c r="T95" i="8" a="1"/>
  <c r="T95" i="8" s="1"/>
  <c r="S95" i="8" a="1"/>
  <c r="S95" i="8"/>
  <c r="R95" i="8" a="1"/>
  <c r="R95" i="8"/>
  <c r="Q95" i="8" a="1"/>
  <c r="Q95" i="8"/>
  <c r="P95" i="8" a="1"/>
  <c r="P95" i="8" s="1"/>
  <c r="X94" i="8" a="1"/>
  <c r="X94" i="8" s="1"/>
  <c r="W94" i="8" a="1"/>
  <c r="W94" i="8"/>
  <c r="V94" i="8" a="1"/>
  <c r="V94" i="8" s="1"/>
  <c r="U94" i="8" a="1"/>
  <c r="U94" i="8" s="1"/>
  <c r="T94" i="8" a="1"/>
  <c r="T94" i="8"/>
  <c r="S94" i="8" a="1"/>
  <c r="S94" i="8"/>
  <c r="R94" i="8" a="1"/>
  <c r="R94" i="8" s="1"/>
  <c r="Q94" i="8" a="1"/>
  <c r="Q94" i="8" s="1"/>
  <c r="P94" i="8" a="1"/>
  <c r="P94" i="8"/>
  <c r="X93" i="8" a="1"/>
  <c r="X93" i="8"/>
  <c r="W93" i="8" a="1"/>
  <c r="W93" i="8" s="1"/>
  <c r="V93" i="8" a="1"/>
  <c r="V93" i="8" s="1"/>
  <c r="U93" i="8" a="1"/>
  <c r="U93" i="8" s="1"/>
  <c r="T93" i="8" a="1"/>
  <c r="T93" i="8"/>
  <c r="S93" i="8" a="1"/>
  <c r="S93" i="8"/>
  <c r="R93" i="8" a="1"/>
  <c r="R93" i="8" s="1"/>
  <c r="Q93" i="8" a="1"/>
  <c r="Q93" i="8"/>
  <c r="P93" i="8" a="1"/>
  <c r="P93" i="8" s="1"/>
  <c r="X92" i="8" a="1"/>
  <c r="X92" i="8" s="1"/>
  <c r="W92" i="8" a="1"/>
  <c r="W92" i="8"/>
  <c r="V92" i="8" a="1"/>
  <c r="V92" i="8" s="1"/>
  <c r="U92" i="8" a="1"/>
  <c r="U92" i="8"/>
  <c r="T92" i="8" a="1"/>
  <c r="T92" i="8" s="1"/>
  <c r="S92" i="8" a="1"/>
  <c r="S92" i="8"/>
  <c r="R92" i="8" a="1"/>
  <c r="R92" i="8" s="1"/>
  <c r="Q92" i="8" a="1"/>
  <c r="Q92" i="8"/>
  <c r="P92" i="8" a="1"/>
  <c r="P92" i="8" s="1"/>
  <c r="X91" i="8" a="1"/>
  <c r="X91" i="8" s="1"/>
  <c r="W91" i="8" a="1"/>
  <c r="W91" i="8" s="1"/>
  <c r="V91" i="8" a="1"/>
  <c r="V91" i="8"/>
  <c r="U91" i="8" a="1"/>
  <c r="U91" i="8" s="1"/>
  <c r="T91" i="8" a="1"/>
  <c r="T91" i="8"/>
  <c r="S91" i="8" a="1"/>
  <c r="S91" i="8" s="1"/>
  <c r="R91" i="8" a="1"/>
  <c r="R91" i="8" s="1"/>
  <c r="Q91" i="8" a="1"/>
  <c r="Q91" i="8"/>
  <c r="P91" i="8" a="1"/>
  <c r="P91" i="8"/>
  <c r="X90" i="8" a="1"/>
  <c r="X90" i="8"/>
  <c r="W90" i="8" a="1"/>
  <c r="W90" i="8" s="1"/>
  <c r="V90" i="8" a="1"/>
  <c r="V90" i="8" s="1"/>
  <c r="U90" i="8" a="1"/>
  <c r="U90" i="8"/>
  <c r="T90" i="8" a="1"/>
  <c r="T90" i="8" s="1"/>
  <c r="S90" i="8" a="1"/>
  <c r="S90" i="8"/>
  <c r="R90" i="8" a="1"/>
  <c r="R90" i="8" s="1"/>
  <c r="Q90" i="8" a="1"/>
  <c r="Q90" i="8"/>
  <c r="P90" i="8" a="1"/>
  <c r="P90" i="8" s="1"/>
  <c r="X89" i="8" a="1"/>
  <c r="X89" i="8"/>
  <c r="W89" i="8" a="1"/>
  <c r="W89" i="8"/>
  <c r="V89" i="8" a="1"/>
  <c r="V89" i="8" s="1"/>
  <c r="U89" i="8" a="1"/>
  <c r="U89" i="8"/>
  <c r="T89" i="8" a="1"/>
  <c r="T89" i="8" s="1"/>
  <c r="S89" i="8" a="1"/>
  <c r="S89" i="8"/>
  <c r="R89" i="8" a="1"/>
  <c r="R89" i="8"/>
  <c r="Q89" i="8" a="1"/>
  <c r="Q89" i="8" s="1"/>
  <c r="P89" i="8" a="1"/>
  <c r="P89" i="8"/>
  <c r="X88" i="8" a="1"/>
  <c r="X88" i="8" s="1"/>
  <c r="W88" i="8" a="1"/>
  <c r="W88" i="8" s="1"/>
  <c r="V88" i="8" a="1"/>
  <c r="V88" i="8" s="1"/>
  <c r="U88" i="8" a="1"/>
  <c r="U88" i="8"/>
  <c r="T88" i="8" a="1"/>
  <c r="T88" i="8"/>
  <c r="S88" i="8" a="1"/>
  <c r="S88" i="8" s="1"/>
  <c r="R88" i="8" a="1"/>
  <c r="R88" i="8" s="1"/>
  <c r="Q88" i="8" a="1"/>
  <c r="Q88" i="8"/>
  <c r="P88" i="8" a="1"/>
  <c r="P88" i="8"/>
  <c r="X87" i="8" a="1"/>
  <c r="X87" i="8" s="1"/>
  <c r="W87" i="8" a="1"/>
  <c r="W87" i="8"/>
  <c r="V87" i="8" a="1"/>
  <c r="V87" i="8" s="1"/>
  <c r="U87" i="8" a="1"/>
  <c r="U87" i="8"/>
  <c r="T87" i="8" a="1"/>
  <c r="T87" i="8" s="1"/>
  <c r="S87" i="8" a="1"/>
  <c r="S87" i="8" s="1"/>
  <c r="R87" i="8" a="1"/>
  <c r="R87" i="8"/>
  <c r="Q87" i="8" a="1"/>
  <c r="Q87" i="8"/>
  <c r="P87" i="8" a="1"/>
  <c r="P87" i="8" s="1"/>
  <c r="X86" i="8" a="1"/>
  <c r="X86" i="8"/>
  <c r="W86" i="8" a="1"/>
  <c r="W86" i="8"/>
  <c r="V86" i="8" a="1"/>
  <c r="V86" i="8"/>
  <c r="U86" i="8" a="1"/>
  <c r="U86" i="8" s="1"/>
  <c r="T86" i="8" a="1"/>
  <c r="T86" i="8" s="1"/>
  <c r="S86" i="8" a="1"/>
  <c r="S86" i="8" s="1"/>
  <c r="R86" i="8" a="1"/>
  <c r="R86" i="8"/>
  <c r="Q86" i="8" a="1"/>
  <c r="Q86" i="8" s="1"/>
  <c r="P86" i="8" a="1"/>
  <c r="P86" i="8" s="1"/>
  <c r="X85" i="8" a="1"/>
  <c r="X85" i="8" s="1"/>
  <c r="W85" i="8" a="1"/>
  <c r="W85" i="8"/>
  <c r="V85" i="8" a="1"/>
  <c r="V85" i="8" s="1"/>
  <c r="U85" i="8" a="1"/>
  <c r="U85" i="8"/>
  <c r="T85" i="8" a="1"/>
  <c r="T85" i="8"/>
  <c r="S85" i="8" a="1"/>
  <c r="S85" i="8" s="1"/>
  <c r="R85" i="8" a="1"/>
  <c r="R85" i="8" s="1"/>
  <c r="Q85" i="8" a="1"/>
  <c r="Q85" i="8"/>
  <c r="P85" i="8" a="1"/>
  <c r="P85" i="8" s="1"/>
  <c r="X84" i="8" a="1"/>
  <c r="X84" i="8"/>
  <c r="W84" i="8" a="1"/>
  <c r="W84" i="8" s="1"/>
  <c r="V84" i="8" a="1"/>
  <c r="V84" i="8" s="1"/>
  <c r="U84" i="8" a="1"/>
  <c r="U84" i="8" s="1"/>
  <c r="T84" i="8" a="1"/>
  <c r="T84" i="8"/>
  <c r="S84" i="8" a="1"/>
  <c r="S84" i="8" s="1"/>
  <c r="R84" i="8" a="1"/>
  <c r="R84" i="8"/>
  <c r="Q84" i="8" a="1"/>
  <c r="Q84" i="8" s="1"/>
  <c r="P84" i="8" a="1"/>
  <c r="P84" i="8" s="1"/>
  <c r="X83" i="8" a="1"/>
  <c r="X83" i="8"/>
  <c r="W83" i="8" a="1"/>
  <c r="W83" i="8" s="1"/>
  <c r="V83" i="8" a="1"/>
  <c r="V83" i="8"/>
  <c r="U83" i="8" a="1"/>
  <c r="U83" i="8" s="1"/>
  <c r="T83" i="8" a="1"/>
  <c r="T83" i="8" s="1"/>
  <c r="S83" i="8" a="1"/>
  <c r="S83" i="8" s="1"/>
  <c r="R83" i="8" a="1"/>
  <c r="R83" i="8" s="1"/>
  <c r="Q83" i="8" a="1"/>
  <c r="Q83" i="8"/>
  <c r="P83" i="8" a="1"/>
  <c r="P83" i="8"/>
  <c r="X82" i="8" a="1"/>
  <c r="X82" i="8" s="1"/>
  <c r="W82" i="8" a="1"/>
  <c r="W82" i="8" s="1"/>
  <c r="V82" i="8" a="1"/>
  <c r="V82" i="8"/>
  <c r="U82" i="8" a="1"/>
  <c r="U82" i="8"/>
  <c r="T82" i="8" a="1"/>
  <c r="T82" i="8" s="1"/>
  <c r="S82" i="8" a="1"/>
  <c r="S82" i="8"/>
  <c r="R82" i="8" a="1"/>
  <c r="R82" i="8" s="1"/>
  <c r="Q82" i="8" a="1"/>
  <c r="Q82" i="8"/>
  <c r="P82" i="8" a="1"/>
  <c r="P82" i="8"/>
  <c r="X81" i="8" a="1"/>
  <c r="X81" i="8"/>
  <c r="W81" i="8" a="1"/>
  <c r="W81" i="8"/>
  <c r="V81" i="8" a="1"/>
  <c r="V81" i="8" s="1"/>
  <c r="U81" i="8" a="1"/>
  <c r="U81" i="8"/>
  <c r="T81" i="8" a="1"/>
  <c r="T81" i="8" s="1"/>
  <c r="S81" i="8" a="1"/>
  <c r="S81" i="8"/>
  <c r="R81" i="8" a="1"/>
  <c r="R81" i="8"/>
  <c r="Q81" i="8" a="1"/>
  <c r="Q81" i="8" s="1"/>
  <c r="P81" i="8" a="1"/>
  <c r="P81" i="8" s="1"/>
  <c r="X80" i="8" a="1"/>
  <c r="X80" i="8"/>
  <c r="W80" i="8" a="1"/>
  <c r="W80" i="8"/>
  <c r="V80" i="8" a="1"/>
  <c r="V80" i="8" s="1"/>
  <c r="U80" i="8" a="1"/>
  <c r="U80" i="8"/>
  <c r="T80" i="8" a="1"/>
  <c r="T80" i="8" s="1"/>
  <c r="S80" i="8" a="1"/>
  <c r="S80" i="8"/>
  <c r="R80" i="8" a="1"/>
  <c r="R80" i="8"/>
  <c r="Q80" i="8" a="1"/>
  <c r="Q80" i="8" s="1"/>
  <c r="P80" i="8" a="1"/>
  <c r="P80" i="8"/>
  <c r="X79" i="8" a="1"/>
  <c r="X79" i="8" s="1"/>
  <c r="W79" i="8" a="1"/>
  <c r="W79" i="8" s="1"/>
  <c r="V79" i="8" a="1"/>
  <c r="V79" i="8"/>
  <c r="U79" i="8" a="1"/>
  <c r="U79" i="8" s="1"/>
  <c r="T79" i="8" a="1"/>
  <c r="T79" i="8"/>
  <c r="S79" i="8" a="1"/>
  <c r="S79" i="8" s="1"/>
  <c r="R79" i="8" a="1"/>
  <c r="R79" i="8" s="1"/>
  <c r="Q79" i="8" a="1"/>
  <c r="Q79" i="8" s="1"/>
  <c r="P79" i="8" a="1"/>
  <c r="P79" i="8"/>
  <c r="X78" i="8" a="1"/>
  <c r="X78" i="8" s="1"/>
  <c r="W78" i="8" a="1"/>
  <c r="W78" i="8"/>
  <c r="V78" i="8" a="1"/>
  <c r="V78" i="8" s="1"/>
  <c r="U78" i="8" a="1"/>
  <c r="U78" i="8"/>
  <c r="T78" i="8" a="1"/>
  <c r="T78" i="8" s="1"/>
  <c r="S78" i="8" a="1"/>
  <c r="S78" i="8"/>
  <c r="R78" i="8" a="1"/>
  <c r="R78" i="8"/>
  <c r="Q78" i="8" a="1"/>
  <c r="Q78" i="8"/>
  <c r="P78" i="8" a="1"/>
  <c r="P78" i="8" s="1"/>
  <c r="X77" i="8" a="1"/>
  <c r="X77" i="8" s="1"/>
  <c r="W77" i="8" a="1"/>
  <c r="W77" i="8"/>
  <c r="V77" i="8" a="1"/>
  <c r="V77" i="8" s="1"/>
  <c r="U77" i="8" a="1"/>
  <c r="U77" i="8" s="1"/>
  <c r="T77" i="8" a="1"/>
  <c r="T77" i="8" s="1"/>
  <c r="S77" i="8" a="1"/>
  <c r="S77" i="8" s="1"/>
  <c r="R77" i="8" a="1"/>
  <c r="R77" i="8"/>
  <c r="Q77" i="8" a="1"/>
  <c r="Q77" i="8" s="1"/>
  <c r="P77" i="8" a="1"/>
  <c r="P77" i="8"/>
  <c r="X76" i="8" a="1"/>
  <c r="X76" i="8" s="1"/>
  <c r="W76" i="8" a="1"/>
  <c r="W76" i="8"/>
  <c r="V76" i="8" a="1"/>
  <c r="V76" i="8"/>
  <c r="U76" i="8" a="1"/>
  <c r="U76" i="8" s="1"/>
  <c r="T76" i="8" a="1"/>
  <c r="T76" i="8"/>
  <c r="S76" i="8" a="1"/>
  <c r="S76" i="8" s="1"/>
  <c r="R76" i="8" a="1"/>
  <c r="R76" i="8" s="1"/>
  <c r="Q76" i="8" a="1"/>
  <c r="Q76" i="8"/>
  <c r="P76" i="8" a="1"/>
  <c r="P76" i="8" s="1"/>
  <c r="X75" i="8" a="1"/>
  <c r="X75" i="8" s="1"/>
  <c r="W75" i="8" a="1"/>
  <c r="W75" i="8"/>
  <c r="V75" i="8" a="1"/>
  <c r="V75" i="8" s="1"/>
  <c r="U75" i="8" a="1"/>
  <c r="U75" i="8" s="1"/>
  <c r="T75" i="8" a="1"/>
  <c r="T75" i="8"/>
  <c r="S75" i="8" a="1"/>
  <c r="S75" i="8"/>
  <c r="R75" i="8" a="1"/>
  <c r="R75" i="8" s="1"/>
  <c r="Q75" i="8" a="1"/>
  <c r="Q75" i="8"/>
  <c r="P75" i="8" a="1"/>
  <c r="P75" i="8" s="1"/>
  <c r="X74" i="8" a="1"/>
  <c r="X74" i="8"/>
  <c r="W74" i="8" a="1"/>
  <c r="W74" i="8" s="1"/>
  <c r="V74" i="8" a="1"/>
  <c r="V74" i="8"/>
  <c r="U74" i="8" a="1"/>
  <c r="U74" i="8" s="1"/>
  <c r="T74" i="8" a="1"/>
  <c r="T74" i="8" s="1"/>
  <c r="S74" i="8" a="1"/>
  <c r="S74" i="8" s="1"/>
  <c r="R74" i="8" a="1"/>
  <c r="R74" i="8" s="1"/>
  <c r="Q74" i="8" a="1"/>
  <c r="Q74" i="8"/>
  <c r="P74" i="8" a="1"/>
  <c r="P74" i="8"/>
  <c r="X73" i="8" a="1"/>
  <c r="X73" i="8" s="1"/>
  <c r="W73" i="8" a="1"/>
  <c r="W73" i="8"/>
  <c r="V73" i="8" a="1"/>
  <c r="V73" i="8" s="1"/>
  <c r="U73" i="8" a="1"/>
  <c r="U73" i="8"/>
  <c r="T73" i="8" a="1"/>
  <c r="T73" i="8" s="1"/>
  <c r="S73" i="8" a="1"/>
  <c r="S73" i="8"/>
  <c r="R73" i="8" a="1"/>
  <c r="R73" i="8" s="1"/>
  <c r="Q73" i="8" a="1"/>
  <c r="Q73" i="8"/>
  <c r="P73" i="8" a="1"/>
  <c r="P73" i="8" s="1"/>
  <c r="X72" i="8" a="1"/>
  <c r="X72" i="8"/>
  <c r="W72" i="8" a="1"/>
  <c r="W72" i="8"/>
  <c r="V72" i="8" a="1"/>
  <c r="V72" i="8" s="1"/>
  <c r="U72" i="8" a="1"/>
  <c r="U72" i="8" s="1"/>
  <c r="T72" i="8" a="1"/>
  <c r="T72" i="8"/>
  <c r="S72" i="8" a="1"/>
  <c r="S72" i="8" s="1"/>
  <c r="R72" i="8" a="1"/>
  <c r="R72" i="8"/>
  <c r="Q72" i="8" a="1"/>
  <c r="Q72" i="8" s="1"/>
  <c r="P72" i="8" a="1"/>
  <c r="P72" i="8" s="1"/>
  <c r="X71" i="8" a="1"/>
  <c r="X71" i="8"/>
  <c r="W71" i="8" a="1"/>
  <c r="W71" i="8"/>
  <c r="V71" i="8" a="1"/>
  <c r="V71" i="8" s="1"/>
  <c r="U71" i="8" a="1"/>
  <c r="U71" i="8"/>
  <c r="T71" i="8" a="1"/>
  <c r="T71" i="8" s="1"/>
  <c r="S71" i="8" a="1"/>
  <c r="S71" i="8"/>
  <c r="R71" i="8" a="1"/>
  <c r="R71" i="8" s="1"/>
  <c r="Q71" i="8" a="1"/>
  <c r="Q71" i="8"/>
  <c r="P71" i="8" a="1"/>
  <c r="P71" i="8" s="1"/>
  <c r="X70" i="8" a="1"/>
  <c r="X70" i="8" s="1"/>
  <c r="W70" i="8" a="1"/>
  <c r="W70" i="8"/>
  <c r="V70" i="8" a="1"/>
  <c r="V70" i="8" s="1"/>
  <c r="U70" i="8" a="1"/>
  <c r="U70" i="8"/>
  <c r="T70" i="8" a="1"/>
  <c r="T70" i="8" s="1"/>
  <c r="S70" i="8" a="1"/>
  <c r="S70" i="8" s="1"/>
  <c r="R70" i="8" a="1"/>
  <c r="R70" i="8" s="1"/>
  <c r="Q70" i="8" a="1"/>
  <c r="Q70" i="8" s="1"/>
  <c r="P70" i="8" a="1"/>
  <c r="P70" i="8"/>
  <c r="X69" i="8" a="1"/>
  <c r="X69" i="8"/>
  <c r="W69" i="8" a="1"/>
  <c r="W69" i="8" s="1"/>
  <c r="V69" i="8" a="1"/>
  <c r="V69" i="8" s="1"/>
  <c r="U69" i="8" a="1"/>
  <c r="U69" i="8"/>
  <c r="T69" i="8" a="1"/>
  <c r="T69" i="8"/>
  <c r="S69" i="8" a="1"/>
  <c r="S69" i="8" s="1"/>
  <c r="R69" i="8" a="1"/>
  <c r="R69" i="8"/>
  <c r="Q69" i="8" a="1"/>
  <c r="Q69" i="8"/>
  <c r="P69" i="8" a="1"/>
  <c r="P69" i="8" s="1"/>
  <c r="X68" i="8" a="1"/>
  <c r="X68" i="8" s="1"/>
  <c r="W68" i="8" a="1"/>
  <c r="W68" i="8"/>
  <c r="V68" i="8" a="1"/>
  <c r="V68" i="8" s="1"/>
  <c r="U68" i="8" a="1"/>
  <c r="U68" i="8"/>
  <c r="T68" i="8" a="1"/>
  <c r="T68" i="8" s="1"/>
  <c r="S68" i="8" a="1"/>
  <c r="S68" i="8" s="1"/>
  <c r="R68" i="8" a="1"/>
  <c r="R68" i="8"/>
  <c r="Q68" i="8" a="1"/>
  <c r="Q68" i="8"/>
  <c r="P68" i="8" a="1"/>
  <c r="P68" i="8" s="1"/>
  <c r="X67" i="8" a="1"/>
  <c r="X67" i="8" s="1"/>
  <c r="W67" i="8" a="1"/>
  <c r="W67" i="8" s="1"/>
  <c r="V67" i="8" a="1"/>
  <c r="V67" i="8"/>
  <c r="U67" i="8" a="1"/>
  <c r="U67" i="8" s="1"/>
  <c r="T67" i="8" a="1"/>
  <c r="T67" i="8"/>
  <c r="S67" i="8" a="1"/>
  <c r="S67" i="8" s="1"/>
  <c r="R67" i="8" a="1"/>
  <c r="R67" i="8" s="1"/>
  <c r="Q67" i="8" a="1"/>
  <c r="Q67" i="8" s="1"/>
  <c r="P67" i="8" a="1"/>
  <c r="P67" i="8" s="1"/>
  <c r="X66" i="8" a="1"/>
  <c r="X66" i="8"/>
  <c r="W66" i="8" a="1"/>
  <c r="W66" i="8" s="1"/>
  <c r="V66" i="8" a="1"/>
  <c r="V66" i="8" s="1"/>
  <c r="U66" i="8" a="1"/>
  <c r="U66" i="8"/>
  <c r="T66" i="8" a="1"/>
  <c r="T66" i="8"/>
  <c r="S66" i="8" a="1"/>
  <c r="S66" i="8"/>
  <c r="R66" i="8" a="1"/>
  <c r="R66" i="8" s="1"/>
  <c r="Q66" i="8" a="1"/>
  <c r="Q66" i="8"/>
  <c r="P66" i="8" a="1"/>
  <c r="P66" i="8" s="1"/>
  <c r="X65" i="8" a="1"/>
  <c r="X65" i="8" s="1"/>
  <c r="W65" i="8" a="1"/>
  <c r="W65" i="8" s="1"/>
  <c r="V65" i="8" a="1"/>
  <c r="V65" i="8"/>
  <c r="U65" i="8" a="1"/>
  <c r="U65" i="8"/>
  <c r="T65" i="8" a="1"/>
  <c r="T65" i="8" s="1"/>
  <c r="S65" i="8" a="1"/>
  <c r="S65" i="8" s="1"/>
  <c r="R65" i="8" a="1"/>
  <c r="R65" i="8"/>
  <c r="Q65" i="8" a="1"/>
  <c r="Q65" i="8"/>
  <c r="P65" i="8" a="1"/>
  <c r="P65" i="8"/>
  <c r="X64" i="8" a="1"/>
  <c r="X64" i="8" s="1"/>
  <c r="W64" i="8" a="1"/>
  <c r="W64" i="8" s="1"/>
  <c r="V64" i="8" a="1"/>
  <c r="V64" i="8"/>
  <c r="U64" i="8" a="1"/>
  <c r="U64" i="8" s="1"/>
  <c r="T64" i="8" a="1"/>
  <c r="T64" i="8" s="1"/>
  <c r="S64" i="8" a="1"/>
  <c r="S64" i="8"/>
  <c r="R64" i="8" a="1"/>
  <c r="R64" i="8" s="1"/>
  <c r="Q64" i="8" a="1"/>
  <c r="Q64" i="8"/>
  <c r="P64" i="8" a="1"/>
  <c r="P64" i="8"/>
  <c r="X63" i="8" a="1"/>
  <c r="X63" i="8"/>
  <c r="W63" i="8" a="1"/>
  <c r="W63" i="8"/>
  <c r="V63" i="8" a="1"/>
  <c r="V63" i="8" s="1"/>
  <c r="U63" i="8" a="1"/>
  <c r="U63" i="8"/>
  <c r="T63" i="8" a="1"/>
  <c r="T63" i="8" s="1"/>
  <c r="S63" i="8" a="1"/>
  <c r="S63" i="8"/>
  <c r="R63" i="8" a="1"/>
  <c r="R63" i="8" s="1"/>
  <c r="Q63" i="8" a="1"/>
  <c r="Q63" i="8" s="1"/>
  <c r="P63" i="8" a="1"/>
  <c r="P63" i="8" s="1"/>
  <c r="X62" i="8" a="1"/>
  <c r="X62" i="8"/>
  <c r="W62" i="8" a="1"/>
  <c r="W62" i="8"/>
  <c r="V62" i="8" a="1"/>
  <c r="V62" i="8"/>
  <c r="U62" i="8" a="1"/>
  <c r="U62" i="8" s="1"/>
  <c r="T62" i="8" a="1"/>
  <c r="T62" i="8" s="1"/>
  <c r="S62" i="8" a="1"/>
  <c r="S62" i="8"/>
  <c r="R62" i="8" a="1"/>
  <c r="R62" i="8"/>
  <c r="Q62" i="8" a="1"/>
  <c r="Q62" i="8" s="1"/>
  <c r="P62" i="8" a="1"/>
  <c r="P62" i="8"/>
  <c r="X61" i="8" a="1"/>
  <c r="X61" i="8" s="1"/>
  <c r="W61" i="8" a="1"/>
  <c r="W61" i="8"/>
  <c r="V61" i="8" a="1"/>
  <c r="V61" i="8" s="1"/>
  <c r="U61" i="8" a="1"/>
  <c r="U61" i="8"/>
  <c r="T61" i="8" a="1"/>
  <c r="T61" i="8" s="1"/>
  <c r="S61" i="8" a="1"/>
  <c r="S61" i="8"/>
  <c r="R61" i="8" a="1"/>
  <c r="R61" i="8" s="1"/>
  <c r="Q61" i="8" a="1"/>
  <c r="Q61" i="8" s="1"/>
  <c r="P61" i="8" a="1"/>
  <c r="P61" i="8"/>
  <c r="X60" i="8" a="1"/>
  <c r="X60" i="8" s="1"/>
  <c r="W60" i="8" a="1"/>
  <c r="W60" i="8"/>
  <c r="V60" i="8" a="1"/>
  <c r="V60" i="8" s="1"/>
  <c r="U60" i="8" a="1"/>
  <c r="U60" i="8" s="1"/>
  <c r="T60" i="8" a="1"/>
  <c r="T60" i="8" s="1"/>
  <c r="S60" i="8" a="1"/>
  <c r="S60" i="8" s="1"/>
  <c r="R60" i="8" a="1"/>
  <c r="R60" i="8"/>
  <c r="Q60" i="8" a="1"/>
  <c r="Q60" i="8" s="1"/>
  <c r="P60" i="8" a="1"/>
  <c r="P60" i="8" s="1"/>
  <c r="X59" i="8" a="1"/>
  <c r="X59" i="8" s="1"/>
  <c r="W59" i="8" a="1"/>
  <c r="W59" i="8"/>
  <c r="V59" i="8" a="1"/>
  <c r="V59" i="8"/>
  <c r="U59" i="8" a="1"/>
  <c r="U59" i="8" s="1"/>
  <c r="T59" i="8" a="1"/>
  <c r="T59" i="8" s="1"/>
  <c r="S59" i="8" a="1"/>
  <c r="S59" i="8"/>
  <c r="R59" i="8" a="1"/>
  <c r="R59" i="8" s="1"/>
  <c r="Q59" i="8" a="1"/>
  <c r="Q59" i="8"/>
  <c r="P59" i="8" a="1"/>
  <c r="P59" i="8" s="1"/>
  <c r="X58" i="8" a="1"/>
  <c r="X58" i="8" s="1"/>
  <c r="W58" i="8" a="1"/>
  <c r="W58" i="8"/>
  <c r="V58" i="8" a="1"/>
  <c r="V58" i="8" s="1"/>
  <c r="U58" i="8" a="1"/>
  <c r="U58" i="8" s="1"/>
  <c r="T58" i="8" a="1"/>
  <c r="T58" i="8"/>
  <c r="S58" i="8" a="1"/>
  <c r="S58" i="8"/>
  <c r="R58" i="8" a="1"/>
  <c r="R58" i="8" s="1"/>
  <c r="Q58" i="8" a="1"/>
  <c r="Q58" i="8" s="1"/>
  <c r="P58" i="8" a="1"/>
  <c r="P58" i="8"/>
  <c r="X57" i="8" a="1"/>
  <c r="X57" i="8"/>
  <c r="W57" i="8" a="1"/>
  <c r="W57" i="8" s="1"/>
  <c r="V57" i="8" a="1"/>
  <c r="V57" i="8" s="1"/>
  <c r="U57" i="8" a="1"/>
  <c r="U57" i="8" s="1"/>
  <c r="T57" i="8" a="1"/>
  <c r="T57" i="8"/>
  <c r="S57" i="8" a="1"/>
  <c r="S57" i="8"/>
  <c r="R57" i="8" a="1"/>
  <c r="R57" i="8" s="1"/>
  <c r="Q57" i="8" a="1"/>
  <c r="Q57" i="8"/>
  <c r="P57" i="8" a="1"/>
  <c r="P57" i="8" s="1"/>
  <c r="X56" i="8" a="1"/>
  <c r="X56" i="8" s="1"/>
  <c r="W56" i="8" a="1"/>
  <c r="W56" i="8"/>
  <c r="V56" i="8" a="1"/>
  <c r="V56" i="8"/>
  <c r="U56" i="8" a="1"/>
  <c r="U56" i="8"/>
  <c r="T56" i="8" a="1"/>
  <c r="T56" i="8" s="1"/>
  <c r="S56" i="8" a="1"/>
  <c r="S56" i="8"/>
  <c r="R56" i="8" a="1"/>
  <c r="R56" i="8" s="1"/>
  <c r="Q56" i="8" a="1"/>
  <c r="Q56" i="8"/>
  <c r="P56" i="8" a="1"/>
  <c r="P56" i="8"/>
  <c r="X55" i="8" a="1"/>
  <c r="X55" i="8" s="1"/>
  <c r="W55" i="8" a="1"/>
  <c r="W55" i="8" s="1"/>
  <c r="V55" i="8" a="1"/>
  <c r="V55" i="8"/>
  <c r="U55" i="8" a="1"/>
  <c r="U55" i="8" s="1"/>
  <c r="T55" i="8" a="1"/>
  <c r="T55" i="8"/>
  <c r="S55" i="8" a="1"/>
  <c r="S55" i="8"/>
  <c r="R55" i="8" a="1"/>
  <c r="R55" i="8" s="1"/>
  <c r="Q55" i="8" a="1"/>
  <c r="Q55" i="8"/>
  <c r="P55" i="8" a="1"/>
  <c r="P55" i="8"/>
  <c r="X54" i="8" a="1"/>
  <c r="X54" i="8"/>
  <c r="W54" i="8" a="1"/>
  <c r="W54" i="8" s="1"/>
  <c r="V54" i="8" a="1"/>
  <c r="V54" i="8" s="1"/>
  <c r="U54" i="8" a="1"/>
  <c r="U54" i="8" s="1"/>
  <c r="T54" i="8" a="1"/>
  <c r="T54" i="8" s="1"/>
  <c r="S54" i="8" a="1"/>
  <c r="S54" i="8"/>
  <c r="R54" i="8" a="1"/>
  <c r="R54" i="8" s="1"/>
  <c r="Q54" i="8" a="1"/>
  <c r="Q54" i="8"/>
  <c r="P54" i="8" a="1"/>
  <c r="P54" i="8" s="1"/>
  <c r="X53" i="8" a="1"/>
  <c r="X53" i="8"/>
  <c r="W53" i="8" a="1"/>
  <c r="W53" i="8"/>
  <c r="V53" i="8" a="1"/>
  <c r="V53" i="8" s="1"/>
  <c r="U53" i="8" a="1"/>
  <c r="U53" i="8"/>
  <c r="T53" i="8" a="1"/>
  <c r="T53" i="8" s="1"/>
  <c r="S53" i="8" a="1"/>
  <c r="S53" i="8"/>
  <c r="R53" i="8" a="1"/>
  <c r="R53" i="8"/>
  <c r="Q53" i="8" a="1"/>
  <c r="Q53" i="8" s="1"/>
  <c r="P53" i="8" a="1"/>
  <c r="P53" i="8"/>
  <c r="X52" i="8" a="1"/>
  <c r="X52" i="8" s="1"/>
  <c r="W52" i="8" a="1"/>
  <c r="W52" i="8" s="1"/>
  <c r="V52" i="8" a="1"/>
  <c r="V52" i="8" s="1"/>
  <c r="U52" i="8" a="1"/>
  <c r="U52" i="8"/>
  <c r="T52" i="8" a="1"/>
  <c r="T52" i="8"/>
  <c r="S52" i="8" a="1"/>
  <c r="S52" i="8" s="1"/>
  <c r="R52" i="8" a="1"/>
  <c r="R52" i="8" s="1"/>
  <c r="Q52" i="8" a="1"/>
  <c r="Q52" i="8"/>
  <c r="P52" i="8" a="1"/>
  <c r="P52" i="8"/>
  <c r="X51" i="8" a="1"/>
  <c r="X51" i="8" s="1"/>
  <c r="W51" i="8" a="1"/>
  <c r="W51" i="8"/>
  <c r="V51" i="8" a="1"/>
  <c r="V51" i="8" s="1"/>
  <c r="U51" i="8" a="1"/>
  <c r="U51" i="8"/>
  <c r="T51" i="8" a="1"/>
  <c r="T51" i="8" s="1"/>
  <c r="S51" i="8" a="1"/>
  <c r="S51" i="8" s="1"/>
  <c r="R51" i="8" a="1"/>
  <c r="R51" i="8"/>
  <c r="Q51" i="8" a="1"/>
  <c r="Q51" i="8"/>
  <c r="P51" i="8" a="1"/>
  <c r="P51" i="8" s="1"/>
  <c r="X50" i="8" a="1"/>
  <c r="X50" i="8"/>
  <c r="W50" i="8" a="1"/>
  <c r="W50" i="8" s="1"/>
  <c r="V50" i="8" a="1"/>
  <c r="V50" i="8"/>
  <c r="U50" i="8" a="1"/>
  <c r="U50" i="8" s="1"/>
  <c r="T50" i="8" a="1"/>
  <c r="T50" i="8" s="1"/>
  <c r="S50" i="8" a="1"/>
  <c r="S50" i="8" s="1"/>
  <c r="R50" i="8" a="1"/>
  <c r="R50" i="8"/>
  <c r="Q50" i="8" a="1"/>
  <c r="Q50" i="8" s="1"/>
  <c r="P50" i="8" a="1"/>
  <c r="P50" i="8" s="1"/>
  <c r="X49" i="8" a="1"/>
  <c r="X49" i="8" s="1"/>
  <c r="W49" i="8" a="1"/>
  <c r="W49" i="8"/>
  <c r="V49" i="8" a="1"/>
  <c r="V49" i="8"/>
  <c r="U49" i="8" a="1"/>
  <c r="U49" i="8"/>
  <c r="T49" i="8" a="1"/>
  <c r="T49" i="8" s="1"/>
  <c r="S49" i="8" a="1"/>
  <c r="S49" i="8"/>
  <c r="R49" i="8" a="1"/>
  <c r="R49" i="8" s="1"/>
  <c r="Q49" i="8" a="1"/>
  <c r="Q49" i="8"/>
  <c r="P49" i="8" a="1"/>
  <c r="P49" i="8" s="1"/>
  <c r="X48" i="8" a="1"/>
  <c r="X48" i="8" s="1"/>
  <c r="W48" i="8" a="1"/>
  <c r="W48" i="8" s="1"/>
  <c r="V48" i="8" a="1"/>
  <c r="V48" i="8" s="1"/>
  <c r="U48" i="8" a="1"/>
  <c r="U48" i="8" s="1"/>
  <c r="T48" i="8" a="1"/>
  <c r="T48" i="8"/>
  <c r="S48" i="8" a="1"/>
  <c r="S48" i="8" s="1"/>
  <c r="R48" i="8" a="1"/>
  <c r="R48" i="8"/>
  <c r="Q48" i="8" a="1"/>
  <c r="Q48" i="8"/>
  <c r="P48" i="8" a="1"/>
  <c r="P48" i="8" s="1"/>
  <c r="X47" i="8" a="1"/>
  <c r="X47" i="8"/>
  <c r="W47" i="8" a="1"/>
  <c r="W47" i="8" s="1"/>
  <c r="V47" i="8" a="1"/>
  <c r="V47" i="8"/>
  <c r="U47" i="8" a="1"/>
  <c r="U47" i="8" s="1"/>
  <c r="T47" i="8" a="1"/>
  <c r="T47" i="8" s="1"/>
  <c r="S47" i="8" a="1"/>
  <c r="S47" i="8"/>
  <c r="R47" i="8" a="1"/>
  <c r="R47" i="8" s="1"/>
  <c r="Q47" i="8" a="1"/>
  <c r="Q47" i="8"/>
  <c r="P47" i="8" a="1"/>
  <c r="P47" i="8"/>
  <c r="X46" i="8" a="1"/>
  <c r="X46" i="8" s="1"/>
  <c r="W46" i="8" a="1"/>
  <c r="W46" i="8" s="1"/>
  <c r="V46" i="8" a="1"/>
  <c r="V46" i="8"/>
  <c r="U46" i="8" a="1"/>
  <c r="U46" i="8"/>
  <c r="T46" i="8" a="1"/>
  <c r="T46" i="8" s="1"/>
  <c r="S46" i="8" a="1"/>
  <c r="S46" i="8"/>
  <c r="R46" i="8" a="1"/>
  <c r="R46" i="8" s="1"/>
  <c r="Q46" i="8" a="1"/>
  <c r="Q46" i="8"/>
  <c r="P46" i="8" a="1"/>
  <c r="P46" i="8"/>
  <c r="X45" i="8" a="1"/>
  <c r="X45" i="8"/>
  <c r="W45" i="8" a="1"/>
  <c r="W45" i="8" s="1"/>
  <c r="V45" i="8" a="1"/>
  <c r="V45" i="8" s="1"/>
  <c r="U45" i="8" a="1"/>
  <c r="U45" i="8" s="1"/>
  <c r="T45" i="8" a="1"/>
  <c r="T45" i="8" s="1"/>
  <c r="S45" i="8" a="1"/>
  <c r="S45" i="8"/>
  <c r="R45" i="8" a="1"/>
  <c r="R45" i="8"/>
  <c r="Q45" i="8" a="1"/>
  <c r="Q45" i="8" s="1"/>
  <c r="P45" i="8" a="1"/>
  <c r="P45" i="8" s="1"/>
  <c r="X44" i="8" a="1"/>
  <c r="X44" i="8" s="1"/>
  <c r="W44" i="8" a="1"/>
  <c r="W44" i="8"/>
  <c r="V44" i="8" a="1"/>
  <c r="V44" i="8" s="1"/>
  <c r="U44" i="8" a="1"/>
  <c r="U44" i="8"/>
  <c r="T44" i="8" a="1"/>
  <c r="T44" i="8" s="1"/>
  <c r="S44" i="8" a="1"/>
  <c r="S44" i="8"/>
  <c r="R44" i="8" a="1"/>
  <c r="R44" i="8"/>
  <c r="Q44" i="8" a="1"/>
  <c r="Q44" i="8" s="1"/>
  <c r="P44" i="8" a="1"/>
  <c r="P44" i="8"/>
  <c r="X43" i="8" a="1"/>
  <c r="X43" i="8" s="1"/>
  <c r="W43" i="8" a="1"/>
  <c r="W43" i="8" s="1"/>
  <c r="V43" i="8" a="1"/>
  <c r="V43" i="8"/>
  <c r="U43" i="8" a="1"/>
  <c r="U43" i="8" s="1"/>
  <c r="T43" i="8" a="1"/>
  <c r="T43" i="8"/>
  <c r="S43" i="8" a="1"/>
  <c r="S43" i="8" s="1"/>
  <c r="R43" i="8" a="1"/>
  <c r="R43" i="8" s="1"/>
  <c r="Q43" i="8" a="1"/>
  <c r="Q43" i="8" s="1"/>
  <c r="P43" i="8" a="1"/>
  <c r="P43" i="8"/>
  <c r="X42" i="8" a="1"/>
  <c r="X42" i="8" s="1"/>
  <c r="W42" i="8" a="1"/>
  <c r="W42" i="8"/>
  <c r="V42" i="8" a="1"/>
  <c r="V42" i="8" s="1"/>
  <c r="U42" i="8" a="1"/>
  <c r="U42" i="8"/>
  <c r="T42" i="8" a="1"/>
  <c r="T42" i="8" s="1"/>
  <c r="S42" i="8" a="1"/>
  <c r="S42" i="8"/>
  <c r="R42" i="8" a="1"/>
  <c r="R42" i="8" s="1"/>
  <c r="Q42" i="8" a="1"/>
  <c r="Q42" i="8" s="1"/>
  <c r="P42" i="8" a="1"/>
  <c r="P42" i="8" s="1"/>
  <c r="X41" i="8" a="1"/>
  <c r="X41" i="8" s="1"/>
  <c r="W41" i="8" a="1"/>
  <c r="W41" i="8"/>
  <c r="V41" i="8" a="1"/>
  <c r="V41" i="8"/>
  <c r="U41" i="8" a="1"/>
  <c r="U41" i="8" s="1"/>
  <c r="T41" i="8" a="1"/>
  <c r="T41" i="8" s="1"/>
  <c r="S41" i="8" a="1"/>
  <c r="S41" i="8" s="1"/>
  <c r="R41" i="8" a="1"/>
  <c r="R41" i="8"/>
  <c r="Q41" i="8" a="1"/>
  <c r="Q41" i="8" s="1"/>
  <c r="P41" i="8" a="1"/>
  <c r="P41" i="8"/>
  <c r="X40" i="8" a="1"/>
  <c r="X40" i="8" s="1"/>
  <c r="W40" i="8" a="1"/>
  <c r="W40" i="8"/>
  <c r="V40" i="8" a="1"/>
  <c r="V40" i="8"/>
  <c r="U40" i="8" a="1"/>
  <c r="U40" i="8" s="1"/>
  <c r="T40" i="8" a="1"/>
  <c r="T40" i="8"/>
  <c r="S40" i="8" a="1"/>
  <c r="S40" i="8"/>
  <c r="R40" i="8" a="1"/>
  <c r="R40" i="8" s="1"/>
  <c r="Q40" i="8" a="1"/>
  <c r="Q40" i="8"/>
  <c r="P40" i="8" a="1"/>
  <c r="P40" i="8" s="1"/>
  <c r="X39" i="8" a="1"/>
  <c r="X39" i="8" s="1"/>
  <c r="W39" i="8" a="1"/>
  <c r="W39" i="8"/>
  <c r="V39" i="8" a="1"/>
  <c r="V39" i="8" s="1"/>
  <c r="U39" i="8" a="1"/>
  <c r="U39" i="8" s="1"/>
  <c r="T39" i="8" a="1"/>
  <c r="T39" i="8"/>
  <c r="S39" i="8" a="1"/>
  <c r="S39" i="8"/>
  <c r="R39" i="8" a="1"/>
  <c r="R39" i="8" s="1"/>
  <c r="Q39" i="8" a="1"/>
  <c r="Q39" i="8"/>
  <c r="P39" i="8" a="1"/>
  <c r="P39" i="8" s="1"/>
  <c r="X38" i="8" a="1"/>
  <c r="X38" i="8" s="1"/>
  <c r="W38" i="8" a="1"/>
  <c r="W38" i="8" s="1"/>
  <c r="V38" i="8" a="1"/>
  <c r="V38" i="8"/>
  <c r="U38" i="8" a="1"/>
  <c r="U38" i="8" s="1"/>
  <c r="T38" i="8" a="1"/>
  <c r="T38" i="8" s="1"/>
  <c r="S38" i="8" a="1"/>
  <c r="S38" i="8" s="1"/>
  <c r="R38" i="8" a="1"/>
  <c r="R38" i="8" s="1"/>
  <c r="Q38" i="8" a="1"/>
  <c r="Q38" i="8"/>
  <c r="P38" i="8" a="1"/>
  <c r="P38" i="8"/>
  <c r="X37" i="8" a="1"/>
  <c r="X37" i="8" s="1"/>
  <c r="W37" i="8" a="1"/>
  <c r="W37" i="8"/>
  <c r="V37" i="8" a="1"/>
  <c r="V37" i="8" s="1"/>
  <c r="U37" i="8" a="1"/>
  <c r="U37" i="8" s="1"/>
  <c r="T37" i="8" a="1"/>
  <c r="T37" i="8" s="1"/>
  <c r="S37" i="8" a="1"/>
  <c r="S37" i="8"/>
  <c r="R37" i="8" a="1"/>
  <c r="R37" i="8" s="1"/>
  <c r="Q37" i="8" a="1"/>
  <c r="Q37" i="8"/>
  <c r="P37" i="8" a="1"/>
  <c r="P37" i="8"/>
  <c r="X36" i="8" a="1"/>
  <c r="X36" i="8"/>
  <c r="W36" i="8" a="1"/>
  <c r="W36" i="8"/>
  <c r="V36" i="8" a="1"/>
  <c r="V36" i="8" s="1"/>
  <c r="U36" i="8" a="1"/>
  <c r="U36" i="8" s="1"/>
  <c r="T36" i="8" a="1"/>
  <c r="T36" i="8"/>
  <c r="S36" i="8" a="1"/>
  <c r="S36" i="8" s="1"/>
  <c r="R36" i="8" a="1"/>
  <c r="R36" i="8"/>
  <c r="Q36" i="8" a="1"/>
  <c r="Q36" i="8" s="1"/>
  <c r="P36" i="8" a="1"/>
  <c r="P36" i="8" s="1"/>
  <c r="X35" i="8" a="1"/>
  <c r="X35" i="8"/>
  <c r="W35" i="8" a="1"/>
  <c r="W35" i="8" s="1"/>
  <c r="V35" i="8" a="1"/>
  <c r="V35" i="8" s="1"/>
  <c r="U35" i="8" a="1"/>
  <c r="U35" i="8"/>
  <c r="T35" i="8" a="1"/>
  <c r="T35" i="8" s="1"/>
  <c r="S35" i="8" a="1"/>
  <c r="S35" i="8"/>
  <c r="R35" i="8" a="1"/>
  <c r="R35" i="8" s="1"/>
  <c r="Q35" i="8" a="1"/>
  <c r="Q35" i="8"/>
  <c r="P35" i="8" a="1"/>
  <c r="P35" i="8" s="1"/>
  <c r="X34" i="8" a="1"/>
  <c r="X34" i="8" s="1"/>
  <c r="W34" i="8" a="1"/>
  <c r="W34" i="8"/>
  <c r="V34" i="8" a="1"/>
  <c r="V34" i="8" s="1"/>
  <c r="U34" i="8" a="1"/>
  <c r="U34" i="8"/>
  <c r="T34" i="8" a="1"/>
  <c r="T34" i="8" s="1"/>
  <c r="S34" i="8" a="1"/>
  <c r="S34" i="8" s="1"/>
  <c r="R34" i="8" a="1"/>
  <c r="R34" i="8" s="1"/>
  <c r="Q34" i="8" a="1"/>
  <c r="Q34" i="8" s="1"/>
  <c r="P34" i="8" a="1"/>
  <c r="P34" i="8"/>
  <c r="X33" i="8" a="1"/>
  <c r="X33" i="8"/>
  <c r="W33" i="8" a="1"/>
  <c r="W33" i="8"/>
  <c r="V33" i="8" a="1"/>
  <c r="V33" i="8" s="1"/>
  <c r="U33" i="8" a="1"/>
  <c r="U33" i="8"/>
  <c r="T33" i="8" a="1"/>
  <c r="T33" i="8"/>
  <c r="S33" i="8" a="1"/>
  <c r="S33" i="8" s="1"/>
  <c r="R33" i="8" a="1"/>
  <c r="R33" i="8"/>
  <c r="Q33" i="8" a="1"/>
  <c r="Q33" i="8" s="1"/>
  <c r="P33" i="8" a="1"/>
  <c r="P33" i="8" s="1"/>
  <c r="X32" i="8" a="1"/>
  <c r="X32" i="8" s="1"/>
  <c r="W32" i="8" a="1"/>
  <c r="W32" i="8"/>
  <c r="V32" i="8" a="1"/>
  <c r="V32" i="8" s="1"/>
  <c r="U32" i="8" a="1"/>
  <c r="U32" i="8"/>
  <c r="T32" i="8" a="1"/>
  <c r="T32" i="8" s="1"/>
  <c r="S32" i="8" a="1"/>
  <c r="S32" i="8" s="1"/>
  <c r="R32" i="8" a="1"/>
  <c r="R32" i="8"/>
  <c r="Q32" i="8" a="1"/>
  <c r="Q32" i="8"/>
  <c r="P32" i="8" a="1"/>
  <c r="P32" i="8" s="1"/>
  <c r="X31" i="8" a="1"/>
  <c r="X31" i="8" s="1"/>
  <c r="W31" i="8" a="1"/>
  <c r="W31" i="8" s="1"/>
  <c r="V31" i="8" a="1"/>
  <c r="V31" i="8"/>
  <c r="U31" i="8" a="1"/>
  <c r="U31" i="8" s="1"/>
  <c r="T31" i="8" a="1"/>
  <c r="T31" i="8"/>
  <c r="S31" i="8" a="1"/>
  <c r="S31" i="8" s="1"/>
  <c r="R31" i="8" a="1"/>
  <c r="R31" i="8" s="1"/>
  <c r="Q31" i="8" a="1"/>
  <c r="Q31" i="8"/>
  <c r="P31" i="8" a="1"/>
  <c r="P31" i="8" s="1"/>
  <c r="X30" i="8" a="1"/>
  <c r="X30" i="8"/>
  <c r="W30" i="8" a="1"/>
  <c r="W30" i="8" s="1"/>
  <c r="V30" i="8" a="1"/>
  <c r="V30" i="8" s="1"/>
  <c r="U30" i="8" a="1"/>
  <c r="U30" i="8"/>
  <c r="T30" i="8" a="1"/>
  <c r="T30" i="8" s="1"/>
  <c r="S30" i="8" a="1"/>
  <c r="S30" i="8"/>
  <c r="R30" i="8" a="1"/>
  <c r="R30" i="8" s="1"/>
  <c r="Q30" i="8" a="1"/>
  <c r="Q30" i="8"/>
  <c r="P30" i="8" a="1"/>
  <c r="P30" i="8" s="1"/>
  <c r="X29" i="8" a="1"/>
  <c r="X29" i="8"/>
  <c r="W29" i="8" a="1"/>
  <c r="W29" i="8" s="1"/>
  <c r="V29" i="8" a="1"/>
  <c r="V29" i="8"/>
  <c r="U29" i="8" a="1"/>
  <c r="U29" i="8"/>
  <c r="T29" i="8" a="1"/>
  <c r="T29" i="8" s="1"/>
  <c r="S29" i="8" a="1"/>
  <c r="S29" i="8" s="1"/>
  <c r="R29" i="8" a="1"/>
  <c r="R29" i="8"/>
  <c r="Q29" i="8" a="1"/>
  <c r="Q29" i="8" s="1"/>
  <c r="P29" i="8" a="1"/>
  <c r="P29" i="8"/>
  <c r="X28" i="8" a="1"/>
  <c r="X28" i="8" s="1"/>
  <c r="W28" i="8" a="1"/>
  <c r="W28" i="8" s="1"/>
  <c r="V28" i="8" a="1"/>
  <c r="V28" i="8"/>
  <c r="U28" i="8" a="1"/>
  <c r="U28" i="8"/>
  <c r="T28" i="8" a="1"/>
  <c r="T28" i="8" s="1"/>
  <c r="S28" i="8" a="1"/>
  <c r="S28" i="8"/>
  <c r="R28" i="8" a="1"/>
  <c r="R28" i="8" s="1"/>
  <c r="Q28" i="8" a="1"/>
  <c r="Q28" i="8"/>
  <c r="P28" i="8" a="1"/>
  <c r="P28" i="8" s="1"/>
  <c r="X27" i="8" a="1"/>
  <c r="X27" i="8"/>
  <c r="W27" i="8" a="1"/>
  <c r="W27" i="8"/>
  <c r="V27" i="8" a="1"/>
  <c r="V27" i="8" s="1"/>
  <c r="U27" i="8" a="1"/>
  <c r="U27" i="8"/>
  <c r="T27" i="8" a="1"/>
  <c r="T27" i="8" s="1"/>
  <c r="S27" i="8" a="1"/>
  <c r="S27" i="8"/>
  <c r="R27" i="8" a="1"/>
  <c r="R27" i="8" s="1"/>
  <c r="Q27" i="8" a="1"/>
  <c r="Q27" i="8" s="1"/>
  <c r="P27" i="8" a="1"/>
  <c r="P27" i="8" s="1"/>
  <c r="X26" i="8" a="1"/>
  <c r="X26" i="8" s="1"/>
  <c r="W26" i="8" a="1"/>
  <c r="W26" i="8"/>
  <c r="V26" i="8" a="1"/>
  <c r="V26" i="8"/>
  <c r="U26" i="8" a="1"/>
  <c r="U26" i="8"/>
  <c r="T26" i="8" a="1"/>
  <c r="T26" i="8" s="1"/>
  <c r="S26" i="8" a="1"/>
  <c r="S26" i="8"/>
  <c r="R26" i="8" a="1"/>
  <c r="R26" i="8"/>
  <c r="Q26" i="8" a="1"/>
  <c r="Q26" i="8" s="1"/>
  <c r="P26" i="8" a="1"/>
  <c r="P26" i="8"/>
  <c r="X25" i="8" a="1"/>
  <c r="X25" i="8" s="1"/>
  <c r="W25" i="8" a="1"/>
  <c r="W25" i="8"/>
  <c r="V25" i="8" a="1"/>
  <c r="V25" i="8" s="1"/>
  <c r="U25" i="8" a="1"/>
  <c r="U25" i="8" s="1"/>
  <c r="T25" i="8" a="1"/>
  <c r="T25" i="8" s="1"/>
  <c r="S25" i="8" a="1"/>
  <c r="S25" i="8"/>
  <c r="R25" i="8" a="1"/>
  <c r="R25" i="8" s="1"/>
  <c r="Q25" i="8" a="1"/>
  <c r="Q25" i="8" s="1"/>
  <c r="P25" i="8" a="1"/>
  <c r="P25" i="8"/>
  <c r="X24" i="8" a="1"/>
  <c r="X24" i="8" s="1"/>
  <c r="W24" i="8" a="1"/>
  <c r="W24" i="8"/>
  <c r="V24" i="8" a="1"/>
  <c r="V24" i="8" s="1"/>
  <c r="U24" i="8" a="1"/>
  <c r="U24" i="8" s="1"/>
  <c r="T24" i="8" a="1"/>
  <c r="T24" i="8"/>
  <c r="S24" i="8" a="1"/>
  <c r="S24" i="8" s="1"/>
  <c r="R24" i="8" a="1"/>
  <c r="R24" i="8" s="1"/>
  <c r="Q24" i="8" a="1"/>
  <c r="Q24" i="8" s="1"/>
  <c r="P24" i="8" a="1"/>
  <c r="P24" i="8" s="1"/>
  <c r="X23" i="8" a="1"/>
  <c r="X23" i="8" s="1"/>
  <c r="W23" i="8" a="1"/>
  <c r="W23" i="8"/>
  <c r="V23" i="8" a="1"/>
  <c r="V23" i="8"/>
  <c r="U23" i="8" a="1"/>
  <c r="U23" i="8" s="1"/>
  <c r="T23" i="8" a="1"/>
  <c r="T23" i="8" s="1"/>
  <c r="S23" i="8" a="1"/>
  <c r="S23" i="8"/>
  <c r="R23" i="8" a="1"/>
  <c r="R23" i="8"/>
  <c r="Q23" i="8" a="1"/>
  <c r="Q23" i="8"/>
  <c r="P23" i="8" a="1"/>
  <c r="P23" i="8" s="1"/>
  <c r="X22" i="8" a="1"/>
  <c r="X22" i="8" s="1"/>
  <c r="W22" i="8" a="1"/>
  <c r="W22" i="8"/>
  <c r="V22" i="8" a="1"/>
  <c r="V22" i="8"/>
  <c r="U22" i="8" a="1"/>
  <c r="U22" i="8" s="1"/>
  <c r="T22" i="8" a="1"/>
  <c r="T22" i="8"/>
  <c r="S22" i="8" a="1"/>
  <c r="S22" i="8"/>
  <c r="R22" i="8" a="1"/>
  <c r="R22" i="8" s="1"/>
  <c r="Q22" i="8" a="1"/>
  <c r="Q22" i="8" s="1"/>
  <c r="P22" i="8" a="1"/>
  <c r="P22" i="8"/>
  <c r="X21" i="8" a="1"/>
  <c r="X21" i="8"/>
  <c r="W21" i="8" a="1"/>
  <c r="W21" i="8" s="1"/>
  <c r="V21" i="8" a="1"/>
  <c r="V21" i="8" s="1"/>
  <c r="U21" i="8" a="1"/>
  <c r="U21" i="8" s="1"/>
  <c r="T21" i="8" a="1"/>
  <c r="T21" i="8"/>
  <c r="S21" i="8" a="1"/>
  <c r="S21" i="8" s="1"/>
  <c r="R21" i="8" a="1"/>
  <c r="R21" i="8" s="1"/>
  <c r="Q21" i="8" a="1"/>
  <c r="Q21" i="8"/>
  <c r="P21" i="8" a="1"/>
  <c r="P21" i="8" s="1"/>
  <c r="X20" i="8" a="1"/>
  <c r="X20" i="8" s="1"/>
  <c r="W20" i="8" a="1"/>
  <c r="W20" i="8"/>
  <c r="V20" i="8" a="1"/>
  <c r="V20" i="8"/>
  <c r="U20" i="8" a="1"/>
  <c r="U20" i="8"/>
  <c r="T20" i="8" a="1"/>
  <c r="T20" i="8" s="1"/>
  <c r="S20" i="8" a="1"/>
  <c r="S20" i="8"/>
  <c r="R20" i="8" a="1"/>
  <c r="R20" i="8" s="1"/>
  <c r="Q20" i="8" a="1"/>
  <c r="Q20" i="8"/>
  <c r="P20" i="8" a="1"/>
  <c r="P20" i="8"/>
  <c r="X19" i="8" a="1"/>
  <c r="X19" i="8" s="1"/>
  <c r="W19" i="8" a="1"/>
  <c r="W19" i="8" s="1"/>
  <c r="V19" i="8" a="1"/>
  <c r="V19" i="8"/>
  <c r="U19" i="8" a="1"/>
  <c r="U19" i="8" s="1"/>
  <c r="T19" i="8" a="1"/>
  <c r="T19" i="8"/>
  <c r="S19" i="8" a="1"/>
  <c r="S19" i="8"/>
  <c r="R19" i="8" a="1"/>
  <c r="R19" i="8" s="1"/>
  <c r="Q19" i="8" a="1"/>
  <c r="Q19" i="8" s="1"/>
  <c r="P19" i="8" a="1"/>
  <c r="P19" i="8"/>
  <c r="X18" i="8" a="1"/>
  <c r="X18" i="8"/>
  <c r="W18" i="8" a="1"/>
  <c r="W18" i="8" s="1"/>
  <c r="V18" i="8" a="1"/>
  <c r="V18" i="8" s="1"/>
  <c r="U18" i="8" a="1"/>
  <c r="U18" i="8" s="1"/>
  <c r="T18" i="8" a="1"/>
  <c r="T18" i="8"/>
  <c r="S18" i="8" a="1"/>
  <c r="S18" i="8" s="1"/>
  <c r="R18" i="8" a="1"/>
  <c r="R18" i="8"/>
  <c r="Q18" i="8" a="1"/>
  <c r="Q18" i="8" s="1"/>
  <c r="P18" i="8" a="1"/>
  <c r="P18" i="8" s="1"/>
  <c r="X17" i="8" a="1"/>
  <c r="X17" i="8" s="1"/>
  <c r="W17" i="8" a="1"/>
  <c r="W17" i="8" s="1"/>
  <c r="V17" i="8" a="1"/>
  <c r="V17" i="8"/>
  <c r="U17" i="8" a="1"/>
  <c r="U17" i="8"/>
  <c r="T17" i="8" a="1"/>
  <c r="T17" i="8" s="1"/>
  <c r="S17" i="8" a="1"/>
  <c r="S17" i="8" s="1"/>
  <c r="R17" i="8" a="1"/>
  <c r="R17" i="8"/>
  <c r="Q17" i="8" a="1"/>
  <c r="Q17" i="8" s="1"/>
  <c r="P17" i="8" a="1"/>
  <c r="P17" i="8"/>
  <c r="X16" i="8" a="1"/>
  <c r="X16" i="8" s="1"/>
  <c r="W16" i="8" a="1"/>
  <c r="W16" i="8" s="1"/>
  <c r="V16" i="8" a="1"/>
  <c r="V16" i="8" s="1"/>
  <c r="U16" i="8" a="1"/>
  <c r="U16" i="8" s="1"/>
  <c r="T16" i="8" a="1"/>
  <c r="T16" i="8"/>
  <c r="S16" i="8" a="1"/>
  <c r="S16" i="8" s="1"/>
  <c r="R16" i="8" a="1"/>
  <c r="R16" i="8" s="1"/>
  <c r="Q16" i="8" a="1"/>
  <c r="Q16" i="8" s="1"/>
  <c r="P16" i="8" a="1"/>
  <c r="P16" i="8"/>
  <c r="X15" i="8" a="1"/>
  <c r="X15" i="8" s="1"/>
  <c r="W15" i="8" a="1"/>
  <c r="W15" i="8" s="1"/>
  <c r="V15" i="8" a="1"/>
  <c r="V15" i="8" s="1"/>
  <c r="U15" i="8" a="1"/>
  <c r="U15" i="8"/>
  <c r="T15" i="8" a="1"/>
  <c r="T15" i="8" s="1"/>
  <c r="S15" i="8" a="1"/>
  <c r="S15" i="8"/>
  <c r="R15" i="8" a="1"/>
  <c r="R15" i="8"/>
  <c r="Q15" i="8" a="1"/>
  <c r="Q15" i="8" s="1"/>
  <c r="P15" i="8" a="1"/>
  <c r="P15" i="8" s="1"/>
  <c r="X14" i="8" a="1"/>
  <c r="X14" i="8" s="1"/>
  <c r="W14" i="8" a="1"/>
  <c r="W14" i="8"/>
  <c r="V14" i="8" a="1"/>
  <c r="V14" i="8"/>
  <c r="U14" i="8" a="1"/>
  <c r="U14" i="8" s="1"/>
  <c r="T14" i="8" a="1"/>
  <c r="T14" i="8" s="1"/>
  <c r="S14" i="8" a="1"/>
  <c r="S14" i="8" s="1"/>
  <c r="R14" i="8" a="1"/>
  <c r="R14" i="8" s="1"/>
  <c r="Q14" i="8" a="1"/>
  <c r="Q14" i="8"/>
  <c r="P14" i="8" a="1"/>
  <c r="P14" i="8"/>
  <c r="AZ13" i="8" a="1"/>
  <c r="AZ13" i="8" s="1"/>
  <c r="X13" i="8" a="1"/>
  <c r="X13" i="8" s="1"/>
  <c r="W13" i="8" a="1"/>
  <c r="W13" i="8" s="1"/>
  <c r="V13" i="8" a="1"/>
  <c r="V13" i="8" s="1"/>
  <c r="U13" i="8" a="1"/>
  <c r="U13" i="8" s="1"/>
  <c r="T13" i="8" a="1"/>
  <c r="T13" i="8"/>
  <c r="S13" i="8" a="1"/>
  <c r="S13" i="8" s="1"/>
  <c r="R13" i="8" a="1"/>
  <c r="R13" i="8" s="1"/>
  <c r="Q13" i="8" a="1"/>
  <c r="Q13" i="8" s="1"/>
  <c r="P13" i="8" a="1"/>
  <c r="P13" i="8"/>
  <c r="AZ12" i="8" a="1"/>
  <c r="AZ12" i="8" s="1"/>
  <c r="X12" i="8" a="1"/>
  <c r="X12" i="8" s="1"/>
  <c r="W12" i="8" a="1"/>
  <c r="W12" i="8"/>
  <c r="V12" i="8" a="1"/>
  <c r="V12" i="8" s="1"/>
  <c r="U12" i="8" a="1"/>
  <c r="U12" i="8" s="1"/>
  <c r="T12" i="8" a="1"/>
  <c r="T12" i="8" s="1"/>
  <c r="S12" i="8" a="1"/>
  <c r="S12" i="8"/>
  <c r="R12" i="8" a="1"/>
  <c r="R12" i="8" s="1"/>
  <c r="Q12" i="8" a="1"/>
  <c r="Q12" i="8"/>
  <c r="P12" i="8" a="1"/>
  <c r="P12" i="8"/>
  <c r="AZ11" i="8" a="1"/>
  <c r="AZ11" i="8" s="1"/>
  <c r="X11" i="8" a="1"/>
  <c r="X11" i="8" s="1"/>
  <c r="W11" i="8" a="1"/>
  <c r="W11" i="8" s="1"/>
  <c r="V11" i="8" a="1"/>
  <c r="V11" i="8" s="1"/>
  <c r="U11" i="8" a="1"/>
  <c r="U11" i="8" s="1"/>
  <c r="T11" i="8" a="1"/>
  <c r="T11" i="8"/>
  <c r="S11" i="8" a="1"/>
  <c r="S11" i="8"/>
  <c r="R11" i="8" a="1"/>
  <c r="R11" i="8" s="1"/>
  <c r="Q11" i="8" a="1"/>
  <c r="Q11" i="8" s="1"/>
  <c r="P11" i="8" a="1"/>
  <c r="P11" i="8" s="1"/>
  <c r="AZ10" i="8" a="1"/>
  <c r="AZ10" i="8" s="1"/>
  <c r="X10" i="8" a="1"/>
  <c r="X10" i="8" s="1"/>
  <c r="W10" i="8" a="1"/>
  <c r="W10" i="8"/>
  <c r="V10" i="8" a="1"/>
  <c r="V10" i="8" s="1"/>
  <c r="U10" i="8" a="1"/>
  <c r="U10" i="8" s="1"/>
  <c r="T10" i="8" a="1"/>
  <c r="T10" i="8" s="1"/>
  <c r="S10" i="8" a="1"/>
  <c r="S10" i="8"/>
  <c r="R10" i="8" a="1"/>
  <c r="R10" i="8" s="1"/>
  <c r="Q10" i="8" a="1"/>
  <c r="Q10" i="8"/>
  <c r="P10" i="8" a="1"/>
  <c r="P10" i="8" s="1"/>
  <c r="AZ9" i="8" a="1"/>
  <c r="AZ9" i="8"/>
  <c r="X9" i="8" a="1"/>
  <c r="X9" i="8" s="1"/>
  <c r="W9" i="8" a="1"/>
  <c r="W9" i="8" s="1"/>
  <c r="V9" i="8" a="1"/>
  <c r="V9" i="8" s="1"/>
  <c r="U9" i="8" a="1"/>
  <c r="U9" i="8"/>
  <c r="T9" i="8" a="1"/>
  <c r="T9" i="8" s="1"/>
  <c r="S9" i="8" a="1"/>
  <c r="S9" i="8"/>
  <c r="R9" i="8" a="1"/>
  <c r="R9" i="8"/>
  <c r="Q9" i="8" a="1"/>
  <c r="Q9" i="8" s="1"/>
  <c r="P9" i="8" a="1"/>
  <c r="P9" i="8" s="1"/>
  <c r="AZ8" i="8" a="1"/>
  <c r="AZ8" i="8" s="1"/>
  <c r="X8" i="8" a="1"/>
  <c r="X8" i="8" s="1"/>
  <c r="W8" i="8" a="1"/>
  <c r="W8" i="8"/>
  <c r="V8" i="8" a="1"/>
  <c r="V8" i="8" s="1"/>
  <c r="U8" i="8" a="1"/>
  <c r="U8" i="8" s="1"/>
  <c r="T8" i="8" a="1"/>
  <c r="T8" i="8"/>
  <c r="S8" i="8" a="1"/>
  <c r="S8" i="8" s="1"/>
  <c r="R8" i="8" a="1"/>
  <c r="R8" i="8" s="1"/>
  <c r="Q8" i="8" a="1"/>
  <c r="Q8" i="8"/>
  <c r="P8" i="8" a="1"/>
  <c r="P8" i="8" s="1"/>
  <c r="AZ7" i="8" a="1"/>
  <c r="AZ7" i="8" s="1"/>
  <c r="X7" i="8" a="1"/>
  <c r="X7" i="8" s="1"/>
  <c r="W7" i="8" a="1"/>
  <c r="W7" i="8" s="1"/>
  <c r="V7" i="8" a="1"/>
  <c r="V7" i="8" s="1"/>
  <c r="U7" i="8" a="1"/>
  <c r="U7" i="8" s="1"/>
  <c r="T7" i="8" a="1"/>
  <c r="T7" i="8" s="1"/>
  <c r="S7" i="8" a="1"/>
  <c r="S7" i="8" s="1"/>
  <c r="R7" i="8" a="1"/>
  <c r="R7" i="8" s="1"/>
  <c r="Q7" i="8" a="1"/>
  <c r="Q7" i="8"/>
  <c r="P7" i="8" a="1"/>
  <c r="P7" i="8" s="1"/>
  <c r="AZ6" i="8" a="1"/>
  <c r="AZ6" i="8" s="1"/>
  <c r="X6" i="8" a="1"/>
  <c r="X6" i="8"/>
  <c r="W6" i="8" a="1"/>
  <c r="W6" i="8" s="1"/>
  <c r="V6" i="8" a="1"/>
  <c r="V6" i="8" s="1"/>
  <c r="U6" i="8" a="1"/>
  <c r="U6" i="8" s="1"/>
  <c r="T6" i="8" a="1"/>
  <c r="T6" i="8" s="1"/>
  <c r="S6" i="8" a="1"/>
  <c r="S6" i="8" s="1"/>
  <c r="R6" i="8" a="1"/>
  <c r="R6" i="8" s="1"/>
  <c r="Q6" i="8" a="1"/>
  <c r="Q6" i="8" s="1"/>
  <c r="P6" i="8" a="1"/>
  <c r="P6" i="8" s="1"/>
  <c r="AZ5" i="8" a="1"/>
  <c r="AZ5" i="8" s="1"/>
  <c r="X5" i="8" a="1"/>
  <c r="X5" i="8" s="1"/>
  <c r="W5" i="8" a="1"/>
  <c r="W5" i="8" s="1"/>
  <c r="V5" i="8" a="1"/>
  <c r="V5" i="8" s="1"/>
  <c r="U5" i="8" a="1"/>
  <c r="U5" i="8"/>
  <c r="T5" i="8" a="1"/>
  <c r="T5" i="8"/>
  <c r="S5" i="8" a="1"/>
  <c r="S5" i="8" s="1"/>
  <c r="R5" i="8" a="1"/>
  <c r="R5" i="8" s="1"/>
  <c r="Q5" i="8" a="1"/>
  <c r="Q5" i="8"/>
  <c r="P5" i="8" a="1"/>
  <c r="P5" i="8" s="1"/>
  <c r="AZ4" i="8" a="1"/>
  <c r="AZ4" i="8" s="1"/>
  <c r="X4" i="8" a="1"/>
  <c r="X4" i="8" s="1"/>
  <c r="W4" i="8" a="1"/>
  <c r="W4" i="8" s="1"/>
  <c r="V4" i="8" a="1"/>
  <c r="V4" i="8"/>
  <c r="U4" i="8" a="1"/>
  <c r="U4" i="8" s="1"/>
  <c r="T4" i="8" a="1"/>
  <c r="T4" i="8" s="1"/>
  <c r="S4" i="8" a="1"/>
  <c r="S4" i="8"/>
  <c r="R4" i="8" a="1"/>
  <c r="R4" i="8" s="1"/>
  <c r="Q4" i="8" a="1"/>
  <c r="Q4" i="8"/>
  <c r="P4" i="8" a="1"/>
  <c r="P4" i="8" s="1"/>
  <c r="AZ3" i="8" a="1"/>
  <c r="AZ3" i="8" s="1"/>
  <c r="X3" i="8" a="1"/>
  <c r="X3" i="8" s="1"/>
  <c r="W3" i="8" a="1"/>
  <c r="W3" i="8"/>
  <c r="V3" i="8" a="1"/>
  <c r="V3" i="8" s="1"/>
  <c r="U3" i="8" a="1"/>
  <c r="U3" i="8" s="1"/>
  <c r="T3" i="8" a="1"/>
  <c r="T3" i="8" s="1"/>
  <c r="S3" i="8" a="1"/>
  <c r="S3" i="8" s="1"/>
  <c r="R3" i="8" a="1"/>
  <c r="R3" i="8" s="1"/>
  <c r="Q3" i="8" a="1"/>
  <c r="Q3" i="8" s="1"/>
  <c r="P3" i="8" a="1"/>
  <c r="P3" i="8" s="1"/>
  <c r="AZ2" i="8" a="1"/>
  <c r="AZ2" i="8" s="1"/>
  <c r="X2" i="8" a="1"/>
  <c r="X2" i="8"/>
  <c r="W2" i="8" a="1"/>
  <c r="W2" i="8" s="1"/>
  <c r="V2" i="8" a="1"/>
  <c r="V2" i="8" s="1"/>
  <c r="U2" i="8" a="1"/>
  <c r="U2" i="8" s="1"/>
  <c r="T2" i="8" a="1"/>
  <c r="T2" i="8" s="1"/>
  <c r="S2" i="8" a="1"/>
  <c r="S2" i="8"/>
  <c r="R2" i="8" a="1"/>
  <c r="R2" i="8"/>
  <c r="Q2" i="8" a="1"/>
  <c r="Q2" i="8" s="1"/>
  <c r="P2" i="8" a="1"/>
  <c r="P2" i="8" s="1"/>
  <c r="AI1" i="8" a="1"/>
  <c r="AI1" i="8" s="1"/>
  <c r="AE1" i="8" a="1"/>
  <c r="AE1" i="8" s="1"/>
  <c r="X1" i="8" a="1"/>
  <c r="X1" i="8" s="1"/>
  <c r="AK1" i="8" s="1" a="1"/>
  <c r="AK1" i="8" s="1"/>
  <c r="W1" i="8" a="1"/>
  <c r="W1" i="8"/>
  <c r="AJ1" i="8" s="1" a="1"/>
  <c r="AJ1" i="8" s="1"/>
  <c r="V1" i="8" a="1"/>
  <c r="V1" i="8" s="1"/>
  <c r="U1" i="8" a="1"/>
  <c r="U1" i="8" s="1"/>
  <c r="AH1" i="8" s="1" a="1"/>
  <c r="AH1" i="8" s="1"/>
  <c r="T1" i="8" a="1"/>
  <c r="T1" i="8"/>
  <c r="AG1" i="8" s="1" a="1"/>
  <c r="AG1" i="8" s="1"/>
  <c r="S1" i="8" a="1"/>
  <c r="S1" i="8" s="1"/>
  <c r="AF1" i="8" s="1" a="1"/>
  <c r="AF1" i="8" s="1"/>
  <c r="R1" i="8" a="1"/>
  <c r="R1" i="8" s="1"/>
  <c r="Q1" i="8" a="1"/>
  <c r="Q1" i="8"/>
  <c r="AD1" i="8" s="1" a="1"/>
  <c r="AD1" i="8" s="1"/>
  <c r="K15" i="7" a="1"/>
  <c r="K15" i="7" s="1"/>
  <c r="J15" i="7" a="1"/>
  <c r="J15" i="7" s="1"/>
  <c r="K14" i="7" a="1"/>
  <c r="K14" i="7" s="1"/>
  <c r="J14" i="7" a="1"/>
  <c r="J14" i="7"/>
  <c r="K13" i="7" a="1"/>
  <c r="K13" i="7" s="1"/>
  <c r="J13" i="7" a="1"/>
  <c r="J13" i="7" s="1"/>
  <c r="K12" i="7" a="1"/>
  <c r="K12" i="7" s="1"/>
  <c r="J12" i="7" a="1"/>
  <c r="J12" i="7" s="1"/>
  <c r="S11" i="7" a="1"/>
  <c r="S11" i="7" s="1"/>
  <c r="R11" i="7" a="1"/>
  <c r="R11" i="7" s="1"/>
  <c r="K9" i="7" a="1"/>
  <c r="K9" i="7"/>
  <c r="J9" i="7" a="1"/>
  <c r="J9" i="7" s="1"/>
  <c r="K8" i="7" a="1"/>
  <c r="K8" i="7" s="1"/>
  <c r="J8" i="7" a="1"/>
  <c r="J8" i="7" s="1"/>
  <c r="S7" i="7" a="1"/>
  <c r="S7" i="7" s="1"/>
  <c r="R7" i="7" a="1"/>
  <c r="R7" i="7" s="1"/>
  <c r="K7" i="7" a="1"/>
  <c r="K7" i="7"/>
  <c r="J7" i="7" a="1"/>
  <c r="J7" i="7"/>
  <c r="K6" i="7" a="1"/>
  <c r="K6" i="7" s="1"/>
  <c r="J6" i="7" a="1"/>
  <c r="J6" i="7" s="1"/>
  <c r="K5" i="7" a="1"/>
  <c r="K5" i="7" s="1"/>
  <c r="J5" i="7" a="1"/>
  <c r="J5" i="7" s="1"/>
  <c r="K4" i="7" a="1"/>
  <c r="K4" i="7" s="1"/>
  <c r="J4" i="7" a="1"/>
  <c r="J4" i="7" s="1"/>
  <c r="S3" i="7" a="1"/>
  <c r="S3" i="7"/>
  <c r="R3" i="7" a="1"/>
  <c r="R3" i="7"/>
  <c r="K3" i="7" a="1"/>
  <c r="K3" i="7" s="1"/>
  <c r="J3" i="7" a="1"/>
  <c r="J3" i="7" s="1"/>
  <c r="S2" i="7" a="1"/>
  <c r="S2" i="7"/>
  <c r="R2" i="7" a="1"/>
  <c r="R2" i="7"/>
  <c r="K2" i="7" a="1"/>
  <c r="K2" i="7" s="1"/>
  <c r="J2" i="7" a="1"/>
  <c r="J2" i="7" s="1"/>
  <c r="D138" i="6" a="1"/>
  <c r="D138" i="6" s="1"/>
  <c r="C138" i="6" a="1"/>
  <c r="C138" i="6" s="1"/>
  <c r="D137" i="6" a="1"/>
  <c r="D137" i="6"/>
  <c r="C137" i="6" a="1"/>
  <c r="C137" i="6"/>
  <c r="D130" i="6" a="1"/>
  <c r="D130" i="6" s="1"/>
  <c r="C130" i="6" a="1"/>
  <c r="C130" i="6"/>
  <c r="K129" i="6"/>
  <c r="J129" i="6" a="1"/>
  <c r="J129" i="6" s="1"/>
  <c r="D129" i="6" a="1"/>
  <c r="D129" i="6" s="1"/>
  <c r="C129" i="6" a="1"/>
  <c r="C129" i="6"/>
  <c r="K129" i="6" s="1" a="1"/>
  <c r="D128" i="6" a="1"/>
  <c r="D128" i="6" s="1"/>
  <c r="C128" i="6" a="1"/>
  <c r="C128" i="6" s="1"/>
  <c r="D127" i="6" a="1"/>
  <c r="D127" i="6" s="1"/>
  <c r="C127" i="6" a="1"/>
  <c r="C127" i="6" s="1"/>
  <c r="J126" i="6" a="1"/>
  <c r="J126" i="6" s="1"/>
  <c r="D126" i="6" a="1"/>
  <c r="D126" i="6" s="1"/>
  <c r="K126" i="6" s="1" a="1"/>
  <c r="K126" i="6" s="1"/>
  <c r="C126" i="6" a="1"/>
  <c r="C126" i="6" s="1"/>
  <c r="D125" i="6" a="1"/>
  <c r="D125" i="6" s="1"/>
  <c r="C125" i="6" a="1"/>
  <c r="C125" i="6" s="1"/>
  <c r="D124" i="6" a="1"/>
  <c r="D124" i="6" s="1"/>
  <c r="C124" i="6" a="1"/>
  <c r="C124" i="6"/>
  <c r="K123" i="6" a="1"/>
  <c r="K123" i="6" s="1"/>
  <c r="D123" i="6" a="1"/>
  <c r="D123" i="6" s="1"/>
  <c r="C123" i="6" a="1"/>
  <c r="C123" i="6"/>
  <c r="D122" i="6" a="1"/>
  <c r="D122" i="6" s="1"/>
  <c r="C122" i="6" a="1"/>
  <c r="C122" i="6" s="1"/>
  <c r="K121" i="6" a="1"/>
  <c r="K121" i="6" s="1"/>
  <c r="D121" i="6" a="1"/>
  <c r="D121" i="6"/>
  <c r="C121" i="6" a="1"/>
  <c r="C121" i="6"/>
  <c r="J120" i="6" a="1"/>
  <c r="J120" i="6" s="1"/>
  <c r="D120" i="6" a="1"/>
  <c r="D120" i="6" s="1"/>
  <c r="C120" i="6" a="1"/>
  <c r="C120" i="6"/>
  <c r="K119" i="6" a="1"/>
  <c r="K119" i="6" s="1"/>
  <c r="D119" i="6" a="1"/>
  <c r="D119" i="6" s="1"/>
  <c r="C119" i="6" a="1"/>
  <c r="C119" i="6"/>
  <c r="D118" i="6" a="1"/>
  <c r="D118" i="6"/>
  <c r="C118" i="6" a="1"/>
  <c r="C118" i="6" s="1"/>
  <c r="J117" i="6" a="1"/>
  <c r="J117" i="6" s="1"/>
  <c r="D117" i="6" a="1"/>
  <c r="D117" i="6" s="1"/>
  <c r="K117" i="6" s="1" a="1"/>
  <c r="K117" i="6" s="1"/>
  <c r="C117" i="6" a="1"/>
  <c r="C117" i="6"/>
  <c r="D116" i="6" a="1"/>
  <c r="D116" i="6" s="1"/>
  <c r="C116" i="6" a="1"/>
  <c r="C116" i="6" s="1"/>
  <c r="K115" i="6" a="1"/>
  <c r="K115" i="6" s="1"/>
  <c r="J115" i="6" a="1"/>
  <c r="J115" i="6" s="1"/>
  <c r="D115" i="6" a="1"/>
  <c r="D115" i="6"/>
  <c r="C115" i="6" a="1"/>
  <c r="C115" i="6" s="1"/>
  <c r="D114" i="6" a="1"/>
  <c r="D114" i="6" s="1"/>
  <c r="C114" i="6" a="1"/>
  <c r="C114" i="6"/>
  <c r="D113" i="6" a="1"/>
  <c r="D113" i="6" s="1"/>
  <c r="C113" i="6" a="1"/>
  <c r="C113" i="6" s="1"/>
  <c r="K112" i="6" a="1"/>
  <c r="K112" i="6" s="1"/>
  <c r="D112" i="6" a="1"/>
  <c r="D112" i="6"/>
  <c r="C112" i="6" a="1"/>
  <c r="C112" i="6"/>
  <c r="J111" i="6" a="1"/>
  <c r="J111" i="6" s="1"/>
  <c r="D111" i="6" a="1"/>
  <c r="D111" i="6" s="1"/>
  <c r="C111" i="6" a="1"/>
  <c r="C111" i="6"/>
  <c r="D110" i="6" a="1"/>
  <c r="D110" i="6" s="1"/>
  <c r="C110" i="6" a="1"/>
  <c r="C110" i="6"/>
  <c r="D109" i="6" a="1"/>
  <c r="D109" i="6" s="1"/>
  <c r="C109" i="6" a="1"/>
  <c r="C109" i="6" s="1"/>
  <c r="J108" i="6" a="1"/>
  <c r="J108" i="6" s="1"/>
  <c r="D108" i="6" a="1"/>
  <c r="D108" i="6" s="1"/>
  <c r="K108" i="6" s="1" a="1"/>
  <c r="K108" i="6" s="1"/>
  <c r="C108" i="6" a="1"/>
  <c r="C108" i="6"/>
  <c r="J107" i="6" a="1"/>
  <c r="J107" i="6" s="1"/>
  <c r="D107" i="6" a="1"/>
  <c r="D107" i="6" s="1"/>
  <c r="C107" i="6" a="1"/>
  <c r="C107" i="6" s="1"/>
  <c r="K106" i="6" a="1"/>
  <c r="K106" i="6" s="1"/>
  <c r="J106" i="6" a="1"/>
  <c r="J106" i="6" s="1"/>
  <c r="E106" i="6" a="1"/>
  <c r="E106" i="6"/>
  <c r="D106" i="6" a="1"/>
  <c r="D106" i="6"/>
  <c r="C106" i="6" a="1"/>
  <c r="C106" i="6" s="1"/>
  <c r="B106" i="6" a="1"/>
  <c r="B106" i="6" s="1"/>
  <c r="A106" i="6" a="1"/>
  <c r="A106" i="6"/>
  <c r="E105" i="6" a="1"/>
  <c r="E105" i="6" s="1"/>
  <c r="D105" i="6" a="1"/>
  <c r="D105" i="6"/>
  <c r="C105" i="6" a="1"/>
  <c r="C105" i="6" s="1"/>
  <c r="B105" i="6" a="1"/>
  <c r="B105" i="6" s="1"/>
  <c r="A105" i="6" a="1"/>
  <c r="A105" i="6" s="1"/>
  <c r="E104" i="6" a="1"/>
  <c r="E104" i="6" s="1"/>
  <c r="D104" i="6" a="1"/>
  <c r="D104" i="6" s="1"/>
  <c r="I104" i="6" s="1" a="1"/>
  <c r="I104" i="6" s="1"/>
  <c r="C104" i="6" a="1"/>
  <c r="C104" i="6" s="1"/>
  <c r="B104" i="6" a="1"/>
  <c r="B104" i="6" s="1"/>
  <c r="A104" i="6" a="1"/>
  <c r="A104" i="6"/>
  <c r="L103" i="6" a="1"/>
  <c r="L103" i="6" s="1"/>
  <c r="K103" i="6" a="1"/>
  <c r="K103" i="6" s="1"/>
  <c r="E103" i="6" a="1"/>
  <c r="E103" i="6" s="1"/>
  <c r="D103" i="6" a="1"/>
  <c r="D103" i="6" s="1"/>
  <c r="C103" i="6" a="1"/>
  <c r="C103" i="6"/>
  <c r="B103" i="6" a="1"/>
  <c r="B103" i="6" s="1"/>
  <c r="A103" i="6" a="1"/>
  <c r="A103" i="6" s="1"/>
  <c r="E102" i="6" a="1"/>
  <c r="E102" i="6" s="1"/>
  <c r="D102" i="6" a="1"/>
  <c r="D102" i="6" s="1"/>
  <c r="C102" i="6" a="1"/>
  <c r="C102" i="6" s="1"/>
  <c r="B102" i="6" a="1"/>
  <c r="B102" i="6" s="1"/>
  <c r="A102" i="6" a="1"/>
  <c r="A102" i="6" s="1"/>
  <c r="E101" i="6" a="1"/>
  <c r="E101" i="6" s="1"/>
  <c r="D101" i="6" a="1"/>
  <c r="D101" i="6" s="1"/>
  <c r="C101" i="6" a="1"/>
  <c r="C101" i="6"/>
  <c r="B101" i="6" a="1"/>
  <c r="B101" i="6" s="1"/>
  <c r="A101" i="6" a="1"/>
  <c r="A101" i="6" s="1"/>
  <c r="E100" i="6" a="1"/>
  <c r="E100" i="6" s="1"/>
  <c r="D100" i="6" a="1"/>
  <c r="D100" i="6"/>
  <c r="C100" i="6" a="1"/>
  <c r="C100" i="6"/>
  <c r="B100" i="6" a="1"/>
  <c r="B100" i="6" s="1"/>
  <c r="A100" i="6" a="1"/>
  <c r="A100" i="6"/>
  <c r="I99" i="6" a="1"/>
  <c r="I99" i="6" s="1"/>
  <c r="E99" i="6" a="1"/>
  <c r="E99" i="6" s="1"/>
  <c r="D99" i="6" a="1"/>
  <c r="D99" i="6" s="1"/>
  <c r="C99" i="6" a="1"/>
  <c r="C99" i="6" s="1"/>
  <c r="B99" i="6" a="1"/>
  <c r="B99" i="6" s="1"/>
  <c r="A99" i="6" a="1"/>
  <c r="A99" i="6" s="1"/>
  <c r="J98" i="6" a="1"/>
  <c r="J98" i="6" s="1"/>
  <c r="E98" i="6" a="1"/>
  <c r="E98" i="6" s="1"/>
  <c r="K98" i="6" s="1" a="1"/>
  <c r="K98" i="6" s="1"/>
  <c r="D98" i="6" a="1"/>
  <c r="D98" i="6"/>
  <c r="C98" i="6" a="1"/>
  <c r="C98" i="6" s="1"/>
  <c r="B98" i="6" a="1"/>
  <c r="B98" i="6" s="1"/>
  <c r="A98" i="6" a="1"/>
  <c r="A98" i="6"/>
  <c r="E97" i="6" a="1"/>
  <c r="E97" i="6" s="1"/>
  <c r="D97" i="6" a="1"/>
  <c r="D97" i="6"/>
  <c r="C97" i="6" a="1"/>
  <c r="C97" i="6" s="1"/>
  <c r="B97" i="6" a="1"/>
  <c r="B97" i="6" s="1"/>
  <c r="A97" i="6" a="1"/>
  <c r="A97" i="6" s="1"/>
  <c r="I96" i="6" a="1"/>
  <c r="I96" i="6" s="1"/>
  <c r="E96" i="6" a="1"/>
  <c r="E96" i="6" s="1"/>
  <c r="D96" i="6" a="1"/>
  <c r="D96" i="6"/>
  <c r="C96" i="6" a="1"/>
  <c r="C96" i="6"/>
  <c r="L96" i="6" s="1" a="1"/>
  <c r="L96" i="6" s="1"/>
  <c r="B96" i="6" a="1"/>
  <c r="B96" i="6" s="1"/>
  <c r="J96" i="6" s="1" a="1"/>
  <c r="J96" i="6" s="1"/>
  <c r="A96" i="6" a="1"/>
  <c r="A96" i="6"/>
  <c r="L95" i="6" a="1"/>
  <c r="L95" i="6" s="1"/>
  <c r="K95" i="6" a="1"/>
  <c r="K95" i="6" s="1"/>
  <c r="E95" i="6" a="1"/>
  <c r="E95" i="6" s="1"/>
  <c r="D95" i="6" a="1"/>
  <c r="D95" i="6" s="1"/>
  <c r="C95" i="6" a="1"/>
  <c r="C95" i="6"/>
  <c r="B95" i="6" a="1"/>
  <c r="B95" i="6"/>
  <c r="A95" i="6" a="1"/>
  <c r="A95" i="6" s="1"/>
  <c r="E94" i="6" a="1"/>
  <c r="E94" i="6" s="1"/>
  <c r="D94" i="6" a="1"/>
  <c r="D94" i="6" s="1"/>
  <c r="C94" i="6" a="1"/>
  <c r="C94" i="6" s="1"/>
  <c r="B94" i="6" a="1"/>
  <c r="B94" i="6" s="1"/>
  <c r="A94" i="6" a="1"/>
  <c r="A94" i="6" s="1"/>
  <c r="E93" i="6" a="1"/>
  <c r="E93" i="6" s="1"/>
  <c r="D93" i="6" a="1"/>
  <c r="D93" i="6" s="1"/>
  <c r="C93" i="6" a="1"/>
  <c r="C93" i="6"/>
  <c r="B93" i="6" a="1"/>
  <c r="B93" i="6" s="1"/>
  <c r="A93" i="6" a="1"/>
  <c r="A93" i="6" s="1"/>
  <c r="E92" i="6" a="1"/>
  <c r="E92" i="6" s="1"/>
  <c r="D92" i="6" a="1"/>
  <c r="D92" i="6"/>
  <c r="C92" i="6" a="1"/>
  <c r="C92" i="6"/>
  <c r="B92" i="6" a="1"/>
  <c r="B92" i="6" s="1"/>
  <c r="A92" i="6" a="1"/>
  <c r="A92" i="6" s="1"/>
  <c r="I91" i="6" a="1"/>
  <c r="I91" i="6"/>
  <c r="E91" i="6" a="1"/>
  <c r="E91" i="6" s="1"/>
  <c r="D91" i="6" a="1"/>
  <c r="D91" i="6" s="1"/>
  <c r="C91" i="6" a="1"/>
  <c r="C91" i="6"/>
  <c r="B91" i="6" a="1"/>
  <c r="B91" i="6" s="1"/>
  <c r="A91" i="6" a="1"/>
  <c r="A91" i="6" s="1"/>
  <c r="K90" i="6" a="1"/>
  <c r="K90" i="6" s="1"/>
  <c r="J90" i="6" a="1"/>
  <c r="J90" i="6" s="1"/>
  <c r="E90" i="6" a="1"/>
  <c r="E90" i="6" s="1"/>
  <c r="D90" i="6" a="1"/>
  <c r="D90" i="6"/>
  <c r="C90" i="6" a="1"/>
  <c r="C90" i="6"/>
  <c r="B90" i="6" a="1"/>
  <c r="B90" i="6" s="1"/>
  <c r="A90" i="6" a="1"/>
  <c r="A90" i="6"/>
  <c r="E89" i="6" a="1"/>
  <c r="E89" i="6" s="1"/>
  <c r="D89" i="6" a="1"/>
  <c r="D89" i="6" s="1"/>
  <c r="I89" i="6" s="1" a="1"/>
  <c r="I89" i="6" s="1"/>
  <c r="C89" i="6" a="1"/>
  <c r="C89" i="6" s="1"/>
  <c r="B89" i="6" a="1"/>
  <c r="B89" i="6" s="1"/>
  <c r="A89" i="6" a="1"/>
  <c r="A89" i="6" s="1"/>
  <c r="E88" i="6" a="1"/>
  <c r="E88" i="6" s="1"/>
  <c r="D88" i="6" a="1"/>
  <c r="D88" i="6" s="1"/>
  <c r="C88" i="6" a="1"/>
  <c r="C88" i="6" s="1"/>
  <c r="B88" i="6" a="1"/>
  <c r="B88" i="6" s="1"/>
  <c r="A88" i="6" a="1"/>
  <c r="A88" i="6" s="1"/>
  <c r="K87" i="6" a="1"/>
  <c r="K87" i="6" s="1"/>
  <c r="E87" i="6" a="1"/>
  <c r="E87" i="6" s="1"/>
  <c r="D87" i="6" a="1"/>
  <c r="D87" i="6" s="1"/>
  <c r="C87" i="6" a="1"/>
  <c r="C87" i="6"/>
  <c r="B87" i="6" a="1"/>
  <c r="B87" i="6"/>
  <c r="L87" i="6" s="1" a="1"/>
  <c r="L87" i="6" s="1"/>
  <c r="A87" i="6" a="1"/>
  <c r="A87" i="6" s="1"/>
  <c r="J86" i="6"/>
  <c r="E86" i="6" a="1"/>
  <c r="E86" i="6" s="1"/>
  <c r="D86" i="6" a="1"/>
  <c r="D86" i="6" s="1"/>
  <c r="J86" i="6" s="1" a="1"/>
  <c r="C86" i="6" a="1"/>
  <c r="C86" i="6"/>
  <c r="B86" i="6" a="1"/>
  <c r="B86" i="6" s="1"/>
  <c r="A86" i="6" a="1"/>
  <c r="A86" i="6" s="1"/>
  <c r="E85" i="6" a="1"/>
  <c r="E85" i="6" s="1"/>
  <c r="D85" i="6" a="1"/>
  <c r="D85" i="6" s="1"/>
  <c r="J85" i="6" s="1" a="1"/>
  <c r="J85" i="6" s="1"/>
  <c r="C85" i="6" a="1"/>
  <c r="C85" i="6"/>
  <c r="B85" i="6" a="1"/>
  <c r="B85" i="6" s="1"/>
  <c r="A85" i="6" a="1"/>
  <c r="A85" i="6"/>
  <c r="E84" i="6" a="1"/>
  <c r="E84" i="6" s="1"/>
  <c r="D84" i="6" a="1"/>
  <c r="D84" i="6"/>
  <c r="C84" i="6" a="1"/>
  <c r="C84" i="6" s="1"/>
  <c r="B84" i="6" a="1"/>
  <c r="B84" i="6" s="1"/>
  <c r="A84" i="6" a="1"/>
  <c r="A84" i="6" s="1"/>
  <c r="E83" i="6" a="1"/>
  <c r="E83" i="6" s="1"/>
  <c r="D83" i="6" a="1"/>
  <c r="D83" i="6" s="1"/>
  <c r="I83" i="6" s="1" a="1"/>
  <c r="I83" i="6" s="1"/>
  <c r="C83" i="6" a="1"/>
  <c r="C83" i="6"/>
  <c r="B83" i="6" a="1"/>
  <c r="B83" i="6" s="1"/>
  <c r="A83" i="6" a="1"/>
  <c r="A83" i="6" s="1"/>
  <c r="K82" i="6" a="1"/>
  <c r="K82" i="6" s="1"/>
  <c r="E82" i="6" a="1"/>
  <c r="E82" i="6"/>
  <c r="D82" i="6" a="1"/>
  <c r="D82" i="6"/>
  <c r="C82" i="6" a="1"/>
  <c r="C82" i="6" s="1"/>
  <c r="J82" i="6" s="1" a="1"/>
  <c r="J82" i="6" s="1"/>
  <c r="B82" i="6" a="1"/>
  <c r="B82" i="6" s="1"/>
  <c r="A82" i="6" a="1"/>
  <c r="A82" i="6"/>
  <c r="I81" i="6" a="1"/>
  <c r="I81" i="6" s="1"/>
  <c r="E81" i="6" a="1"/>
  <c r="E81" i="6" s="1"/>
  <c r="D81" i="6" a="1"/>
  <c r="D81" i="6" s="1"/>
  <c r="C81" i="6" a="1"/>
  <c r="C81" i="6" s="1"/>
  <c r="B81" i="6" a="1"/>
  <c r="B81" i="6" s="1"/>
  <c r="A81" i="6" a="1"/>
  <c r="A81" i="6" s="1"/>
  <c r="E80" i="6" a="1"/>
  <c r="E80" i="6" s="1"/>
  <c r="D80" i="6" a="1"/>
  <c r="D80" i="6" s="1"/>
  <c r="C80" i="6" a="1"/>
  <c r="C80" i="6" s="1"/>
  <c r="B80" i="6" a="1"/>
  <c r="B80" i="6" s="1"/>
  <c r="A80" i="6" a="1"/>
  <c r="A80" i="6"/>
  <c r="E79" i="6" a="1"/>
  <c r="E79" i="6" s="1"/>
  <c r="D79" i="6" a="1"/>
  <c r="D79" i="6" s="1"/>
  <c r="C79" i="6" a="1"/>
  <c r="C79" i="6"/>
  <c r="B79" i="6" a="1"/>
  <c r="B79" i="6" s="1"/>
  <c r="A79" i="6" a="1"/>
  <c r="A79" i="6" s="1"/>
  <c r="E78" i="6" a="1"/>
  <c r="E78" i="6" s="1"/>
  <c r="D78" i="6" a="1"/>
  <c r="D78" i="6" s="1"/>
  <c r="C78" i="6" a="1"/>
  <c r="C78" i="6" s="1"/>
  <c r="B78" i="6" a="1"/>
  <c r="B78" i="6" s="1"/>
  <c r="A78" i="6" a="1"/>
  <c r="A78" i="6"/>
  <c r="L77" i="6" a="1"/>
  <c r="L77" i="6" s="1"/>
  <c r="J77" i="6" a="1"/>
  <c r="J77" i="6" s="1"/>
  <c r="E77" i="6" a="1"/>
  <c r="E77" i="6" s="1"/>
  <c r="D77" i="6" a="1"/>
  <c r="D77" i="6" s="1"/>
  <c r="C77" i="6" a="1"/>
  <c r="C77" i="6"/>
  <c r="B77" i="6" a="1"/>
  <c r="B77" i="6" s="1"/>
  <c r="A77" i="6" a="1"/>
  <c r="A77" i="6" s="1"/>
  <c r="E76" i="6" a="1"/>
  <c r="E76" i="6" s="1"/>
  <c r="D76" i="6" a="1"/>
  <c r="D76" i="6"/>
  <c r="C76" i="6" a="1"/>
  <c r="C76" i="6" s="1"/>
  <c r="B76" i="6" a="1"/>
  <c r="B76" i="6" s="1"/>
  <c r="A76" i="6" a="1"/>
  <c r="A76" i="6" s="1"/>
  <c r="E75" i="6" a="1"/>
  <c r="E75" i="6" s="1"/>
  <c r="D75" i="6" a="1"/>
  <c r="D75" i="6"/>
  <c r="C75" i="6" a="1"/>
  <c r="C75" i="6" s="1"/>
  <c r="B75" i="6" a="1"/>
  <c r="B75" i="6" s="1"/>
  <c r="A75" i="6" a="1"/>
  <c r="A75" i="6" s="1"/>
  <c r="E74" i="6" a="1"/>
  <c r="E74" i="6" s="1"/>
  <c r="D74" i="6" a="1"/>
  <c r="D74" i="6"/>
  <c r="J74" i="6" s="1" a="1"/>
  <c r="J74" i="6" s="1"/>
  <c r="C74" i="6" a="1"/>
  <c r="C74" i="6" s="1"/>
  <c r="B74" i="6" a="1"/>
  <c r="B74" i="6" s="1"/>
  <c r="A74" i="6" a="1"/>
  <c r="A74" i="6" s="1"/>
  <c r="E73" i="6" a="1"/>
  <c r="E73" i="6" s="1"/>
  <c r="D73" i="6" a="1"/>
  <c r="D73" i="6" s="1"/>
  <c r="I73" i="6" s="1" a="1"/>
  <c r="I73" i="6" s="1"/>
  <c r="C73" i="6" a="1"/>
  <c r="C73" i="6" s="1"/>
  <c r="B73" i="6" a="1"/>
  <c r="B73" i="6" s="1"/>
  <c r="A73" i="6" a="1"/>
  <c r="A73" i="6" s="1"/>
  <c r="I72" i="6" a="1"/>
  <c r="I72" i="6"/>
  <c r="E72" i="6" a="1"/>
  <c r="E72" i="6"/>
  <c r="D72" i="6" a="1"/>
  <c r="D72" i="6"/>
  <c r="C72" i="6" a="1"/>
  <c r="C72" i="6" s="1"/>
  <c r="B72" i="6" a="1"/>
  <c r="B72" i="6" s="1"/>
  <c r="A72" i="6" a="1"/>
  <c r="A72" i="6" s="1"/>
  <c r="E71" i="6" a="1"/>
  <c r="E71" i="6" s="1"/>
  <c r="D71" i="6" a="1"/>
  <c r="D71" i="6" s="1"/>
  <c r="C71" i="6" a="1"/>
  <c r="C71" i="6"/>
  <c r="B71" i="6" a="1"/>
  <c r="B71" i="6" s="1"/>
  <c r="A71" i="6" a="1"/>
  <c r="A71" i="6"/>
  <c r="E70" i="6" a="1"/>
  <c r="E70" i="6"/>
  <c r="D70" i="6" a="1"/>
  <c r="D70" i="6" s="1"/>
  <c r="C70" i="6" a="1"/>
  <c r="C70" i="6" s="1"/>
  <c r="B70" i="6" a="1"/>
  <c r="B70" i="6" s="1"/>
  <c r="A70" i="6" a="1"/>
  <c r="A70" i="6" s="1"/>
  <c r="L69" i="6" a="1"/>
  <c r="L69" i="6" s="1"/>
  <c r="E69" i="6" a="1"/>
  <c r="E69" i="6" s="1"/>
  <c r="D69" i="6" a="1"/>
  <c r="D69" i="6" s="1"/>
  <c r="C69" i="6" a="1"/>
  <c r="C69" i="6"/>
  <c r="J69" i="6" s="1" a="1"/>
  <c r="J69" i="6" s="1"/>
  <c r="B69" i="6" a="1"/>
  <c r="B69" i="6" s="1"/>
  <c r="A69" i="6" a="1"/>
  <c r="A69" i="6"/>
  <c r="E68" i="6" a="1"/>
  <c r="E68" i="6" s="1"/>
  <c r="L68" i="6" s="1" a="1"/>
  <c r="L68" i="6" s="1"/>
  <c r="D68" i="6" a="1"/>
  <c r="D68" i="6"/>
  <c r="C68" i="6" a="1"/>
  <c r="C68" i="6" s="1"/>
  <c r="B68" i="6" a="1"/>
  <c r="B68" i="6" s="1"/>
  <c r="A68" i="6" a="1"/>
  <c r="A68" i="6" s="1"/>
  <c r="E67" i="6" a="1"/>
  <c r="E67" i="6" s="1"/>
  <c r="D67" i="6" a="1"/>
  <c r="D67" i="6" s="1"/>
  <c r="C67" i="6" a="1"/>
  <c r="C67" i="6" s="1"/>
  <c r="B67" i="6" a="1"/>
  <c r="B67" i="6" s="1"/>
  <c r="A67" i="6" a="1"/>
  <c r="A67" i="6" s="1"/>
  <c r="E66" i="6" a="1"/>
  <c r="E66" i="6"/>
  <c r="D66" i="6" a="1"/>
  <c r="D66" i="6"/>
  <c r="C66" i="6" a="1"/>
  <c r="C66" i="6" s="1"/>
  <c r="B66" i="6" a="1"/>
  <c r="B66" i="6" s="1"/>
  <c r="A66" i="6" a="1"/>
  <c r="A66" i="6"/>
  <c r="E65" i="6" a="1"/>
  <c r="E65" i="6" s="1"/>
  <c r="D65" i="6" a="1"/>
  <c r="D65" i="6" s="1"/>
  <c r="I65" i="6" s="1" a="1"/>
  <c r="I65" i="6" s="1"/>
  <c r="C65" i="6" a="1"/>
  <c r="C65" i="6" s="1"/>
  <c r="B65" i="6" a="1"/>
  <c r="B65" i="6" s="1"/>
  <c r="A65" i="6" a="1"/>
  <c r="A65" i="6" s="1"/>
  <c r="I64" i="6" a="1"/>
  <c r="I64" i="6" s="1"/>
  <c r="E64" i="6" a="1"/>
  <c r="E64" i="6"/>
  <c r="D64" i="6" a="1"/>
  <c r="D64" i="6"/>
  <c r="C64" i="6" a="1"/>
  <c r="C64" i="6" s="1"/>
  <c r="B64" i="6" a="1"/>
  <c r="B64" i="6" s="1"/>
  <c r="A64" i="6" a="1"/>
  <c r="A64" i="6" s="1"/>
  <c r="E63" i="6" a="1"/>
  <c r="E63" i="6" s="1"/>
  <c r="D63" i="6" a="1"/>
  <c r="D63" i="6" s="1"/>
  <c r="K63" i="6" s="1" a="1"/>
  <c r="K63" i="6" s="1"/>
  <c r="C63" i="6" a="1"/>
  <c r="C63" i="6"/>
  <c r="B63" i="6" a="1"/>
  <c r="B63" i="6" s="1"/>
  <c r="A63" i="6" a="1"/>
  <c r="A63" i="6"/>
  <c r="E62" i="6" a="1"/>
  <c r="E62" i="6"/>
  <c r="D62" i="6" a="1"/>
  <c r="D62" i="6" s="1"/>
  <c r="C62" i="6" a="1"/>
  <c r="C62" i="6" s="1"/>
  <c r="B62" i="6" a="1"/>
  <c r="B62" i="6" s="1"/>
  <c r="A62" i="6" a="1"/>
  <c r="A62" i="6" s="1"/>
  <c r="E61" i="6" a="1"/>
  <c r="E61" i="6" s="1"/>
  <c r="D61" i="6" a="1"/>
  <c r="D61" i="6" s="1"/>
  <c r="J61" i="6" s="1" a="1"/>
  <c r="J61" i="6" s="1"/>
  <c r="C61" i="6" a="1"/>
  <c r="C61" i="6" s="1"/>
  <c r="B61" i="6" a="1"/>
  <c r="B61" i="6"/>
  <c r="A61" i="6" a="1"/>
  <c r="A61" i="6"/>
  <c r="I60" i="6" a="1"/>
  <c r="I60" i="6" s="1"/>
  <c r="E60" i="6" a="1"/>
  <c r="E60" i="6"/>
  <c r="D60" i="6" a="1"/>
  <c r="D60" i="6" s="1"/>
  <c r="C60" i="6" a="1"/>
  <c r="C60" i="6" s="1"/>
  <c r="B60" i="6" a="1"/>
  <c r="B60" i="6" s="1"/>
  <c r="A60" i="6" a="1"/>
  <c r="A60" i="6" s="1"/>
  <c r="L59" i="6" a="1"/>
  <c r="L59" i="6" s="1"/>
  <c r="J59" i="6" a="1"/>
  <c r="J59" i="6" s="1"/>
  <c r="E59" i="6" a="1"/>
  <c r="E59" i="6" s="1"/>
  <c r="D59" i="6" a="1"/>
  <c r="D59" i="6" s="1"/>
  <c r="C59" i="6" a="1"/>
  <c r="C59" i="6" s="1"/>
  <c r="B59" i="6" a="1"/>
  <c r="B59" i="6"/>
  <c r="A59" i="6" a="1"/>
  <c r="A59" i="6"/>
  <c r="E58" i="6" a="1"/>
  <c r="E58" i="6"/>
  <c r="D58" i="6" a="1"/>
  <c r="D58" i="6"/>
  <c r="C58" i="6" a="1"/>
  <c r="C58" i="6" s="1"/>
  <c r="B58" i="6" a="1"/>
  <c r="B58" i="6" s="1"/>
  <c r="A58" i="6" a="1"/>
  <c r="A58" i="6" s="1"/>
  <c r="E57" i="6" a="1"/>
  <c r="E57" i="6" s="1"/>
  <c r="D57" i="6" a="1"/>
  <c r="D57" i="6" s="1"/>
  <c r="C57" i="6" a="1"/>
  <c r="C57" i="6" s="1"/>
  <c r="B57" i="6" a="1"/>
  <c r="B57" i="6"/>
  <c r="A57" i="6" a="1"/>
  <c r="A57" i="6" s="1"/>
  <c r="E56" i="6" a="1"/>
  <c r="E56" i="6"/>
  <c r="D56" i="6" a="1"/>
  <c r="D56" i="6"/>
  <c r="I56" i="6" s="1" a="1"/>
  <c r="I56" i="6" s="1"/>
  <c r="C56" i="6" a="1"/>
  <c r="C56" i="6" s="1"/>
  <c r="B56" i="6" a="1"/>
  <c r="B56" i="6" s="1"/>
  <c r="A56" i="6" a="1"/>
  <c r="A56" i="6" s="1"/>
  <c r="L55" i="6" a="1"/>
  <c r="L55" i="6" s="1"/>
  <c r="J55" i="6" a="1"/>
  <c r="J55" i="6" s="1"/>
  <c r="E55" i="6" a="1"/>
  <c r="E55" i="6" s="1"/>
  <c r="D55" i="6" a="1"/>
  <c r="D55" i="6" s="1"/>
  <c r="C55" i="6" a="1"/>
  <c r="C55" i="6" s="1"/>
  <c r="B55" i="6" a="1"/>
  <c r="B55" i="6"/>
  <c r="A55" i="6" a="1"/>
  <c r="A55" i="6"/>
  <c r="I54" i="6" a="1"/>
  <c r="I54" i="6" s="1"/>
  <c r="E54" i="6" a="1"/>
  <c r="E54" i="6"/>
  <c r="D54" i="6" a="1"/>
  <c r="D54" i="6" s="1"/>
  <c r="C54" i="6" a="1"/>
  <c r="C54" i="6" s="1"/>
  <c r="B54" i="6" a="1"/>
  <c r="B54" i="6" s="1"/>
  <c r="A54" i="6" a="1"/>
  <c r="A54" i="6" s="1"/>
  <c r="E53" i="6" a="1"/>
  <c r="E53" i="6" s="1"/>
  <c r="D53" i="6" a="1"/>
  <c r="D53" i="6" s="1"/>
  <c r="C53" i="6" a="1"/>
  <c r="C53" i="6" s="1"/>
  <c r="B53" i="6" a="1"/>
  <c r="B53" i="6"/>
  <c r="A53" i="6" a="1"/>
  <c r="A53" i="6" s="1"/>
  <c r="E52" i="6" a="1"/>
  <c r="E52" i="6"/>
  <c r="D52" i="6" a="1"/>
  <c r="D52" i="6"/>
  <c r="C52" i="6" a="1"/>
  <c r="C52" i="6" s="1"/>
  <c r="B52" i="6" a="1"/>
  <c r="B52" i="6" s="1"/>
  <c r="A52" i="6" a="1"/>
  <c r="A52" i="6" s="1"/>
  <c r="L51" i="6" a="1"/>
  <c r="L51" i="6" s="1"/>
  <c r="E51" i="6" a="1"/>
  <c r="E51" i="6" s="1"/>
  <c r="D51" i="6" a="1"/>
  <c r="D51" i="6" s="1"/>
  <c r="C51" i="6" a="1"/>
  <c r="C51" i="6" s="1"/>
  <c r="J51" i="6" s="1" a="1"/>
  <c r="J51" i="6" s="1"/>
  <c r="B51" i="6" a="1"/>
  <c r="B51" i="6"/>
  <c r="A51" i="6" a="1"/>
  <c r="A51" i="6" s="1"/>
  <c r="I50" i="6" a="1"/>
  <c r="I50" i="6" s="1"/>
  <c r="E50" i="6" a="1"/>
  <c r="E50" i="6"/>
  <c r="D50" i="6" a="1"/>
  <c r="D50" i="6" s="1"/>
  <c r="C50" i="6" a="1"/>
  <c r="C50" i="6" s="1"/>
  <c r="B50" i="6" a="1"/>
  <c r="B50" i="6" s="1"/>
  <c r="A50" i="6" a="1"/>
  <c r="A50" i="6" s="1"/>
  <c r="J49" i="6" a="1"/>
  <c r="J49" i="6"/>
  <c r="E49" i="6" a="1"/>
  <c r="E49" i="6" s="1"/>
  <c r="D49" i="6" a="1"/>
  <c r="D49" i="6" s="1"/>
  <c r="C49" i="6" a="1"/>
  <c r="C49" i="6" s="1"/>
  <c r="B49" i="6" a="1"/>
  <c r="B49" i="6"/>
  <c r="A49" i="6" a="1"/>
  <c r="A49" i="6"/>
  <c r="E48" i="6" a="1"/>
  <c r="E48" i="6"/>
  <c r="D48" i="6" a="1"/>
  <c r="D48" i="6"/>
  <c r="C48" i="6" a="1"/>
  <c r="C48" i="6" s="1"/>
  <c r="B48" i="6" a="1"/>
  <c r="B48" i="6" s="1"/>
  <c r="A48" i="6" a="1"/>
  <c r="A48" i="6" s="1"/>
  <c r="E47" i="6" a="1"/>
  <c r="E47" i="6" s="1"/>
  <c r="D47" i="6" a="1"/>
  <c r="D47" i="6" s="1"/>
  <c r="C47" i="6" a="1"/>
  <c r="C47" i="6" s="1"/>
  <c r="B47" i="6" a="1"/>
  <c r="B47" i="6" s="1"/>
  <c r="A47" i="6" a="1"/>
  <c r="A47" i="6" s="1"/>
  <c r="E46" i="6" a="1"/>
  <c r="E46" i="6"/>
  <c r="D46" i="6" a="1"/>
  <c r="D46" i="6"/>
  <c r="C46" i="6" a="1"/>
  <c r="C46" i="6" s="1"/>
  <c r="B46" i="6" a="1"/>
  <c r="B46" i="6" s="1"/>
  <c r="A46" i="6" a="1"/>
  <c r="A46" i="6" s="1"/>
  <c r="E45" i="6" a="1"/>
  <c r="E45" i="6" s="1"/>
  <c r="D45" i="6" a="1"/>
  <c r="D45" i="6" s="1"/>
  <c r="C45" i="6" a="1"/>
  <c r="C45" i="6" s="1"/>
  <c r="B45" i="6" a="1"/>
  <c r="B45" i="6" s="1"/>
  <c r="A45" i="6" a="1"/>
  <c r="A45" i="6" s="1"/>
  <c r="E44" i="6" a="1"/>
  <c r="E44" i="6"/>
  <c r="D44" i="6" a="1"/>
  <c r="D44" i="6"/>
  <c r="C44" i="6" a="1"/>
  <c r="C44" i="6" s="1"/>
  <c r="B44" i="6" a="1"/>
  <c r="B44" i="6" s="1"/>
  <c r="A44" i="6" a="1"/>
  <c r="A44" i="6" s="1"/>
  <c r="E43" i="6" a="1"/>
  <c r="E43" i="6" s="1"/>
  <c r="D43" i="6" a="1"/>
  <c r="D43" i="6" s="1"/>
  <c r="C43" i="6" a="1"/>
  <c r="C43" i="6" s="1"/>
  <c r="B43" i="6" a="1"/>
  <c r="B43" i="6" s="1"/>
  <c r="A43" i="6" a="1"/>
  <c r="A43" i="6" s="1"/>
  <c r="E42" i="6" a="1"/>
  <c r="E42" i="6"/>
  <c r="D42" i="6" a="1"/>
  <c r="D42" i="6"/>
  <c r="C42" i="6" a="1"/>
  <c r="C42" i="6" s="1"/>
  <c r="B42" i="6" a="1"/>
  <c r="B42" i="6" s="1"/>
  <c r="A42" i="6" a="1"/>
  <c r="A42" i="6" s="1"/>
  <c r="E41" i="6" a="1"/>
  <c r="E41" i="6" s="1"/>
  <c r="D41" i="6" a="1"/>
  <c r="D41" i="6" s="1"/>
  <c r="C41" i="6" a="1"/>
  <c r="C41" i="6" s="1"/>
  <c r="B41" i="6" a="1"/>
  <c r="B41" i="6" s="1"/>
  <c r="A41" i="6" a="1"/>
  <c r="A41" i="6" s="1"/>
  <c r="E40" i="6" a="1"/>
  <c r="E40" i="6"/>
  <c r="D40" i="6" a="1"/>
  <c r="D40" i="6" s="1"/>
  <c r="C40" i="6" a="1"/>
  <c r="C40" i="6" s="1"/>
  <c r="B40" i="6" a="1"/>
  <c r="B40" i="6" s="1"/>
  <c r="A40" i="6" a="1"/>
  <c r="A40" i="6" s="1"/>
  <c r="E39" i="6" a="1"/>
  <c r="E39" i="6" s="1"/>
  <c r="D39" i="6" a="1"/>
  <c r="D39" i="6" s="1"/>
  <c r="C39" i="6" a="1"/>
  <c r="C39" i="6" s="1"/>
  <c r="B39" i="6" a="1"/>
  <c r="B39" i="6" s="1"/>
  <c r="A39" i="6" a="1"/>
  <c r="A39" i="6" s="1"/>
  <c r="E38" i="6" a="1"/>
  <c r="E38" i="6"/>
  <c r="D38" i="6" a="1"/>
  <c r="D38" i="6" s="1"/>
  <c r="C38" i="6" a="1"/>
  <c r="C38" i="6" s="1"/>
  <c r="B38" i="6" a="1"/>
  <c r="B38" i="6" s="1"/>
  <c r="A38" i="6" a="1"/>
  <c r="A38" i="6" s="1"/>
  <c r="E37" i="6" a="1"/>
  <c r="E37" i="6" s="1"/>
  <c r="D37" i="6" a="1"/>
  <c r="D37" i="6" s="1"/>
  <c r="C37" i="6" a="1"/>
  <c r="C37" i="6" s="1"/>
  <c r="B37" i="6" a="1"/>
  <c r="B37" i="6" s="1"/>
  <c r="A37" i="6" a="1"/>
  <c r="A37" i="6" s="1"/>
  <c r="E36" i="6" a="1"/>
  <c r="E36" i="6"/>
  <c r="D36" i="6" a="1"/>
  <c r="D36" i="6" s="1"/>
  <c r="C36" i="6" a="1"/>
  <c r="C36" i="6" s="1"/>
  <c r="B36" i="6" a="1"/>
  <c r="B36" i="6" s="1"/>
  <c r="A36" i="6" a="1"/>
  <c r="A36" i="6" s="1"/>
  <c r="E35" i="6" a="1"/>
  <c r="E35" i="6" s="1"/>
  <c r="D35" i="6" a="1"/>
  <c r="D35" i="6" s="1"/>
  <c r="C35" i="6" a="1"/>
  <c r="C35" i="6" s="1"/>
  <c r="B35" i="6" a="1"/>
  <c r="B35" i="6" s="1"/>
  <c r="A35" i="6" a="1"/>
  <c r="A35" i="6" s="1"/>
  <c r="E34" i="6" a="1"/>
  <c r="E34" i="6"/>
  <c r="D34" i="6" a="1"/>
  <c r="D34" i="6" s="1"/>
  <c r="C34" i="6" a="1"/>
  <c r="C34" i="6" s="1"/>
  <c r="B34" i="6" a="1"/>
  <c r="B34" i="6" s="1"/>
  <c r="A34" i="6" a="1"/>
  <c r="A34" i="6" s="1"/>
  <c r="E33" i="6" a="1"/>
  <c r="E33" i="6" s="1"/>
  <c r="D33" i="6" a="1"/>
  <c r="D33" i="6" s="1"/>
  <c r="C33" i="6" a="1"/>
  <c r="C33" i="6" s="1"/>
  <c r="B33" i="6" a="1"/>
  <c r="B33" i="6" s="1"/>
  <c r="A33" i="6" a="1"/>
  <c r="A33" i="6" s="1"/>
  <c r="E32" i="6" a="1"/>
  <c r="E32" i="6"/>
  <c r="D32" i="6" a="1"/>
  <c r="D32" i="6" s="1"/>
  <c r="C32" i="6" a="1"/>
  <c r="C32" i="6" s="1"/>
  <c r="B32" i="6" a="1"/>
  <c r="B32" i="6" s="1"/>
  <c r="A32" i="6" a="1"/>
  <c r="A32" i="6" s="1"/>
  <c r="E31" i="6" a="1"/>
  <c r="E31" i="6" s="1"/>
  <c r="D31" i="6" a="1"/>
  <c r="D31" i="6" s="1"/>
  <c r="C31" i="6" a="1"/>
  <c r="C31" i="6" s="1"/>
  <c r="B31" i="6" a="1"/>
  <c r="B31" i="6" s="1"/>
  <c r="A31" i="6" a="1"/>
  <c r="A31" i="6" s="1"/>
  <c r="E30" i="6" a="1"/>
  <c r="E30" i="6"/>
  <c r="D30" i="6" a="1"/>
  <c r="D30" i="6" s="1"/>
  <c r="C30" i="6" a="1"/>
  <c r="C30" i="6" s="1"/>
  <c r="B30" i="6" a="1"/>
  <c r="B30" i="6" s="1"/>
  <c r="A30" i="6" a="1"/>
  <c r="A30" i="6" s="1"/>
  <c r="E29" i="6" a="1"/>
  <c r="E29" i="6" s="1"/>
  <c r="D29" i="6" a="1"/>
  <c r="D29" i="6" s="1"/>
  <c r="C29" i="6" a="1"/>
  <c r="C29" i="6" s="1"/>
  <c r="B29" i="6" a="1"/>
  <c r="B29" i="6" s="1"/>
  <c r="A29" i="6" a="1"/>
  <c r="A29" i="6" s="1"/>
  <c r="E28" i="6" a="1"/>
  <c r="E28" i="6"/>
  <c r="D28" i="6" a="1"/>
  <c r="D28" i="6" s="1"/>
  <c r="C28" i="6" a="1"/>
  <c r="C28" i="6" s="1"/>
  <c r="B28" i="6" a="1"/>
  <c r="B28" i="6" s="1"/>
  <c r="A28" i="6" a="1"/>
  <c r="A28" i="6" s="1"/>
  <c r="E27" i="6" a="1"/>
  <c r="E27" i="6" s="1"/>
  <c r="D27" i="6" a="1"/>
  <c r="D27" i="6" s="1"/>
  <c r="C27" i="6" a="1"/>
  <c r="C27" i="6" s="1"/>
  <c r="B27" i="6" a="1"/>
  <c r="B27" i="6" s="1"/>
  <c r="A27" i="6" a="1"/>
  <c r="A27" i="6" s="1"/>
  <c r="E26" i="6" a="1"/>
  <c r="E26" i="6"/>
  <c r="D26" i="6" a="1"/>
  <c r="D26" i="6" s="1"/>
  <c r="C26" i="6" a="1"/>
  <c r="C26" i="6" s="1"/>
  <c r="B26" i="6" a="1"/>
  <c r="B26" i="6" s="1"/>
  <c r="A26" i="6" a="1"/>
  <c r="A26" i="6" s="1"/>
  <c r="E25" i="6" a="1"/>
  <c r="E25" i="6" s="1"/>
  <c r="D25" i="6" a="1"/>
  <c r="D25" i="6" s="1"/>
  <c r="C25" i="6" a="1"/>
  <c r="C25" i="6" s="1"/>
  <c r="B25" i="6" a="1"/>
  <c r="B25" i="6" s="1"/>
  <c r="A25" i="6" a="1"/>
  <c r="A25" i="6" s="1"/>
  <c r="E24" i="6" a="1"/>
  <c r="E24" i="6"/>
  <c r="D24" i="6" a="1"/>
  <c r="D24" i="6" s="1"/>
  <c r="C24" i="6" a="1"/>
  <c r="C24" i="6" s="1"/>
  <c r="B24" i="6" a="1"/>
  <c r="B24" i="6" s="1"/>
  <c r="A24" i="6" a="1"/>
  <c r="A24" i="6" s="1"/>
  <c r="E23" i="6" a="1"/>
  <c r="E23" i="6" s="1"/>
  <c r="D23" i="6" a="1"/>
  <c r="D23" i="6" s="1"/>
  <c r="C23" i="6" a="1"/>
  <c r="C23" i="6" s="1"/>
  <c r="B23" i="6" a="1"/>
  <c r="B23" i="6" s="1"/>
  <c r="A23" i="6" a="1"/>
  <c r="A23" i="6" s="1"/>
  <c r="E22" i="6" a="1"/>
  <c r="E22" i="6"/>
  <c r="D22" i="6" a="1"/>
  <c r="D22" i="6" s="1"/>
  <c r="C22" i="6" a="1"/>
  <c r="C22" i="6" s="1"/>
  <c r="B22" i="6" a="1"/>
  <c r="B22" i="6" s="1"/>
  <c r="A22" i="6" a="1"/>
  <c r="A22" i="6" s="1"/>
  <c r="E21" i="6" a="1"/>
  <c r="E21" i="6" s="1"/>
  <c r="D21" i="6" a="1"/>
  <c r="D21" i="6" s="1"/>
  <c r="C21" i="6" a="1"/>
  <c r="C21" i="6" s="1"/>
  <c r="B21" i="6" a="1"/>
  <c r="B21" i="6" s="1"/>
  <c r="A21" i="6" a="1"/>
  <c r="A21" i="6" s="1"/>
  <c r="E20" i="6" a="1"/>
  <c r="E20" i="6"/>
  <c r="D20" i="6" a="1"/>
  <c r="D20" i="6" s="1"/>
  <c r="C20" i="6" a="1"/>
  <c r="C20" i="6" s="1"/>
  <c r="B20" i="6" a="1"/>
  <c r="B20" i="6" s="1"/>
  <c r="A20" i="6" a="1"/>
  <c r="A20" i="6" s="1"/>
  <c r="E19" i="6" a="1"/>
  <c r="E19" i="6" s="1"/>
  <c r="D19" i="6" a="1"/>
  <c r="D19" i="6" s="1"/>
  <c r="C19" i="6" a="1"/>
  <c r="C19" i="6" s="1"/>
  <c r="B19" i="6" a="1"/>
  <c r="B19" i="6" s="1"/>
  <c r="A19" i="6" a="1"/>
  <c r="A19" i="6" s="1"/>
  <c r="E18" i="6" a="1"/>
  <c r="E18" i="6"/>
  <c r="D18" i="6" a="1"/>
  <c r="D18" i="6" s="1"/>
  <c r="C18" i="6" a="1"/>
  <c r="C18" i="6" s="1"/>
  <c r="B18" i="6" a="1"/>
  <c r="B18" i="6" s="1"/>
  <c r="A18" i="6" a="1"/>
  <c r="A18" i="6" s="1"/>
  <c r="E17" i="6" a="1"/>
  <c r="E17" i="6" s="1"/>
  <c r="D17" i="6" a="1"/>
  <c r="D17" i="6" s="1"/>
  <c r="C17" i="6" a="1"/>
  <c r="C17" i="6" s="1"/>
  <c r="B17" i="6" a="1"/>
  <c r="B17" i="6" s="1"/>
  <c r="A17" i="6" a="1"/>
  <c r="A17" i="6" s="1"/>
  <c r="E16" i="6" a="1"/>
  <c r="E16" i="6"/>
  <c r="D16" i="6" a="1"/>
  <c r="D16" i="6" s="1"/>
  <c r="C16" i="6" a="1"/>
  <c r="C16" i="6" s="1"/>
  <c r="B16" i="6" a="1"/>
  <c r="B16" i="6" s="1"/>
  <c r="A16" i="6" a="1"/>
  <c r="A16" i="6" s="1"/>
  <c r="E15" i="6" a="1"/>
  <c r="E15" i="6" s="1"/>
  <c r="D15" i="6" a="1"/>
  <c r="D15" i="6" s="1"/>
  <c r="C15" i="6" a="1"/>
  <c r="C15" i="6" s="1"/>
  <c r="B15" i="6" a="1"/>
  <c r="B15" i="6" s="1"/>
  <c r="A15" i="6" a="1"/>
  <c r="A15" i="6" s="1"/>
  <c r="E14" i="6" a="1"/>
  <c r="E14" i="6"/>
  <c r="D14" i="6" a="1"/>
  <c r="D14" i="6" s="1"/>
  <c r="C14" i="6" a="1"/>
  <c r="C14" i="6" s="1"/>
  <c r="B14" i="6" a="1"/>
  <c r="B14" i="6" s="1"/>
  <c r="A14" i="6" a="1"/>
  <c r="A14" i="6" s="1"/>
  <c r="E13" i="6" a="1"/>
  <c r="E13" i="6" s="1"/>
  <c r="D13" i="6" a="1"/>
  <c r="D13" i="6"/>
  <c r="C13" i="6" a="1"/>
  <c r="C13" i="6" s="1"/>
  <c r="I13" i="6" s="1" a="1"/>
  <c r="I13" i="6" s="1"/>
  <c r="B13" i="6" a="1"/>
  <c r="B13" i="6"/>
  <c r="A13" i="6" a="1"/>
  <c r="A13" i="6"/>
  <c r="E12" i="6" a="1"/>
  <c r="E12" i="6"/>
  <c r="D12" i="6" a="1"/>
  <c r="D12" i="6"/>
  <c r="C12" i="6" a="1"/>
  <c r="C12" i="6" s="1"/>
  <c r="B12" i="6" a="1"/>
  <c r="B12" i="6" s="1"/>
  <c r="A12" i="6" a="1"/>
  <c r="A12" i="6"/>
  <c r="I11" i="6" a="1"/>
  <c r="I11" i="6"/>
  <c r="E11" i="6" a="1"/>
  <c r="E11" i="6" s="1"/>
  <c r="D11" i="6" a="1"/>
  <c r="D11" i="6"/>
  <c r="C11" i="6" a="1"/>
  <c r="C11" i="6" s="1"/>
  <c r="B11" i="6" a="1"/>
  <c r="B11" i="6"/>
  <c r="A11" i="6" a="1"/>
  <c r="A11" i="6"/>
  <c r="K10" i="6" a="1"/>
  <c r="K10" i="6" s="1"/>
  <c r="E10" i="6" a="1"/>
  <c r="E10" i="6"/>
  <c r="D10" i="6" a="1"/>
  <c r="D10" i="6" s="1"/>
  <c r="C10" i="6" a="1"/>
  <c r="C10" i="6"/>
  <c r="B10" i="6" a="1"/>
  <c r="B10" i="6"/>
  <c r="A10" i="6" a="1"/>
  <c r="A10" i="6" s="1"/>
  <c r="J9" i="6" a="1"/>
  <c r="J9" i="6" s="1"/>
  <c r="I9" i="6" a="1"/>
  <c r="I9" i="6" s="1"/>
  <c r="E9" i="6" a="1"/>
  <c r="E9" i="6" s="1"/>
  <c r="D9" i="6" a="1"/>
  <c r="D9" i="6"/>
  <c r="C9" i="6" a="1"/>
  <c r="C9" i="6"/>
  <c r="L9" i="6" s="1" a="1"/>
  <c r="L9" i="6" s="1"/>
  <c r="B9" i="6" a="1"/>
  <c r="B9" i="6" s="1"/>
  <c r="A9" i="6" a="1"/>
  <c r="A9" i="6"/>
  <c r="E8" i="6" a="1"/>
  <c r="E8" i="6" s="1"/>
  <c r="D8" i="6" a="1"/>
  <c r="D8" i="6"/>
  <c r="C8" i="6" a="1"/>
  <c r="C8" i="6" s="1"/>
  <c r="B8" i="6" a="1"/>
  <c r="B8" i="6"/>
  <c r="A8" i="6" a="1"/>
  <c r="A8" i="6"/>
  <c r="E7" i="6" a="1"/>
  <c r="E7" i="6"/>
  <c r="D7" i="6" a="1"/>
  <c r="D7" i="6" s="1"/>
  <c r="K7" i="6" s="1" a="1"/>
  <c r="K7" i="6" s="1"/>
  <c r="C7" i="6" a="1"/>
  <c r="C7" i="6" s="1"/>
  <c r="B7" i="6" a="1"/>
  <c r="B7" i="6"/>
  <c r="A7" i="6" a="1"/>
  <c r="A7" i="6" s="1"/>
  <c r="J6" i="6" a="1"/>
  <c r="J6" i="6" s="1"/>
  <c r="I6" i="6" a="1"/>
  <c r="I6" i="6" s="1"/>
  <c r="F6" i="6" a="1"/>
  <c r="F6" i="6" s="1"/>
  <c r="E6" i="6" a="1"/>
  <c r="E6" i="6"/>
  <c r="D6" i="6" a="1"/>
  <c r="D6" i="6"/>
  <c r="C6" i="6" a="1"/>
  <c r="C6" i="6"/>
  <c r="B6" i="6" a="1"/>
  <c r="B6" i="6" s="1"/>
  <c r="A6" i="6" a="1"/>
  <c r="A6" i="6" s="1"/>
  <c r="F5" i="6" a="1"/>
  <c r="F5" i="6" s="1"/>
  <c r="E5" i="6" a="1"/>
  <c r="E5" i="6" s="1"/>
  <c r="D5" i="6" a="1"/>
  <c r="D5" i="6"/>
  <c r="C5" i="6" a="1"/>
  <c r="C5" i="6"/>
  <c r="L5" i="6" s="1" a="1"/>
  <c r="L5" i="6" s="1"/>
  <c r="B5" i="6" a="1"/>
  <c r="B5" i="6" s="1"/>
  <c r="I5" i="6" s="1" a="1"/>
  <c r="I5" i="6" s="1"/>
  <c r="A5" i="6" a="1"/>
  <c r="A5" i="6" s="1"/>
  <c r="F4" i="6" a="1"/>
  <c r="F4" i="6"/>
  <c r="E4" i="6" a="1"/>
  <c r="E4" i="6" s="1"/>
  <c r="D4" i="6" a="1"/>
  <c r="D4" i="6" s="1"/>
  <c r="C4" i="6" a="1"/>
  <c r="C4" i="6"/>
  <c r="K4" i="6" s="1" a="1"/>
  <c r="K4" i="6" s="1"/>
  <c r="B4" i="6" a="1"/>
  <c r="B4" i="6"/>
  <c r="A4" i="6" a="1"/>
  <c r="A4" i="6" s="1"/>
  <c r="F3" i="6" a="1"/>
  <c r="F3" i="6"/>
  <c r="E3" i="6" a="1"/>
  <c r="E3" i="6" s="1"/>
  <c r="D3" i="6" a="1"/>
  <c r="D3" i="6" s="1"/>
  <c r="C3" i="6" a="1"/>
  <c r="C3" i="6" s="1"/>
  <c r="B3" i="6" a="1"/>
  <c r="B3" i="6"/>
  <c r="A3" i="6" a="1"/>
  <c r="A3" i="6"/>
  <c r="G2" i="6" a="1"/>
  <c r="G2" i="6" s="1"/>
  <c r="F2" i="6" a="1"/>
  <c r="F2" i="6"/>
  <c r="E2" i="6" a="1"/>
  <c r="E2" i="6"/>
  <c r="D2" i="6" a="1"/>
  <c r="D2" i="6" s="1"/>
  <c r="C2" i="6" a="1"/>
  <c r="C2" i="6" s="1"/>
  <c r="B2" i="6" a="1"/>
  <c r="B2" i="6" s="1"/>
  <c r="A2" i="6" a="1"/>
  <c r="A2" i="6"/>
  <c r="G1" i="6" a="1"/>
  <c r="G1" i="6" s="1"/>
  <c r="F1" i="6" a="1"/>
  <c r="F1" i="6"/>
  <c r="I21" i="4" a="1"/>
  <c r="I21" i="4" s="1"/>
  <c r="C21" i="4" a="1"/>
  <c r="C21" i="4" s="1"/>
  <c r="K20" i="4" a="1"/>
  <c r="K20" i="4" s="1"/>
  <c r="E20" i="4" a="1"/>
  <c r="E20" i="4"/>
  <c r="Q15" i="4" a="1"/>
  <c r="Q15" i="4" s="1"/>
  <c r="S14" i="4" a="1"/>
  <c r="S14" i="4" s="1"/>
  <c r="I11" i="4" a="1"/>
  <c r="I11" i="4" s="1"/>
  <c r="C11" i="4" a="1"/>
  <c r="C11" i="4" s="1"/>
  <c r="K10" i="4" a="1"/>
  <c r="K10" i="4" s="1"/>
  <c r="E10" i="4" a="1"/>
  <c r="E10" i="4"/>
  <c r="Q8" i="4" a="1"/>
  <c r="Q8" i="4"/>
  <c r="S7" i="4" a="1"/>
  <c r="S7" i="4"/>
  <c r="I7" i="4" a="1"/>
  <c r="I7" i="4" s="1"/>
  <c r="C7" i="4" a="1"/>
  <c r="C7" i="4" s="1"/>
  <c r="K6" i="4" a="1"/>
  <c r="K6" i="4" s="1"/>
  <c r="E6" i="4" a="1"/>
  <c r="E6" i="4"/>
  <c r="I35" i="3" a="1"/>
  <c r="I35" i="3" s="1"/>
  <c r="C35" i="3" a="1"/>
  <c r="C35" i="3" s="1"/>
  <c r="K34" i="3" a="1"/>
  <c r="K34" i="3"/>
  <c r="E34" i="3" a="1"/>
  <c r="E34" i="3" s="1"/>
  <c r="W31" i="3" a="1"/>
  <c r="W31" i="3"/>
  <c r="Q31" i="3" a="1"/>
  <c r="Q31" i="3" s="1"/>
  <c r="I31" i="3" a="1"/>
  <c r="I31" i="3"/>
  <c r="C31" i="3" a="1"/>
  <c r="C31" i="3" s="1"/>
  <c r="Y30" i="3" a="1"/>
  <c r="Y30" i="3" s="1"/>
  <c r="S30" i="3" a="1"/>
  <c r="S30" i="3" s="1"/>
  <c r="K30" i="3" a="1"/>
  <c r="K30" i="3"/>
  <c r="E30" i="3" a="1"/>
  <c r="E30" i="3" s="1"/>
  <c r="I27" i="3" a="1"/>
  <c r="I27" i="3"/>
  <c r="C27" i="3" a="1"/>
  <c r="C27" i="3"/>
  <c r="K26" i="3" a="1"/>
  <c r="K26" i="3" s="1"/>
  <c r="E26" i="3" a="1"/>
  <c r="E26" i="3" s="1"/>
  <c r="W23" i="3" a="1"/>
  <c r="W23" i="3" s="1"/>
  <c r="Q23" i="3" a="1"/>
  <c r="Q23" i="3"/>
  <c r="I23" i="3" a="1"/>
  <c r="I23" i="3" s="1"/>
  <c r="C23" i="3" a="1"/>
  <c r="C23" i="3" s="1"/>
  <c r="Y22" i="3" a="1"/>
  <c r="Y22" i="3" s="1"/>
  <c r="S22" i="3" a="1"/>
  <c r="S22" i="3"/>
  <c r="K22" i="3" a="1"/>
  <c r="K22" i="3" s="1"/>
  <c r="E22" i="3" a="1"/>
  <c r="E22" i="3" s="1"/>
  <c r="I19" i="3" a="1"/>
  <c r="I19" i="3" s="1"/>
  <c r="C19" i="3" a="1"/>
  <c r="C19" i="3" s="1"/>
  <c r="K18" i="3" a="1"/>
  <c r="K18" i="3" s="1"/>
  <c r="E18" i="3" a="1"/>
  <c r="E18" i="3" s="1"/>
  <c r="W15" i="3" a="1"/>
  <c r="W15" i="3" s="1"/>
  <c r="Q15" i="3" a="1"/>
  <c r="Q15" i="3"/>
  <c r="I15" i="3" a="1"/>
  <c r="I15" i="3" s="1"/>
  <c r="C15" i="3" a="1"/>
  <c r="C15" i="3" s="1"/>
  <c r="Y14" i="3" a="1"/>
  <c r="Y14" i="3" s="1"/>
  <c r="S14" i="3" a="1"/>
  <c r="S14" i="3" s="1"/>
  <c r="K14" i="3" a="1"/>
  <c r="K14" i="3" s="1"/>
  <c r="E14" i="3" a="1"/>
  <c r="E14" i="3" s="1"/>
  <c r="I11" i="3" a="1"/>
  <c r="I11" i="3"/>
  <c r="C11" i="3" a="1"/>
  <c r="C11" i="3" s="1"/>
  <c r="K10" i="3" a="1"/>
  <c r="K10" i="3" s="1"/>
  <c r="E10" i="3" a="1"/>
  <c r="E10" i="3" s="1"/>
  <c r="W7" i="3" a="1"/>
  <c r="W7" i="3"/>
  <c r="Q7" i="3" a="1"/>
  <c r="Q7" i="3" s="1"/>
  <c r="I7" i="3" a="1"/>
  <c r="I7" i="3" s="1"/>
  <c r="C7" i="3" a="1"/>
  <c r="C7" i="3"/>
  <c r="Y6" i="3" a="1"/>
  <c r="Y6" i="3" s="1"/>
  <c r="S6" i="3" a="1"/>
  <c r="S6" i="3" s="1"/>
  <c r="K6" i="3" a="1"/>
  <c r="K6" i="3" s="1"/>
  <c r="E6" i="3" a="1"/>
  <c r="E6" i="3" s="1"/>
  <c r="CB107" i="2" a="1"/>
  <c r="CB107" i="2" s="1"/>
  <c r="CA107" i="2" a="1"/>
  <c r="CA107" i="2" s="1"/>
  <c r="BH107" i="2" a="1"/>
  <c r="BH107" i="2" s="1"/>
  <c r="BG107" i="2" a="1"/>
  <c r="BG107" i="2" s="1"/>
  <c r="M107" i="2" a="1"/>
  <c r="M107" i="2" s="1"/>
  <c r="L107" i="2" a="1"/>
  <c r="L107" i="2" s="1"/>
  <c r="K107" i="2" a="1"/>
  <c r="K107" i="2" s="1"/>
  <c r="J107" i="2" a="1"/>
  <c r="J107" i="2" s="1"/>
  <c r="CB106" i="2" a="1"/>
  <c r="CB106" i="2" s="1"/>
  <c r="CA106" i="2" a="1"/>
  <c r="CA106" i="2" s="1"/>
  <c r="BH106" i="2" a="1"/>
  <c r="BH106" i="2"/>
  <c r="BG106" i="2" a="1"/>
  <c r="BG106" i="2" s="1"/>
  <c r="M106" i="2" a="1"/>
  <c r="M106" i="2"/>
  <c r="L106" i="2" a="1"/>
  <c r="L106" i="2" s="1"/>
  <c r="K106" i="2" a="1"/>
  <c r="K106" i="2" s="1"/>
  <c r="J106" i="2" a="1"/>
  <c r="J106" i="2" s="1"/>
  <c r="CQ105" i="2" a="1"/>
  <c r="CQ105" i="2" s="1"/>
  <c r="CB105" i="2" a="1"/>
  <c r="CB105" i="2" s="1"/>
  <c r="CA105" i="2" a="1"/>
  <c r="CA105" i="2" s="1"/>
  <c r="BW105" i="2" a="1"/>
  <c r="BW105" i="2" s="1"/>
  <c r="BK105" i="2" a="1"/>
  <c r="BK105" i="2" s="1"/>
  <c r="CE105" i="2" s="1" a="1"/>
  <c r="CE105" i="2" s="1"/>
  <c r="BH105" i="2" a="1"/>
  <c r="BH105" i="2" s="1"/>
  <c r="BG105" i="2" a="1"/>
  <c r="BG105" i="2" s="1"/>
  <c r="AY105" i="2" a="1"/>
  <c r="AY105" i="2" s="1"/>
  <c r="AX105" i="2" a="1"/>
  <c r="AX105" i="2"/>
  <c r="AU105" i="2" a="1"/>
  <c r="AU105" i="2" s="1"/>
  <c r="AS105" i="2" a="1"/>
  <c r="AS105" i="2" s="1"/>
  <c r="AP105" i="2" a="1"/>
  <c r="AP105" i="2" s="1"/>
  <c r="Y105" i="2" a="1"/>
  <c r="Y105" i="2" s="1"/>
  <c r="W105" i="2" a="1"/>
  <c r="W105" i="2"/>
  <c r="U105" i="2" a="1"/>
  <c r="U105" i="2" s="1"/>
  <c r="T105" i="2" a="1"/>
  <c r="T105" i="2" s="1"/>
  <c r="O105" i="2" a="1"/>
  <c r="O105" i="2" s="1"/>
  <c r="H51" i="9" s="1" a="1"/>
  <c r="H51" i="9" s="1"/>
  <c r="M105" i="2" a="1"/>
  <c r="M105" i="2" s="1"/>
  <c r="L105" i="2" a="1"/>
  <c r="L105" i="2" s="1"/>
  <c r="K105" i="2" a="1"/>
  <c r="K105" i="2" s="1"/>
  <c r="J105" i="2" a="1"/>
  <c r="J105" i="2" s="1"/>
  <c r="CQ104" i="2" a="1"/>
  <c r="CQ104" i="2" s="1"/>
  <c r="CB104" i="2" a="1"/>
  <c r="CB104" i="2" s="1"/>
  <c r="CA104" i="2" a="1"/>
  <c r="CA104" i="2" s="1"/>
  <c r="BW104" i="2" a="1"/>
  <c r="BW104" i="2" s="1"/>
  <c r="BH104" i="2" a="1"/>
  <c r="BH104" i="2" s="1"/>
  <c r="BG104" i="2" a="1"/>
  <c r="BG104" i="2" s="1"/>
  <c r="AX104" i="2" a="1"/>
  <c r="AX104" i="2" s="1"/>
  <c r="AS104" i="2" a="1"/>
  <c r="AS104" i="2" s="1"/>
  <c r="Y104" i="2" a="1"/>
  <c r="Y104" i="2" s="1"/>
  <c r="O104" i="2" a="1"/>
  <c r="O104" i="2" s="1"/>
  <c r="M104" i="2" a="1"/>
  <c r="M104" i="2" s="1"/>
  <c r="L104" i="2" a="1"/>
  <c r="L104" i="2" s="1"/>
  <c r="K104" i="2" a="1"/>
  <c r="K104" i="2" s="1"/>
  <c r="J104" i="2" a="1"/>
  <c r="J104" i="2" s="1"/>
  <c r="CQ103" i="2" a="1"/>
  <c r="CQ103" i="2" s="1"/>
  <c r="CB103" i="2" a="1"/>
  <c r="CB103" i="2" s="1"/>
  <c r="CA103" i="2" a="1"/>
  <c r="CA103" i="2" s="1"/>
  <c r="BW103" i="2" a="1"/>
  <c r="BW103" i="2" s="1"/>
  <c r="BK103" i="2" a="1"/>
  <c r="BK103" i="2"/>
  <c r="BH103" i="2" a="1"/>
  <c r="BH103" i="2"/>
  <c r="BG103" i="2" a="1"/>
  <c r="BG103" i="2" s="1"/>
  <c r="AX103" i="2" a="1"/>
  <c r="AX103" i="2" s="1"/>
  <c r="AU103" i="2" a="1"/>
  <c r="AU103" i="2"/>
  <c r="AS103" i="2" a="1"/>
  <c r="AS103" i="2"/>
  <c r="AP103" i="2" a="1"/>
  <c r="AP103" i="2" s="1"/>
  <c r="Y103" i="2" a="1"/>
  <c r="Y103" i="2" s="1"/>
  <c r="W103" i="2" a="1"/>
  <c r="W103" i="2" s="1"/>
  <c r="U103" i="2" a="1"/>
  <c r="U103" i="2" s="1"/>
  <c r="T103" i="2" a="1"/>
  <c r="T103" i="2" s="1"/>
  <c r="O103" i="2" a="1"/>
  <c r="O103" i="2"/>
  <c r="H49" i="9" s="1" a="1"/>
  <c r="H49" i="9" s="1"/>
  <c r="M103" i="2" a="1"/>
  <c r="M103" i="2" s="1"/>
  <c r="L103" i="2" a="1"/>
  <c r="L103" i="2" s="1"/>
  <c r="K103" i="2" a="1"/>
  <c r="K103" i="2" s="1"/>
  <c r="J103" i="2" a="1"/>
  <c r="J103" i="2" s="1"/>
  <c r="CQ102" i="2" a="1"/>
  <c r="CQ102" i="2" s="1"/>
  <c r="CB102" i="2" a="1"/>
  <c r="CB102" i="2" s="1"/>
  <c r="CA102" i="2" a="1"/>
  <c r="CA102" i="2" s="1"/>
  <c r="BW102" i="2" a="1"/>
  <c r="BW102" i="2" s="1"/>
  <c r="BK102" i="2" a="1"/>
  <c r="BK102" i="2" s="1"/>
  <c r="BH102" i="2" a="1"/>
  <c r="BH102" i="2"/>
  <c r="BG102" i="2" a="1"/>
  <c r="BG102" i="2" s="1"/>
  <c r="AX102" i="2" a="1"/>
  <c r="AX102" i="2" s="1"/>
  <c r="AS102" i="2" a="1"/>
  <c r="AS102" i="2" s="1"/>
  <c r="Y102" i="2" a="1"/>
  <c r="Y102" i="2" s="1"/>
  <c r="W102" i="2" a="1"/>
  <c r="W102" i="2" s="1"/>
  <c r="Q102" i="2" a="1"/>
  <c r="Q102" i="2" s="1"/>
  <c r="O102" i="2" a="1"/>
  <c r="O102" i="2"/>
  <c r="H48" i="9" s="1" a="1"/>
  <c r="H48" i="9" s="1"/>
  <c r="M102" i="2" a="1"/>
  <c r="M102" i="2" s="1"/>
  <c r="L102" i="2" a="1"/>
  <c r="L102" i="2" s="1"/>
  <c r="K102" i="2" a="1"/>
  <c r="K102" i="2" s="1"/>
  <c r="J102" i="2" a="1"/>
  <c r="J102" i="2"/>
  <c r="O101" i="2" a="1"/>
  <c r="O101" i="2" s="1"/>
  <c r="CB98" i="2" a="1"/>
  <c r="CB98" i="2" s="1"/>
  <c r="CA98" i="2" a="1"/>
  <c r="CA98" i="2"/>
  <c r="BH98" i="2" a="1"/>
  <c r="BH98" i="2" s="1"/>
  <c r="BG98" i="2" a="1"/>
  <c r="BG98" i="2" s="1"/>
  <c r="M98" i="2" a="1"/>
  <c r="M98" i="2" s="1"/>
  <c r="L98" i="2" a="1"/>
  <c r="L98" i="2" s="1"/>
  <c r="K98" i="2" a="1"/>
  <c r="K98" i="2" s="1"/>
  <c r="J98" i="2" a="1"/>
  <c r="J98" i="2"/>
  <c r="CB97" i="2" a="1"/>
  <c r="CB97" i="2"/>
  <c r="CA97" i="2" a="1"/>
  <c r="CA97" i="2" s="1"/>
  <c r="BH97" i="2" a="1"/>
  <c r="BH97" i="2"/>
  <c r="BG97" i="2" a="1"/>
  <c r="BG97" i="2" s="1"/>
  <c r="M97" i="2" a="1"/>
  <c r="M97" i="2" s="1"/>
  <c r="L97" i="2" a="1"/>
  <c r="L97" i="2" s="1"/>
  <c r="K97" i="2" a="1"/>
  <c r="K97" i="2"/>
  <c r="J97" i="2" a="1"/>
  <c r="J97" i="2" s="1"/>
  <c r="CQ96" i="2" a="1"/>
  <c r="CQ96" i="2" s="1"/>
  <c r="CB96" i="2" a="1"/>
  <c r="CB96" i="2" s="1"/>
  <c r="CA96" i="2" a="1"/>
  <c r="CA96" i="2" s="1"/>
  <c r="BW96" i="2" a="1"/>
  <c r="BW96" i="2" s="1"/>
  <c r="BH96" i="2" a="1"/>
  <c r="BH96" i="2" s="1"/>
  <c r="BG96" i="2" a="1"/>
  <c r="BG96" i="2" s="1"/>
  <c r="AX96" i="2" a="1"/>
  <c r="AX96" i="2" s="1"/>
  <c r="AS96" i="2" a="1"/>
  <c r="AS96" i="2" s="1"/>
  <c r="Y96" i="2" a="1"/>
  <c r="Y96" i="2" s="1"/>
  <c r="U96" i="2" a="1"/>
  <c r="U96" i="2" s="1"/>
  <c r="O96" i="2" a="1"/>
  <c r="O96" i="2"/>
  <c r="AY96" i="2" s="1" a="1"/>
  <c r="AY96" i="2" s="1"/>
  <c r="M96" i="2" a="1"/>
  <c r="M96" i="2" s="1"/>
  <c r="L96" i="2" a="1"/>
  <c r="L96" i="2" s="1"/>
  <c r="K96" i="2" a="1"/>
  <c r="K96" i="2" s="1"/>
  <c r="J96" i="2" a="1"/>
  <c r="J96" i="2" s="1"/>
  <c r="CQ95" i="2" a="1"/>
  <c r="CQ95" i="2"/>
  <c r="CB95" i="2" a="1"/>
  <c r="CB95" i="2"/>
  <c r="CA95" i="2" a="1"/>
  <c r="CA95" i="2" s="1"/>
  <c r="BW95" i="2" a="1"/>
  <c r="BW95" i="2" s="1"/>
  <c r="BH95" i="2" a="1"/>
  <c r="BH95" i="2"/>
  <c r="BG95" i="2" a="1"/>
  <c r="BG95" i="2" s="1"/>
  <c r="AX95" i="2" a="1"/>
  <c r="AX95" i="2" s="1"/>
  <c r="AS95" i="2" a="1"/>
  <c r="AS95" i="2"/>
  <c r="Y95" i="2" a="1"/>
  <c r="Y95" i="2" s="1"/>
  <c r="O95" i="2" a="1"/>
  <c r="O95" i="2" s="1"/>
  <c r="M95" i="2" a="1"/>
  <c r="M95" i="2" s="1"/>
  <c r="L95" i="2" a="1"/>
  <c r="L95" i="2" s="1"/>
  <c r="K95" i="2" a="1"/>
  <c r="K95" i="2" s="1"/>
  <c r="J95" i="2" a="1"/>
  <c r="J95" i="2" s="1"/>
  <c r="CQ94" i="2" a="1"/>
  <c r="CQ94" i="2"/>
  <c r="CB94" i="2" a="1"/>
  <c r="CB94" i="2" s="1"/>
  <c r="CA94" i="2" a="1"/>
  <c r="CA94" i="2" s="1"/>
  <c r="BW94" i="2" a="1"/>
  <c r="BW94" i="2" s="1"/>
  <c r="BH94" i="2" a="1"/>
  <c r="BH94" i="2"/>
  <c r="BG94" i="2" a="1"/>
  <c r="BG94" i="2"/>
  <c r="AX94" i="2" a="1"/>
  <c r="AX94" i="2" s="1"/>
  <c r="AS94" i="2" a="1"/>
  <c r="AS94" i="2"/>
  <c r="AP94" i="2" a="1"/>
  <c r="AP94" i="2" s="1"/>
  <c r="Y94" i="2" a="1"/>
  <c r="Y94" i="2" s="1"/>
  <c r="T94" i="2" a="1"/>
  <c r="T94" i="2" s="1"/>
  <c r="O94" i="2" a="1"/>
  <c r="O94" i="2"/>
  <c r="M94" i="2" a="1"/>
  <c r="M94" i="2" s="1"/>
  <c r="L94" i="2" a="1"/>
  <c r="L94" i="2" s="1"/>
  <c r="K94" i="2" a="1"/>
  <c r="K94" i="2" s="1"/>
  <c r="J94" i="2" a="1"/>
  <c r="J94" i="2" s="1"/>
  <c r="CQ93" i="2" a="1"/>
  <c r="CQ93" i="2" s="1"/>
  <c r="CB93" i="2" a="1"/>
  <c r="CB93" i="2"/>
  <c r="CA93" i="2" a="1"/>
  <c r="CA93" i="2"/>
  <c r="BW93" i="2" a="1"/>
  <c r="BW93" i="2" s="1"/>
  <c r="BK93" i="2" a="1"/>
  <c r="BK93" i="2" s="1"/>
  <c r="BH93" i="2" a="1"/>
  <c r="BH93" i="2" s="1"/>
  <c r="BG93" i="2" a="1"/>
  <c r="BG93" i="2"/>
  <c r="AY93" i="2" a="1"/>
  <c r="AY93" i="2" s="1"/>
  <c r="AX93" i="2" a="1"/>
  <c r="AX93" i="2" s="1"/>
  <c r="AU93" i="2" a="1"/>
  <c r="AU93" i="2" s="1"/>
  <c r="AS93" i="2" a="1"/>
  <c r="AS93" i="2" s="1"/>
  <c r="AP93" i="2" a="1"/>
  <c r="AP93" i="2" s="1"/>
  <c r="Y93" i="2" a="1"/>
  <c r="Y93" i="2" s="1"/>
  <c r="O93" i="2" a="1"/>
  <c r="O93" i="2" s="1"/>
  <c r="W93" i="2" s="1" a="1"/>
  <c r="W93" i="2" s="1"/>
  <c r="M93" i="2" a="1"/>
  <c r="M93" i="2"/>
  <c r="L93" i="2" a="1"/>
  <c r="L93" i="2" s="1"/>
  <c r="K93" i="2" a="1"/>
  <c r="K93" i="2" s="1"/>
  <c r="J93" i="2" a="1"/>
  <c r="J93" i="2" s="1"/>
  <c r="O92" i="2" a="1"/>
  <c r="O92" i="2" s="1"/>
  <c r="CB89" i="2" a="1"/>
  <c r="CB89" i="2" s="1"/>
  <c r="CA89" i="2" a="1"/>
  <c r="CA89" i="2" s="1"/>
  <c r="BH89" i="2" a="1"/>
  <c r="BH89" i="2" s="1"/>
  <c r="BG89" i="2" a="1"/>
  <c r="BG89" i="2" s="1"/>
  <c r="M89" i="2" a="1"/>
  <c r="M89" i="2"/>
  <c r="L89" i="2" a="1"/>
  <c r="L89" i="2" s="1"/>
  <c r="K89" i="2" a="1"/>
  <c r="K89" i="2" s="1"/>
  <c r="J89" i="2" a="1"/>
  <c r="J89" i="2" s="1"/>
  <c r="CB88" i="2" a="1"/>
  <c r="CB88" i="2" s="1"/>
  <c r="CA88" i="2" a="1"/>
  <c r="CA88" i="2"/>
  <c r="BH88" i="2" a="1"/>
  <c r="BH88" i="2" s="1"/>
  <c r="BG88" i="2" a="1"/>
  <c r="BG88" i="2" s="1"/>
  <c r="M88" i="2" a="1"/>
  <c r="M88" i="2" s="1"/>
  <c r="L88" i="2" a="1"/>
  <c r="L88" i="2" s="1"/>
  <c r="K88" i="2" a="1"/>
  <c r="K88" i="2" s="1"/>
  <c r="J88" i="2" a="1"/>
  <c r="J88" i="2"/>
  <c r="CQ87" i="2" a="1"/>
  <c r="CQ87" i="2" s="1"/>
  <c r="CB87" i="2" a="1"/>
  <c r="CB87" i="2" s="1"/>
  <c r="CA87" i="2" a="1"/>
  <c r="CA87" i="2" s="1"/>
  <c r="BW87" i="2" a="1"/>
  <c r="BW87" i="2"/>
  <c r="BH87" i="2" a="1"/>
  <c r="BH87" i="2"/>
  <c r="BG87" i="2" a="1"/>
  <c r="BG87" i="2" s="1"/>
  <c r="AY87" i="2" a="1"/>
  <c r="AY87" i="2" s="1"/>
  <c r="AX87" i="2" a="1"/>
  <c r="AX87" i="2" s="1"/>
  <c r="AS87" i="2" a="1"/>
  <c r="AS87" i="2"/>
  <c r="AP87" i="2" a="1"/>
  <c r="AP87" i="2" s="1"/>
  <c r="Y87" i="2" a="1"/>
  <c r="Y87" i="2" s="1"/>
  <c r="W87" i="2" a="1"/>
  <c r="W87" i="2" s="1"/>
  <c r="T87" i="2" a="1"/>
  <c r="T87" i="2" s="1"/>
  <c r="Q87" i="2" a="1"/>
  <c r="Q87" i="2" s="1"/>
  <c r="O87" i="2" a="1"/>
  <c r="O87" i="2"/>
  <c r="M87" i="2" a="1"/>
  <c r="M87" i="2" s="1"/>
  <c r="L87" i="2" a="1"/>
  <c r="L87" i="2" s="1"/>
  <c r="K87" i="2" a="1"/>
  <c r="K87" i="2" s="1"/>
  <c r="J87" i="2" a="1"/>
  <c r="J87" i="2" s="1"/>
  <c r="CQ86" i="2" a="1"/>
  <c r="CQ86" i="2" s="1"/>
  <c r="CB86" i="2" a="1"/>
  <c r="CB86" i="2"/>
  <c r="CA86" i="2" a="1"/>
  <c r="CA86" i="2" s="1"/>
  <c r="BW86" i="2" a="1"/>
  <c r="BW86" i="2" s="1"/>
  <c r="BH86" i="2" a="1"/>
  <c r="BH86" i="2" s="1"/>
  <c r="BG86" i="2" a="1"/>
  <c r="BG86" i="2"/>
  <c r="AX86" i="2" a="1"/>
  <c r="AX86" i="2" s="1"/>
  <c r="AS86" i="2" a="1"/>
  <c r="AS86" i="2" s="1"/>
  <c r="AP86" i="2" a="1"/>
  <c r="AP86" i="2" s="1"/>
  <c r="Y86" i="2" a="1"/>
  <c r="Y86" i="2" s="1"/>
  <c r="W86" i="2" a="1"/>
  <c r="W86" i="2" s="1"/>
  <c r="P86" i="2" a="1"/>
  <c r="P86" i="2" s="1"/>
  <c r="O86" i="2" a="1"/>
  <c r="O86" i="2"/>
  <c r="M86" i="2" a="1"/>
  <c r="M86" i="2"/>
  <c r="L86" i="2" a="1"/>
  <c r="L86" i="2" s="1"/>
  <c r="K86" i="2" a="1"/>
  <c r="K86" i="2" s="1"/>
  <c r="J86" i="2" a="1"/>
  <c r="J86" i="2" s="1"/>
  <c r="CQ85" i="2" a="1"/>
  <c r="CQ85" i="2" s="1"/>
  <c r="CB85" i="2" a="1"/>
  <c r="CB85" i="2"/>
  <c r="CA85" i="2" a="1"/>
  <c r="CA85" i="2" s="1"/>
  <c r="BW85" i="2" a="1"/>
  <c r="BW85" i="2" s="1"/>
  <c r="BH85" i="2" a="1"/>
  <c r="BH85" i="2" s="1"/>
  <c r="BG85" i="2" a="1"/>
  <c r="BG85" i="2"/>
  <c r="AY85" i="2" a="1"/>
  <c r="AY85" i="2" s="1"/>
  <c r="AX85" i="2" a="1"/>
  <c r="AX85" i="2" s="1"/>
  <c r="AU85" i="2" a="1"/>
  <c r="AU85" i="2" s="1"/>
  <c r="AS85" i="2" a="1"/>
  <c r="AS85" i="2" s="1"/>
  <c r="Y85" i="2" a="1"/>
  <c r="Y85" i="2" s="1"/>
  <c r="W85" i="2" a="1"/>
  <c r="W85" i="2" s="1"/>
  <c r="P85" i="2" a="1"/>
  <c r="P85" i="2" s="1"/>
  <c r="O85" i="2" a="1"/>
  <c r="O85" i="2" s="1"/>
  <c r="H41" i="9" s="1" a="1"/>
  <c r="H41" i="9" s="1"/>
  <c r="M85" i="2" a="1"/>
  <c r="M85" i="2"/>
  <c r="L85" i="2" a="1"/>
  <c r="L85" i="2" s="1"/>
  <c r="K85" i="2" a="1"/>
  <c r="K85" i="2" s="1"/>
  <c r="J85" i="2" a="1"/>
  <c r="J85" i="2" s="1"/>
  <c r="CQ84" i="2" a="1"/>
  <c r="CQ84" i="2" s="1"/>
  <c r="CB84" i="2" a="1"/>
  <c r="CB84" i="2" s="1"/>
  <c r="CA84" i="2" a="1"/>
  <c r="CA84" i="2"/>
  <c r="BW84" i="2" a="1"/>
  <c r="BW84" i="2" s="1"/>
  <c r="BH84" i="2" a="1"/>
  <c r="BH84" i="2" s="1"/>
  <c r="BG84" i="2" a="1"/>
  <c r="BG84" i="2" s="1"/>
  <c r="AX84" i="2" a="1"/>
  <c r="AX84" i="2" s="1"/>
  <c r="AS84" i="2" a="1"/>
  <c r="AS84" i="2" s="1"/>
  <c r="Y84" i="2" a="1"/>
  <c r="Y84" i="2" s="1"/>
  <c r="O84" i="2" a="1"/>
  <c r="O84" i="2" s="1"/>
  <c r="M84" i="2" a="1"/>
  <c r="M84" i="2" s="1"/>
  <c r="R87" i="2" s="1" a="1"/>
  <c r="R87" i="2" s="1"/>
  <c r="L84" i="2" a="1"/>
  <c r="L84" i="2"/>
  <c r="K84" i="2" a="1"/>
  <c r="K84" i="2" s="1"/>
  <c r="J84" i="2" a="1"/>
  <c r="J84" i="2" s="1"/>
  <c r="O83" i="2" a="1"/>
  <c r="O83" i="2" s="1"/>
  <c r="CB80" i="2" a="1"/>
  <c r="CB80" i="2" s="1"/>
  <c r="CA80" i="2" a="1"/>
  <c r="CA80" i="2" s="1"/>
  <c r="BH80" i="2" a="1"/>
  <c r="BH80" i="2" s="1"/>
  <c r="BG80" i="2" a="1"/>
  <c r="BG80" i="2" s="1"/>
  <c r="M80" i="2" a="1"/>
  <c r="M80" i="2" s="1"/>
  <c r="L80" i="2" a="1"/>
  <c r="L80" i="2"/>
  <c r="K80" i="2" a="1"/>
  <c r="K80" i="2" s="1"/>
  <c r="J80" i="2" a="1"/>
  <c r="J80" i="2" s="1"/>
  <c r="CB79" i="2" a="1"/>
  <c r="CB79" i="2" s="1"/>
  <c r="CA79" i="2" a="1"/>
  <c r="CA79" i="2" s="1"/>
  <c r="BH79" i="2" a="1"/>
  <c r="BH79" i="2" s="1"/>
  <c r="BG79" i="2" a="1"/>
  <c r="BG79" i="2" s="1"/>
  <c r="M79" i="2" a="1"/>
  <c r="M79" i="2" s="1"/>
  <c r="L79" i="2" a="1"/>
  <c r="L79" i="2" s="1"/>
  <c r="K79" i="2" a="1"/>
  <c r="K79" i="2" s="1"/>
  <c r="J79" i="2" a="1"/>
  <c r="J79" i="2" s="1"/>
  <c r="CQ78" i="2" a="1"/>
  <c r="CQ78" i="2"/>
  <c r="CB78" i="2" a="1"/>
  <c r="CB78" i="2" s="1"/>
  <c r="CA78" i="2" a="1"/>
  <c r="CA78" i="2" s="1"/>
  <c r="BW78" i="2" a="1"/>
  <c r="BW78" i="2" s="1"/>
  <c r="BK78" i="2" a="1"/>
  <c r="BK78" i="2" s="1"/>
  <c r="BH78" i="2" a="1"/>
  <c r="BH78" i="2" s="1"/>
  <c r="BG78" i="2" a="1"/>
  <c r="BG78" i="2" s="1"/>
  <c r="AY78" i="2" a="1"/>
  <c r="AY78" i="2" s="1"/>
  <c r="AX78" i="2" a="1"/>
  <c r="AX78" i="2" s="1"/>
  <c r="AU78" i="2" a="1"/>
  <c r="AU78" i="2" s="1"/>
  <c r="AS78" i="2" a="1"/>
  <c r="AS78" i="2" s="1"/>
  <c r="Y78" i="2" a="1"/>
  <c r="Y78" i="2" s="1"/>
  <c r="U78" i="2" a="1"/>
  <c r="U78" i="2" s="1"/>
  <c r="S78" i="2" s="1" a="1"/>
  <c r="S78" i="2" s="1"/>
  <c r="T78" i="2" a="1"/>
  <c r="T78" i="2" s="1"/>
  <c r="O78" i="2" a="1"/>
  <c r="O78" i="2" s="1"/>
  <c r="H39" i="9" s="1" a="1"/>
  <c r="H39" i="9" s="1"/>
  <c r="M78" i="2" a="1"/>
  <c r="M78" i="2" s="1"/>
  <c r="L78" i="2" a="1"/>
  <c r="L78" i="2" s="1"/>
  <c r="K78" i="2" a="1"/>
  <c r="K78" i="2" s="1"/>
  <c r="J78" i="2" a="1"/>
  <c r="J78" i="2" s="1"/>
  <c r="CQ77" i="2" a="1"/>
  <c r="CQ77" i="2" s="1"/>
  <c r="CB77" i="2" a="1"/>
  <c r="CB77" i="2" s="1"/>
  <c r="CA77" i="2" a="1"/>
  <c r="CA77" i="2" s="1"/>
  <c r="BW77" i="2" a="1"/>
  <c r="BW77" i="2" s="1"/>
  <c r="BH77" i="2" a="1"/>
  <c r="BH77" i="2" s="1"/>
  <c r="BG77" i="2" a="1"/>
  <c r="BG77" i="2" s="1"/>
  <c r="AY77" i="2" a="1"/>
  <c r="AY77" i="2" s="1"/>
  <c r="AX77" i="2" a="1"/>
  <c r="AX77" i="2" s="1"/>
  <c r="AU77" i="2" a="1"/>
  <c r="AU77" i="2" s="1"/>
  <c r="AS77" i="2" a="1"/>
  <c r="AS77" i="2" s="1"/>
  <c r="AP77" i="2" a="1"/>
  <c r="AP77" i="2" s="1"/>
  <c r="Y77" i="2" a="1"/>
  <c r="Y77" i="2" s="1"/>
  <c r="U77" i="2" a="1"/>
  <c r="U77" i="2" s="1"/>
  <c r="T77" i="2" a="1"/>
  <c r="T77" i="2" s="1"/>
  <c r="S77" i="2" a="1"/>
  <c r="S77" i="2" s="1"/>
  <c r="O77" i="2" a="1"/>
  <c r="O77" i="2" s="1"/>
  <c r="H38" i="9" s="1" a="1"/>
  <c r="H38" i="9" s="1"/>
  <c r="M77" i="2" a="1"/>
  <c r="M77" i="2" s="1"/>
  <c r="L77" i="2" a="1"/>
  <c r="L77" i="2" s="1"/>
  <c r="K77" i="2" a="1"/>
  <c r="K77" i="2" s="1"/>
  <c r="J77" i="2" a="1"/>
  <c r="J77" i="2" s="1"/>
  <c r="CQ76" i="2" a="1"/>
  <c r="CQ76" i="2" s="1"/>
  <c r="CB76" i="2" a="1"/>
  <c r="CB76" i="2" s="1"/>
  <c r="CA76" i="2" a="1"/>
  <c r="CA76" i="2" s="1"/>
  <c r="BW76" i="2" a="1"/>
  <c r="BW76" i="2" s="1"/>
  <c r="BH76" i="2" a="1"/>
  <c r="BH76" i="2" s="1"/>
  <c r="BG76" i="2" a="1"/>
  <c r="BG76" i="2" s="1"/>
  <c r="AX76" i="2" a="1"/>
  <c r="AX76" i="2" s="1"/>
  <c r="AS76" i="2" a="1"/>
  <c r="AS76" i="2" s="1"/>
  <c r="Y76" i="2" a="1"/>
  <c r="Y76" i="2" s="1"/>
  <c r="O76" i="2" a="1"/>
  <c r="O76" i="2" s="1"/>
  <c r="M76" i="2" a="1"/>
  <c r="M76" i="2" s="1"/>
  <c r="L76" i="2" a="1"/>
  <c r="L76" i="2" s="1"/>
  <c r="K76" i="2" a="1"/>
  <c r="K76" i="2" s="1"/>
  <c r="J76" i="2" a="1"/>
  <c r="J76" i="2" s="1"/>
  <c r="CQ75" i="2" a="1"/>
  <c r="CQ75" i="2" s="1"/>
  <c r="CB75" i="2" a="1"/>
  <c r="CB75" i="2" s="1"/>
  <c r="CA75" i="2" a="1"/>
  <c r="CA75" i="2" s="1"/>
  <c r="BW75" i="2" a="1"/>
  <c r="BW75" i="2" s="1"/>
  <c r="BH75" i="2" a="1"/>
  <c r="BH75" i="2" s="1"/>
  <c r="BG75" i="2" a="1"/>
  <c r="BG75" i="2" s="1"/>
  <c r="AY75" i="2" a="1"/>
  <c r="AY75" i="2" s="1"/>
  <c r="AX75" i="2" a="1"/>
  <c r="AX75" i="2" s="1"/>
  <c r="AU75" i="2" a="1"/>
  <c r="AU75" i="2" s="1"/>
  <c r="AS75" i="2" a="1"/>
  <c r="AS75" i="2" s="1"/>
  <c r="Y75" i="2" a="1"/>
  <c r="Y75" i="2" s="1"/>
  <c r="O75" i="2" a="1"/>
  <c r="O75" i="2" s="1"/>
  <c r="H36" i="9" s="1" a="1"/>
  <c r="H36" i="9" s="1"/>
  <c r="M75" i="2" a="1"/>
  <c r="M75" i="2" s="1"/>
  <c r="L75" i="2" a="1"/>
  <c r="L75" i="2" s="1"/>
  <c r="K75" i="2" a="1"/>
  <c r="K75" i="2" s="1"/>
  <c r="J75" i="2" a="1"/>
  <c r="J75" i="2" s="1"/>
  <c r="O74" i="2" a="1"/>
  <c r="O74" i="2" s="1"/>
  <c r="CB71" i="2" a="1"/>
  <c r="CB71" i="2" s="1"/>
  <c r="CA71" i="2" a="1"/>
  <c r="CA71" i="2" s="1"/>
  <c r="BH71" i="2" a="1"/>
  <c r="BH71" i="2" s="1"/>
  <c r="BG71" i="2" a="1"/>
  <c r="BG71" i="2" s="1"/>
  <c r="M71" i="2" a="1"/>
  <c r="M71" i="2" s="1"/>
  <c r="L71" i="2" a="1"/>
  <c r="L71" i="2" s="1"/>
  <c r="K71" i="2" a="1"/>
  <c r="K71" i="2" s="1"/>
  <c r="J71" i="2" a="1"/>
  <c r="J71" i="2" s="1"/>
  <c r="CB70" i="2" a="1"/>
  <c r="CB70" i="2" s="1"/>
  <c r="CA70" i="2" a="1"/>
  <c r="CA70" i="2" s="1"/>
  <c r="BH70" i="2" a="1"/>
  <c r="BH70" i="2" s="1"/>
  <c r="BG70" i="2" a="1"/>
  <c r="BG70" i="2" s="1"/>
  <c r="M70" i="2" a="1"/>
  <c r="M70" i="2" s="1"/>
  <c r="L70" i="2" a="1"/>
  <c r="L70" i="2" s="1"/>
  <c r="K70" i="2" a="1"/>
  <c r="K70" i="2" s="1"/>
  <c r="J70" i="2" a="1"/>
  <c r="J70" i="2" s="1"/>
  <c r="CQ69" i="2" a="1"/>
  <c r="CQ69" i="2" s="1"/>
  <c r="CB69" i="2" a="1"/>
  <c r="CB69" i="2" s="1"/>
  <c r="CA69" i="2" a="1"/>
  <c r="CA69" i="2" s="1"/>
  <c r="BW69" i="2" a="1"/>
  <c r="BW69" i="2" s="1"/>
  <c r="BH69" i="2" a="1"/>
  <c r="BH69" i="2" s="1"/>
  <c r="BG69" i="2" a="1"/>
  <c r="BG69" i="2" s="1"/>
  <c r="AX69" i="2" a="1"/>
  <c r="AX69" i="2" s="1"/>
  <c r="AS69" i="2" a="1"/>
  <c r="AS69" i="2" s="1"/>
  <c r="Y69" i="2" a="1"/>
  <c r="Y69" i="2" s="1"/>
  <c r="O69" i="2" a="1"/>
  <c r="O69" i="2" s="1"/>
  <c r="M69" i="2" a="1"/>
  <c r="M69" i="2" s="1"/>
  <c r="L69" i="2" a="1"/>
  <c r="L69" i="2" s="1"/>
  <c r="K69" i="2" a="1"/>
  <c r="K69" i="2" s="1"/>
  <c r="J69" i="2" a="1"/>
  <c r="J69" i="2" s="1"/>
  <c r="CQ68" i="2" a="1"/>
  <c r="CQ68" i="2" s="1"/>
  <c r="CB68" i="2" a="1"/>
  <c r="CB68" i="2" s="1"/>
  <c r="CA68" i="2" a="1"/>
  <c r="CA68" i="2" s="1"/>
  <c r="BW68" i="2" a="1"/>
  <c r="BW68" i="2" s="1"/>
  <c r="BH68" i="2" a="1"/>
  <c r="BH68" i="2" s="1"/>
  <c r="BG68" i="2" a="1"/>
  <c r="BG68" i="2" s="1"/>
  <c r="AX68" i="2" a="1"/>
  <c r="AX68" i="2" s="1"/>
  <c r="AS68" i="2" a="1"/>
  <c r="AS68" i="2" s="1"/>
  <c r="Y68" i="2" a="1"/>
  <c r="Y68" i="2" s="1"/>
  <c r="O68" i="2" a="1"/>
  <c r="O68" i="2" s="1"/>
  <c r="M68" i="2" a="1"/>
  <c r="M68" i="2" s="1"/>
  <c r="L68" i="2" a="1"/>
  <c r="L68" i="2" s="1"/>
  <c r="K68" i="2" a="1"/>
  <c r="K68" i="2" s="1"/>
  <c r="J68" i="2" a="1"/>
  <c r="J68" i="2" s="1"/>
  <c r="CQ67" i="2" a="1"/>
  <c r="CQ67" i="2" s="1"/>
  <c r="CB67" i="2" a="1"/>
  <c r="CB67" i="2" s="1"/>
  <c r="CA67" i="2" a="1"/>
  <c r="CA67" i="2" s="1"/>
  <c r="BW67" i="2" a="1"/>
  <c r="BW67" i="2" s="1"/>
  <c r="BH67" i="2" a="1"/>
  <c r="BH67" i="2" s="1"/>
  <c r="BG67" i="2" a="1"/>
  <c r="BG67" i="2" s="1"/>
  <c r="AX67" i="2" a="1"/>
  <c r="AX67" i="2" s="1"/>
  <c r="AU67" i="2" a="1"/>
  <c r="AU67" i="2" s="1"/>
  <c r="AS67" i="2" a="1"/>
  <c r="AS67" i="2" s="1"/>
  <c r="Y67" i="2" a="1"/>
  <c r="Y67" i="2" s="1"/>
  <c r="W67" i="2" a="1"/>
  <c r="W67" i="2" s="1"/>
  <c r="O67" i="2" a="1"/>
  <c r="O67" i="2" s="1"/>
  <c r="M67" i="2" a="1"/>
  <c r="M67" i="2" s="1"/>
  <c r="L67" i="2" a="1"/>
  <c r="L67" i="2" s="1"/>
  <c r="K67" i="2" a="1"/>
  <c r="K67" i="2" s="1"/>
  <c r="J67" i="2" a="1"/>
  <c r="J67" i="2" s="1"/>
  <c r="P68" i="2" s="1" a="1"/>
  <c r="P68" i="2" s="1"/>
  <c r="CQ66" i="2" a="1"/>
  <c r="CQ66" i="2" s="1"/>
  <c r="CB66" i="2" a="1"/>
  <c r="CB66" i="2" s="1"/>
  <c r="CA66" i="2" a="1"/>
  <c r="CA66" i="2" s="1"/>
  <c r="BW66" i="2" a="1"/>
  <c r="BW66" i="2" s="1"/>
  <c r="BK66" i="2" a="1"/>
  <c r="BK66" i="2" s="1"/>
  <c r="BH66" i="2" a="1"/>
  <c r="BH66" i="2" s="1"/>
  <c r="BG66" i="2" a="1"/>
  <c r="BG66" i="2" s="1"/>
  <c r="AY66" i="2" a="1"/>
  <c r="AY66" i="2" s="1"/>
  <c r="AX66" i="2" a="1"/>
  <c r="AX66" i="2" s="1"/>
  <c r="AU66" i="2" a="1"/>
  <c r="AU66" i="2" s="1"/>
  <c r="AS66" i="2" a="1"/>
  <c r="AS66" i="2" s="1"/>
  <c r="AP66" i="2" a="1"/>
  <c r="AP66" i="2" s="1"/>
  <c r="Y66" i="2" a="1"/>
  <c r="Y66" i="2" s="1"/>
  <c r="W66" i="2" a="1"/>
  <c r="W66" i="2" s="1"/>
  <c r="U66" i="2" a="1"/>
  <c r="U66" i="2" s="1"/>
  <c r="T66" i="2" a="1"/>
  <c r="T66" i="2" s="1"/>
  <c r="S66" i="2" s="1" a="1"/>
  <c r="S66" i="2" s="1"/>
  <c r="O66" i="2" a="1"/>
  <c r="O66" i="2" s="1"/>
  <c r="H32" i="9" s="1" a="1"/>
  <c r="H32" i="9" s="1"/>
  <c r="M66" i="2" a="1"/>
  <c r="M66" i="2" s="1"/>
  <c r="R66" i="2" s="1" a="1"/>
  <c r="R66" i="2" s="1"/>
  <c r="L66" i="2" a="1"/>
  <c r="L66" i="2" s="1"/>
  <c r="K66" i="2" a="1"/>
  <c r="K66" i="2" s="1"/>
  <c r="J66" i="2" a="1"/>
  <c r="J66" i="2" s="1"/>
  <c r="O65" i="2" a="1"/>
  <c r="O65" i="2" s="1"/>
  <c r="CB62" i="2" a="1"/>
  <c r="CB62" i="2" s="1"/>
  <c r="CA62" i="2" a="1"/>
  <c r="CA62" i="2" s="1"/>
  <c r="BH62" i="2" a="1"/>
  <c r="BH62" i="2" s="1"/>
  <c r="BG62" i="2" a="1"/>
  <c r="BG62" i="2" s="1"/>
  <c r="M62" i="2" a="1"/>
  <c r="M62" i="2" s="1"/>
  <c r="L62" i="2" a="1"/>
  <c r="L62" i="2" s="1"/>
  <c r="K62" i="2" a="1"/>
  <c r="K62" i="2" s="1"/>
  <c r="J62" i="2" a="1"/>
  <c r="J62" i="2" s="1"/>
  <c r="CB61" i="2" a="1"/>
  <c r="CB61" i="2" s="1"/>
  <c r="CA61" i="2" a="1"/>
  <c r="CA61" i="2" s="1"/>
  <c r="BH61" i="2" a="1"/>
  <c r="BH61" i="2" s="1"/>
  <c r="BG61" i="2" a="1"/>
  <c r="BG61" i="2" s="1"/>
  <c r="M61" i="2" a="1"/>
  <c r="M61" i="2" s="1"/>
  <c r="L61" i="2" a="1"/>
  <c r="L61" i="2" s="1"/>
  <c r="K61" i="2" a="1"/>
  <c r="K61" i="2" s="1"/>
  <c r="J61" i="2" a="1"/>
  <c r="J61" i="2" s="1"/>
  <c r="CQ60" i="2" a="1"/>
  <c r="CQ60" i="2" s="1"/>
  <c r="CB60" i="2" a="1"/>
  <c r="CB60" i="2" s="1"/>
  <c r="CA60" i="2" a="1"/>
  <c r="CA60" i="2" s="1"/>
  <c r="BW60" i="2" a="1"/>
  <c r="BW60" i="2" s="1"/>
  <c r="BH60" i="2" a="1"/>
  <c r="BH60" i="2" s="1"/>
  <c r="BG60" i="2" a="1"/>
  <c r="BG60" i="2" s="1"/>
  <c r="AX60" i="2" a="1"/>
  <c r="AX60" i="2" s="1"/>
  <c r="AS60" i="2" a="1"/>
  <c r="AS60" i="2" s="1"/>
  <c r="Y60" i="2" a="1"/>
  <c r="Y60" i="2" s="1"/>
  <c r="O60" i="2" a="1"/>
  <c r="O60" i="2" s="1"/>
  <c r="M60" i="2" a="1"/>
  <c r="M60" i="2" s="1"/>
  <c r="L60" i="2" a="1"/>
  <c r="L60" i="2" s="1"/>
  <c r="K60" i="2" a="1"/>
  <c r="K60" i="2" s="1"/>
  <c r="J60" i="2" a="1"/>
  <c r="J60" i="2" s="1"/>
  <c r="CQ59" i="2" a="1"/>
  <c r="CQ59" i="2" s="1"/>
  <c r="CB59" i="2" a="1"/>
  <c r="CB59" i="2" s="1"/>
  <c r="CA59" i="2" a="1"/>
  <c r="CA59" i="2" s="1"/>
  <c r="BW59" i="2" a="1"/>
  <c r="BW59" i="2" s="1"/>
  <c r="BK59" i="2" a="1"/>
  <c r="BK59" i="2" s="1"/>
  <c r="BH59" i="2" a="1"/>
  <c r="BH59" i="2" s="1"/>
  <c r="BG59" i="2" a="1"/>
  <c r="BG59" i="2" s="1"/>
  <c r="AY59" i="2" a="1"/>
  <c r="AY59" i="2" s="1"/>
  <c r="AX59" i="2" a="1"/>
  <c r="AX59" i="2" s="1"/>
  <c r="AS59" i="2" a="1"/>
  <c r="AS59" i="2" s="1"/>
  <c r="Y59" i="2" a="1"/>
  <c r="Y59" i="2" s="1"/>
  <c r="W59" i="2" a="1"/>
  <c r="W59" i="2" s="1"/>
  <c r="T59" i="2" a="1"/>
  <c r="T59" i="2" s="1"/>
  <c r="O59" i="2" a="1"/>
  <c r="O59" i="2" s="1"/>
  <c r="M59" i="2" a="1"/>
  <c r="M59" i="2" s="1"/>
  <c r="L59" i="2" a="1"/>
  <c r="L59" i="2" s="1"/>
  <c r="K59" i="2" a="1"/>
  <c r="K59" i="2" s="1"/>
  <c r="J59" i="2" a="1"/>
  <c r="J59" i="2" s="1"/>
  <c r="CQ58" i="2" a="1"/>
  <c r="CQ58" i="2" s="1"/>
  <c r="CB58" i="2" a="1"/>
  <c r="CB58" i="2" s="1"/>
  <c r="CA58" i="2" a="1"/>
  <c r="CA58" i="2" s="1"/>
  <c r="BW58" i="2" a="1"/>
  <c r="BW58" i="2" s="1"/>
  <c r="BK58" i="2" a="1"/>
  <c r="BK58" i="2" s="1"/>
  <c r="BH58" i="2" a="1"/>
  <c r="BH58" i="2" s="1"/>
  <c r="BG58" i="2" a="1"/>
  <c r="BG58" i="2"/>
  <c r="AX58" i="2" a="1"/>
  <c r="AX58" i="2" s="1"/>
  <c r="AS58" i="2" a="1"/>
  <c r="AS58" i="2" s="1"/>
  <c r="Y58" i="2" a="1"/>
  <c r="Y58" i="2" s="1"/>
  <c r="U58" i="2" a="1"/>
  <c r="U58" i="2" s="1"/>
  <c r="T58" i="2" a="1"/>
  <c r="T58" i="2" s="1"/>
  <c r="S58" i="2" s="1" a="1"/>
  <c r="S58" i="2" s="1"/>
  <c r="O58" i="2" a="1"/>
  <c r="O58" i="2" s="1"/>
  <c r="H29" i="9" s="1" a="1"/>
  <c r="H29" i="9" s="1"/>
  <c r="M58" i="2" a="1"/>
  <c r="M58" i="2"/>
  <c r="L58" i="2" a="1"/>
  <c r="L58" i="2" s="1"/>
  <c r="K58" i="2" a="1"/>
  <c r="K58" i="2" s="1"/>
  <c r="J58" i="2" a="1"/>
  <c r="J58" i="2" s="1"/>
  <c r="CQ57" i="2" a="1"/>
  <c r="CQ57" i="2" s="1"/>
  <c r="CB57" i="2" a="1"/>
  <c r="CB57" i="2" s="1"/>
  <c r="CA57" i="2" a="1"/>
  <c r="CA57" i="2"/>
  <c r="BW57" i="2" a="1"/>
  <c r="BW57" i="2" s="1"/>
  <c r="BH57" i="2" a="1"/>
  <c r="BH57" i="2"/>
  <c r="BG57" i="2" a="1"/>
  <c r="BG57" i="2" s="1"/>
  <c r="AX57" i="2" a="1"/>
  <c r="AX57" i="2"/>
  <c r="AU57" i="2" a="1"/>
  <c r="AU57" i="2" s="1"/>
  <c r="AS57" i="2" a="1"/>
  <c r="AS57" i="2" s="1"/>
  <c r="AP57" i="2" a="1"/>
  <c r="AP57" i="2" s="1"/>
  <c r="Y57" i="2" a="1"/>
  <c r="Y57" i="2"/>
  <c r="W57" i="2" a="1"/>
  <c r="W57" i="2" s="1"/>
  <c r="U57" i="2" a="1"/>
  <c r="U57" i="2" s="1"/>
  <c r="T57" i="2" a="1"/>
  <c r="T57" i="2"/>
  <c r="S57" i="2" s="1" a="1"/>
  <c r="S57" i="2" s="1"/>
  <c r="O57" i="2" a="1"/>
  <c r="O57" i="2" s="1"/>
  <c r="M57" i="2" a="1"/>
  <c r="M57" i="2"/>
  <c r="R57" i="2" s="1" a="1"/>
  <c r="R57" i="2" s="1"/>
  <c r="L57" i="2" a="1"/>
  <c r="L57" i="2"/>
  <c r="K57" i="2" a="1"/>
  <c r="K57" i="2" s="1"/>
  <c r="J57" i="2" a="1"/>
  <c r="J57" i="2" s="1"/>
  <c r="O56" i="2" a="1"/>
  <c r="O56" i="2"/>
  <c r="CB53" i="2" a="1"/>
  <c r="CB53" i="2" s="1"/>
  <c r="CA53" i="2" a="1"/>
  <c r="CA53" i="2"/>
  <c r="BH53" i="2" a="1"/>
  <c r="BH53" i="2"/>
  <c r="BG53" i="2" a="1"/>
  <c r="BG53" i="2" s="1"/>
  <c r="M53" i="2" a="1"/>
  <c r="M53" i="2" s="1"/>
  <c r="L53" i="2" a="1"/>
  <c r="L53" i="2"/>
  <c r="K53" i="2" a="1"/>
  <c r="K53" i="2" s="1"/>
  <c r="J53" i="2" a="1"/>
  <c r="J53" i="2" s="1"/>
  <c r="CB52" i="2" a="1"/>
  <c r="CB52" i="2" s="1"/>
  <c r="CA52" i="2" a="1"/>
  <c r="CA52" i="2" s="1"/>
  <c r="BH52" i="2" a="1"/>
  <c r="BH52" i="2"/>
  <c r="BG52" i="2" a="1"/>
  <c r="BG52" i="2" s="1"/>
  <c r="M52" i="2" a="1"/>
  <c r="M52" i="2" s="1"/>
  <c r="L52" i="2" a="1"/>
  <c r="L52" i="2"/>
  <c r="K52" i="2" a="1"/>
  <c r="K52" i="2" s="1"/>
  <c r="J52" i="2" a="1"/>
  <c r="J52" i="2"/>
  <c r="CQ51" i="2" a="1"/>
  <c r="CQ51" i="2"/>
  <c r="CB51" i="2" a="1"/>
  <c r="CB51" i="2" s="1"/>
  <c r="CA51" i="2" a="1"/>
  <c r="CA51" i="2" s="1"/>
  <c r="BW51" i="2" a="1"/>
  <c r="BW51" i="2"/>
  <c r="BK51" i="2" a="1"/>
  <c r="BK51" i="2" s="1"/>
  <c r="BH51" i="2" a="1"/>
  <c r="BH51" i="2"/>
  <c r="BG51" i="2" a="1"/>
  <c r="BG51" i="2" s="1"/>
  <c r="AY51" i="2" a="1"/>
  <c r="AY51" i="2" s="1"/>
  <c r="AX51" i="2" a="1"/>
  <c r="AX51" i="2"/>
  <c r="AU51" i="2" a="1"/>
  <c r="AU51" i="2" s="1"/>
  <c r="AS51" i="2" a="1"/>
  <c r="AS51" i="2"/>
  <c r="AP51" i="2" a="1"/>
  <c r="AP51" i="2"/>
  <c r="Y51" i="2" a="1"/>
  <c r="Y51" i="2"/>
  <c r="T51" i="2" a="1"/>
  <c r="T51" i="2"/>
  <c r="O51" i="2" a="1"/>
  <c r="O51" i="2" s="1"/>
  <c r="M51" i="2" a="1"/>
  <c r="M51" i="2"/>
  <c r="L51" i="2" a="1"/>
  <c r="L51" i="2"/>
  <c r="K51" i="2" a="1"/>
  <c r="K51" i="2" s="1"/>
  <c r="J51" i="2" a="1"/>
  <c r="J51" i="2"/>
  <c r="CQ50" i="2" a="1"/>
  <c r="CQ50" i="2" s="1"/>
  <c r="CB50" i="2" a="1"/>
  <c r="CB50" i="2"/>
  <c r="CA50" i="2" a="1"/>
  <c r="CA50" i="2" s="1"/>
  <c r="BW50" i="2" a="1"/>
  <c r="BW50" i="2"/>
  <c r="BH50" i="2" a="1"/>
  <c r="BH50" i="2" s="1"/>
  <c r="BG50" i="2" a="1"/>
  <c r="BG50" i="2"/>
  <c r="AY50" i="2" a="1"/>
  <c r="AY50" i="2" s="1"/>
  <c r="AX50" i="2" a="1"/>
  <c r="AX50" i="2" s="1"/>
  <c r="AS50" i="2" a="1"/>
  <c r="AS50" i="2" s="1"/>
  <c r="AP50" i="2" a="1"/>
  <c r="AP50" i="2" s="1"/>
  <c r="Y50" i="2" a="1"/>
  <c r="Y50" i="2"/>
  <c r="T50" i="2" a="1"/>
  <c r="T50" i="2" s="1"/>
  <c r="O50" i="2" a="1"/>
  <c r="O50" i="2" s="1"/>
  <c r="AU50" i="2" s="1" a="1"/>
  <c r="AU50" i="2" s="1"/>
  <c r="M50" i="2" a="1"/>
  <c r="M50" i="2"/>
  <c r="L50" i="2" a="1"/>
  <c r="L50" i="2" s="1"/>
  <c r="K50" i="2" a="1"/>
  <c r="K50" i="2" s="1"/>
  <c r="J50" i="2" a="1"/>
  <c r="J50" i="2"/>
  <c r="CQ49" i="2" a="1"/>
  <c r="CQ49" i="2" s="1"/>
  <c r="CB49" i="2" a="1"/>
  <c r="CB49" i="2"/>
  <c r="CA49" i="2" a="1"/>
  <c r="CA49" i="2" s="1"/>
  <c r="BW49" i="2" a="1"/>
  <c r="BW49" i="2"/>
  <c r="BH49" i="2" a="1"/>
  <c r="BH49" i="2" s="1"/>
  <c r="BG49" i="2" a="1"/>
  <c r="BG49" i="2"/>
  <c r="AX49" i="2" a="1"/>
  <c r="AX49" i="2" s="1"/>
  <c r="AS49" i="2" a="1"/>
  <c r="AS49" i="2" s="1"/>
  <c r="AP49" i="2" a="1"/>
  <c r="AP49" i="2" s="1"/>
  <c r="Y49" i="2" a="1"/>
  <c r="Y49" i="2" s="1"/>
  <c r="O49" i="2" a="1"/>
  <c r="O49" i="2" s="1"/>
  <c r="M49" i="2" a="1"/>
  <c r="M49" i="2" s="1"/>
  <c r="L49" i="2" a="1"/>
  <c r="L49" i="2"/>
  <c r="K49" i="2" a="1"/>
  <c r="K49" i="2" s="1"/>
  <c r="J49" i="2" a="1"/>
  <c r="J49" i="2" s="1"/>
  <c r="P50" i="2" s="1" a="1"/>
  <c r="P50" i="2" s="1"/>
  <c r="CQ48" i="2" a="1"/>
  <c r="CQ48" i="2"/>
  <c r="CB48" i="2" a="1"/>
  <c r="CB48" i="2" s="1"/>
  <c r="CA48" i="2" a="1"/>
  <c r="CA48" i="2"/>
  <c r="BW48" i="2" a="1"/>
  <c r="BW48" i="2" s="1"/>
  <c r="BH48" i="2" a="1"/>
  <c r="BH48" i="2" s="1"/>
  <c r="BG48" i="2" a="1"/>
  <c r="BG48" i="2"/>
  <c r="AX48" i="2" a="1"/>
  <c r="AX48" i="2"/>
  <c r="AS48" i="2" a="1"/>
  <c r="AS48" i="2"/>
  <c r="Y48" i="2" a="1"/>
  <c r="Y48" i="2" s="1"/>
  <c r="O48" i="2" a="1"/>
  <c r="O48" i="2" s="1"/>
  <c r="M48" i="2" a="1"/>
  <c r="M48" i="2"/>
  <c r="R51" i="2" s="1" a="1"/>
  <c r="R51" i="2" s="1"/>
  <c r="L48" i="2" a="1"/>
  <c r="L48" i="2"/>
  <c r="K48" i="2" a="1"/>
  <c r="K48" i="2" s="1"/>
  <c r="Q51" i="2" s="1" a="1"/>
  <c r="Q51" i="2" s="1"/>
  <c r="J48" i="2" a="1"/>
  <c r="J48" i="2" s="1"/>
  <c r="P51" i="2" s="1" a="1"/>
  <c r="P51" i="2" s="1"/>
  <c r="O47" i="2" a="1"/>
  <c r="O47" i="2"/>
  <c r="CB44" i="2" a="1"/>
  <c r="CB44" i="2" s="1"/>
  <c r="CA44" i="2" a="1"/>
  <c r="CA44" i="2" s="1"/>
  <c r="BH44" i="2" a="1"/>
  <c r="BH44" i="2"/>
  <c r="BG44" i="2" a="1"/>
  <c r="BG44" i="2" s="1"/>
  <c r="M44" i="2" a="1"/>
  <c r="M44" i="2" s="1"/>
  <c r="L44" i="2" a="1"/>
  <c r="L44" i="2"/>
  <c r="K44" i="2" a="1"/>
  <c r="K44" i="2"/>
  <c r="J44" i="2" a="1"/>
  <c r="J44" i="2" s="1"/>
  <c r="CB43" i="2" a="1"/>
  <c r="CB43" i="2"/>
  <c r="CA43" i="2" a="1"/>
  <c r="CA43" i="2" s="1"/>
  <c r="BH43" i="2" a="1"/>
  <c r="BH43" i="2"/>
  <c r="BG43" i="2" a="1"/>
  <c r="BG43" i="2"/>
  <c r="M43" i="2" a="1"/>
  <c r="M43" i="2" s="1"/>
  <c r="L43" i="2" a="1"/>
  <c r="L43" i="2"/>
  <c r="K43" i="2" a="1"/>
  <c r="K43" i="2" s="1"/>
  <c r="J43" i="2" a="1"/>
  <c r="J43" i="2"/>
  <c r="CQ42" i="2" a="1"/>
  <c r="CQ42" i="2" s="1"/>
  <c r="CB42" i="2" a="1"/>
  <c r="CB42" i="2"/>
  <c r="CA42" i="2" a="1"/>
  <c r="CA42" i="2" s="1"/>
  <c r="BW42" i="2" a="1"/>
  <c r="BW42" i="2"/>
  <c r="BK42" i="2" a="1"/>
  <c r="BK42" i="2"/>
  <c r="BH42" i="2" a="1"/>
  <c r="BH42" i="2" s="1"/>
  <c r="BG42" i="2" a="1"/>
  <c r="BG42" i="2"/>
  <c r="AX42" i="2" a="1"/>
  <c r="AX42" i="2"/>
  <c r="AS42" i="2" a="1"/>
  <c r="AS42" i="2" s="1"/>
  <c r="Y42" i="2" a="1"/>
  <c r="Y42" i="2" s="1"/>
  <c r="O42" i="2" a="1"/>
  <c r="O42" i="2"/>
  <c r="M42" i="2" a="1"/>
  <c r="M42" i="2" s="1"/>
  <c r="L42" i="2" a="1"/>
  <c r="L42" i="2" s="1"/>
  <c r="K42" i="2" a="1"/>
  <c r="K42" i="2" s="1"/>
  <c r="J42" i="2" a="1"/>
  <c r="J42" i="2"/>
  <c r="CQ41" i="2" a="1"/>
  <c r="CQ41" i="2" s="1"/>
  <c r="CB41" i="2" a="1"/>
  <c r="CB41" i="2" s="1"/>
  <c r="CA41" i="2" a="1"/>
  <c r="CA41" i="2" s="1"/>
  <c r="BW41" i="2" a="1"/>
  <c r="BW41" i="2"/>
  <c r="BH41" i="2" a="1"/>
  <c r="BH41" i="2"/>
  <c r="BG41" i="2" a="1"/>
  <c r="BG41" i="2" s="1"/>
  <c r="AX41" i="2" a="1"/>
  <c r="AX41" i="2" s="1"/>
  <c r="AS41" i="2" a="1"/>
  <c r="AS41" i="2"/>
  <c r="Y41" i="2" a="1"/>
  <c r="Y41" i="2" s="1"/>
  <c r="O41" i="2" a="1"/>
  <c r="O41" i="2" s="1"/>
  <c r="M41" i="2" a="1"/>
  <c r="M41" i="2"/>
  <c r="L41" i="2" a="1"/>
  <c r="L41" i="2"/>
  <c r="K41" i="2" a="1"/>
  <c r="K41" i="2" s="1"/>
  <c r="J41" i="2" a="1"/>
  <c r="J41" i="2" s="1"/>
  <c r="CQ40" i="2" a="1"/>
  <c r="CQ40" i="2"/>
  <c r="CB40" i="2" a="1"/>
  <c r="CB40" i="2"/>
  <c r="CA40" i="2" a="1"/>
  <c r="CA40" i="2"/>
  <c r="BW40" i="2" a="1"/>
  <c r="BW40" i="2"/>
  <c r="BK40" i="2" a="1"/>
  <c r="BK40" i="2" s="1"/>
  <c r="BH40" i="2" a="1"/>
  <c r="BH40" i="2"/>
  <c r="BG40" i="2" a="1"/>
  <c r="BG40" i="2"/>
  <c r="AX40" i="2" a="1"/>
  <c r="AX40" i="2"/>
  <c r="AS40" i="2" a="1"/>
  <c r="AS40" i="2"/>
  <c r="Y40" i="2" a="1"/>
  <c r="Y40" i="2"/>
  <c r="O40" i="2" a="1"/>
  <c r="O40" i="2" s="1"/>
  <c r="AY40" i="2" s="1" a="1"/>
  <c r="AY40" i="2" s="1"/>
  <c r="M40" i="2" a="1"/>
  <c r="M40" i="2" s="1"/>
  <c r="L40" i="2" a="1"/>
  <c r="L40" i="2"/>
  <c r="K40" i="2" a="1"/>
  <c r="K40" i="2" s="1"/>
  <c r="J40" i="2" a="1"/>
  <c r="J40" i="2" s="1"/>
  <c r="CQ39" i="2" a="1"/>
  <c r="CQ39" i="2" s="1"/>
  <c r="CB39" i="2" a="1"/>
  <c r="CB39" i="2" s="1"/>
  <c r="CA39" i="2" a="1"/>
  <c r="CA39" i="2"/>
  <c r="BW39" i="2" a="1"/>
  <c r="BW39" i="2" s="1"/>
  <c r="BH39" i="2" a="1"/>
  <c r="BH39" i="2"/>
  <c r="BG39" i="2" a="1"/>
  <c r="BG39" i="2" s="1"/>
  <c r="AX39" i="2" a="1"/>
  <c r="AX39" i="2" s="1"/>
  <c r="AS39" i="2" a="1"/>
  <c r="AS39" i="2"/>
  <c r="Y39" i="2" a="1"/>
  <c r="Y39" i="2" s="1"/>
  <c r="O39" i="2" a="1"/>
  <c r="O39" i="2" s="1"/>
  <c r="M39" i="2" a="1"/>
  <c r="M39" i="2" s="1"/>
  <c r="R39" i="2" s="1" a="1"/>
  <c r="R39" i="2" s="1"/>
  <c r="L39" i="2" a="1"/>
  <c r="L39" i="2" s="1"/>
  <c r="K39" i="2" a="1"/>
  <c r="K39" i="2"/>
  <c r="J39" i="2" a="1"/>
  <c r="J39" i="2" s="1"/>
  <c r="O38" i="2" a="1"/>
  <c r="O38" i="2" s="1"/>
  <c r="CB35" i="2" a="1"/>
  <c r="CB35" i="2" s="1"/>
  <c r="CA35" i="2" a="1"/>
  <c r="CA35" i="2"/>
  <c r="BH35" i="2" a="1"/>
  <c r="BH35" i="2" s="1"/>
  <c r="BG35" i="2" a="1"/>
  <c r="BG35" i="2" s="1"/>
  <c r="M35" i="2" a="1"/>
  <c r="M35" i="2" s="1"/>
  <c r="L35" i="2" a="1"/>
  <c r="L35" i="2"/>
  <c r="K35" i="2" a="1"/>
  <c r="K35" i="2"/>
  <c r="J35" i="2" a="1"/>
  <c r="J35" i="2" s="1"/>
  <c r="CB34" i="2" a="1"/>
  <c r="CB34" i="2" s="1"/>
  <c r="CA34" i="2" a="1"/>
  <c r="CA34" i="2"/>
  <c r="BH34" i="2" a="1"/>
  <c r="BH34" i="2" s="1"/>
  <c r="BG34" i="2" a="1"/>
  <c r="BG34" i="2"/>
  <c r="M34" i="2" a="1"/>
  <c r="M34" i="2"/>
  <c r="R32" i="2" s="1" a="1"/>
  <c r="R32" i="2" s="1"/>
  <c r="L34" i="2" a="1"/>
  <c r="L34" i="2" s="1"/>
  <c r="K34" i="2" a="1"/>
  <c r="K34" i="2"/>
  <c r="J34" i="2" a="1"/>
  <c r="J34" i="2"/>
  <c r="CQ33" i="2" a="1"/>
  <c r="CQ33" i="2"/>
  <c r="CB33" i="2" a="1"/>
  <c r="CB33" i="2"/>
  <c r="CA33" i="2" a="1"/>
  <c r="CA33" i="2" s="1"/>
  <c r="BW33" i="2" a="1"/>
  <c r="BW33" i="2" s="1"/>
  <c r="BH33" i="2" a="1"/>
  <c r="BH33" i="2" s="1"/>
  <c r="BG33" i="2" a="1"/>
  <c r="BG33" i="2" s="1"/>
  <c r="AY33" i="2" a="1"/>
  <c r="AY33" i="2"/>
  <c r="AX33" i="2" a="1"/>
  <c r="AX33" i="2" s="1"/>
  <c r="AS33" i="2" a="1"/>
  <c r="AS33" i="2"/>
  <c r="AP33" i="2" a="1"/>
  <c r="AP33" i="2"/>
  <c r="Y33" i="2" a="1"/>
  <c r="Y33" i="2" s="1"/>
  <c r="W33" i="2" a="1"/>
  <c r="W33" i="2" s="1"/>
  <c r="O33" i="2" a="1"/>
  <c r="O33" i="2" s="1"/>
  <c r="M33" i="2" a="1"/>
  <c r="M33" i="2" s="1"/>
  <c r="L33" i="2" a="1"/>
  <c r="L33" i="2"/>
  <c r="K33" i="2" a="1"/>
  <c r="K33" i="2"/>
  <c r="J33" i="2" a="1"/>
  <c r="J33" i="2" s="1"/>
  <c r="CQ32" i="2" a="1"/>
  <c r="CQ32" i="2"/>
  <c r="CB32" i="2" a="1"/>
  <c r="CB32" i="2"/>
  <c r="CA32" i="2" a="1"/>
  <c r="CA32" i="2"/>
  <c r="BW32" i="2" a="1"/>
  <c r="BW32" i="2" s="1"/>
  <c r="BH32" i="2" a="1"/>
  <c r="BH32" i="2"/>
  <c r="BG32" i="2" a="1"/>
  <c r="BG32" i="2"/>
  <c r="AX32" i="2" a="1"/>
  <c r="AX32" i="2"/>
  <c r="AS32" i="2" a="1"/>
  <c r="AS32" i="2" s="1"/>
  <c r="Y32" i="2" a="1"/>
  <c r="Y32" i="2" s="1"/>
  <c r="O32" i="2" a="1"/>
  <c r="O32" i="2" s="1"/>
  <c r="AP32" i="2" s="1" a="1"/>
  <c r="AP32" i="2" s="1"/>
  <c r="M32" i="2" a="1"/>
  <c r="M32" i="2" s="1"/>
  <c r="L32" i="2" a="1"/>
  <c r="L32" i="2"/>
  <c r="K32" i="2" a="1"/>
  <c r="K32" i="2"/>
  <c r="J32" i="2" a="1"/>
  <c r="J32" i="2" s="1"/>
  <c r="CQ31" i="2" a="1"/>
  <c r="CQ31" i="2"/>
  <c r="CB31" i="2" a="1"/>
  <c r="CB31" i="2"/>
  <c r="CA31" i="2" a="1"/>
  <c r="CA31" i="2" s="1"/>
  <c r="BW31" i="2" a="1"/>
  <c r="BW31" i="2"/>
  <c r="BH31" i="2" a="1"/>
  <c r="BH31" i="2" s="1"/>
  <c r="BG31" i="2" a="1"/>
  <c r="BG31" i="2" s="1"/>
  <c r="AX31" i="2" a="1"/>
  <c r="AX31" i="2" s="1"/>
  <c r="AS31" i="2" a="1"/>
  <c r="AS31" i="2" s="1"/>
  <c r="Y31" i="2" a="1"/>
  <c r="Y31" i="2" s="1"/>
  <c r="O31" i="2" a="1"/>
  <c r="O31" i="2" s="1"/>
  <c r="M31" i="2" a="1"/>
  <c r="M31" i="2"/>
  <c r="L31" i="2" a="1"/>
  <c r="L31" i="2"/>
  <c r="K31" i="2" a="1"/>
  <c r="K31" i="2" s="1"/>
  <c r="J31" i="2" a="1"/>
  <c r="J31" i="2"/>
  <c r="CQ30" i="2" a="1"/>
  <c r="CQ30" i="2"/>
  <c r="CB30" i="2" a="1"/>
  <c r="CB30" i="2" s="1"/>
  <c r="CA30" i="2" a="1"/>
  <c r="CA30" i="2" s="1"/>
  <c r="BW30" i="2" a="1"/>
  <c r="BW30" i="2"/>
  <c r="BK30" i="2" a="1"/>
  <c r="BK30" i="2" s="1"/>
  <c r="BH30" i="2" a="1"/>
  <c r="BH30" i="2"/>
  <c r="BG30" i="2" a="1"/>
  <c r="BG30" i="2" s="1"/>
  <c r="AX30" i="2" a="1"/>
  <c r="AX30" i="2"/>
  <c r="AU30" i="2" a="1"/>
  <c r="AU30" i="2" s="1"/>
  <c r="AS30" i="2" a="1"/>
  <c r="AS30" i="2"/>
  <c r="Y30" i="2" a="1"/>
  <c r="Y30" i="2" s="1"/>
  <c r="T30" i="2" a="1"/>
  <c r="T30" i="2" s="1"/>
  <c r="O30" i="2" a="1"/>
  <c r="O30" i="2"/>
  <c r="AY30" i="2" s="1" a="1"/>
  <c r="AY30" i="2" s="1"/>
  <c r="M30" i="2" a="1"/>
  <c r="M30" i="2" s="1"/>
  <c r="L30" i="2" a="1"/>
  <c r="L30" i="2" s="1"/>
  <c r="K30" i="2" a="1"/>
  <c r="K30" i="2" s="1"/>
  <c r="J30" i="2" a="1"/>
  <c r="J30" i="2" s="1"/>
  <c r="P33" i="2" s="1" a="1"/>
  <c r="P33" i="2" s="1"/>
  <c r="O29" i="2" a="1"/>
  <c r="O29" i="2" s="1"/>
  <c r="CB26" i="2" a="1"/>
  <c r="CB26" i="2" s="1"/>
  <c r="CA26" i="2" a="1"/>
  <c r="CA26" i="2" s="1"/>
  <c r="BH26" i="2" a="1"/>
  <c r="BH26" i="2" s="1"/>
  <c r="BG26" i="2" a="1"/>
  <c r="BG26" i="2"/>
  <c r="M26" i="2" a="1"/>
  <c r="M26" i="2" s="1"/>
  <c r="L26" i="2" a="1"/>
  <c r="L26" i="2" s="1"/>
  <c r="K26" i="2" a="1"/>
  <c r="K26" i="2"/>
  <c r="J26" i="2" a="1"/>
  <c r="J26" i="2"/>
  <c r="CB25" i="2" a="1"/>
  <c r="CB25" i="2"/>
  <c r="CA25" i="2" a="1"/>
  <c r="CA25" i="2" s="1"/>
  <c r="BH25" i="2" a="1"/>
  <c r="BH25" i="2" s="1"/>
  <c r="BG25" i="2" a="1"/>
  <c r="BG25" i="2"/>
  <c r="M25" i="2" a="1"/>
  <c r="M25" i="2" s="1"/>
  <c r="L25" i="2" a="1"/>
  <c r="L25" i="2" s="1"/>
  <c r="K25" i="2" a="1"/>
  <c r="K25" i="2"/>
  <c r="J25" i="2" a="1"/>
  <c r="J25" i="2" s="1"/>
  <c r="CQ24" i="2" a="1"/>
  <c r="CQ24" i="2" s="1"/>
  <c r="CB24" i="2" a="1"/>
  <c r="CB24" i="2"/>
  <c r="CA24" i="2" a="1"/>
  <c r="CA24" i="2" s="1"/>
  <c r="BW24" i="2" a="1"/>
  <c r="BW24" i="2" s="1"/>
  <c r="BH24" i="2" a="1"/>
  <c r="BH24" i="2"/>
  <c r="BG24" i="2" a="1"/>
  <c r="BG24" i="2"/>
  <c r="AX24" i="2" a="1"/>
  <c r="AX24" i="2" s="1"/>
  <c r="AS24" i="2" a="1"/>
  <c r="AS24" i="2" s="1"/>
  <c r="Y24" i="2" a="1"/>
  <c r="Y24" i="2" s="1"/>
  <c r="O24" i="2" a="1"/>
  <c r="O24" i="2" s="1"/>
  <c r="M24" i="2" a="1"/>
  <c r="M24" i="2" s="1"/>
  <c r="L24" i="2" a="1"/>
  <c r="L24" i="2"/>
  <c r="K24" i="2" a="1"/>
  <c r="K24" i="2"/>
  <c r="J24" i="2" a="1"/>
  <c r="J24" i="2" s="1"/>
  <c r="CQ23" i="2" a="1"/>
  <c r="CQ23" i="2"/>
  <c r="CB23" i="2" a="1"/>
  <c r="CB23" i="2" s="1"/>
  <c r="CA23" i="2" a="1"/>
  <c r="CA23" i="2"/>
  <c r="BW23" i="2" a="1"/>
  <c r="BW23" i="2" s="1"/>
  <c r="BH23" i="2" a="1"/>
  <c r="BH23" i="2"/>
  <c r="BG23" i="2" a="1"/>
  <c r="BG23" i="2" s="1"/>
  <c r="AX23" i="2" a="1"/>
  <c r="AX23" i="2" s="1"/>
  <c r="AS23" i="2" a="1"/>
  <c r="AS23" i="2"/>
  <c r="Y23" i="2" a="1"/>
  <c r="Y23" i="2" s="1"/>
  <c r="T23" i="2" a="1"/>
  <c r="T23" i="2" s="1"/>
  <c r="O23" i="2" a="1"/>
  <c r="O23" i="2" s="1"/>
  <c r="M23" i="2" a="1"/>
  <c r="M23" i="2"/>
  <c r="L23" i="2" a="1"/>
  <c r="L23" i="2"/>
  <c r="K23" i="2" a="1"/>
  <c r="K23" i="2" s="1"/>
  <c r="J23" i="2" a="1"/>
  <c r="J23" i="2" s="1"/>
  <c r="CQ22" i="2" a="1"/>
  <c r="CQ22" i="2"/>
  <c r="CB22" i="2" a="1"/>
  <c r="CB22" i="2" s="1"/>
  <c r="CA22" i="2" a="1"/>
  <c r="CA22" i="2" s="1"/>
  <c r="BW22" i="2" a="1"/>
  <c r="BW22" i="2" s="1"/>
  <c r="BH22" i="2" a="1"/>
  <c r="BH22" i="2"/>
  <c r="BG22" i="2" a="1"/>
  <c r="BG22" i="2" s="1"/>
  <c r="AX22" i="2" a="1"/>
  <c r="AX22" i="2"/>
  <c r="AS22" i="2" a="1"/>
  <c r="AS22" i="2"/>
  <c r="Y22" i="2" a="1"/>
  <c r="Y22" i="2" s="1"/>
  <c r="W22" i="2" a="1"/>
  <c r="W22" i="2" s="1"/>
  <c r="O22" i="2" a="1"/>
  <c r="O22" i="2" s="1"/>
  <c r="AY22" i="2" s="1" a="1"/>
  <c r="AY22" i="2" s="1"/>
  <c r="M22" i="2" a="1"/>
  <c r="M22" i="2" s="1"/>
  <c r="R21" i="2" s="1" a="1"/>
  <c r="R21" i="2" s="1"/>
  <c r="L22" i="2" a="1"/>
  <c r="L22" i="2" s="1"/>
  <c r="Q21" i="2" s="1" a="1"/>
  <c r="Q21" i="2" s="1"/>
  <c r="K22" i="2" a="1"/>
  <c r="K22" i="2"/>
  <c r="J22" i="2" a="1"/>
  <c r="J22" i="2"/>
  <c r="CQ21" i="2" a="1"/>
  <c r="CQ21" i="2" s="1"/>
  <c r="CB21" i="2" a="1"/>
  <c r="CB21" i="2"/>
  <c r="CA21" i="2" a="1"/>
  <c r="CA21" i="2"/>
  <c r="BW21" i="2" a="1"/>
  <c r="BW21" i="2" s="1"/>
  <c r="BH21" i="2" a="1"/>
  <c r="BH21" i="2" s="1"/>
  <c r="BG21" i="2" a="1"/>
  <c r="BG21" i="2"/>
  <c r="AY21" i="2" a="1"/>
  <c r="AY21" i="2" s="1"/>
  <c r="AX21" i="2" a="1"/>
  <c r="AX21" i="2"/>
  <c r="AU21" i="2" a="1"/>
  <c r="AU21" i="2"/>
  <c r="AS21" i="2" a="1"/>
  <c r="AS21" i="2" s="1"/>
  <c r="Y21" i="2" a="1"/>
  <c r="Y21" i="2"/>
  <c r="U21" i="2" a="1"/>
  <c r="U21" i="2" s="1"/>
  <c r="O21" i="2" a="1"/>
  <c r="O21" i="2" s="1"/>
  <c r="M21" i="2" a="1"/>
  <c r="M21" i="2" s="1"/>
  <c r="L21" i="2" a="1"/>
  <c r="L21" i="2" s="1"/>
  <c r="K21" i="2" a="1"/>
  <c r="K21" i="2"/>
  <c r="J21" i="2" a="1"/>
  <c r="J21" i="2"/>
  <c r="O20" i="2" a="1"/>
  <c r="O20" i="2"/>
  <c r="CB17" i="2" a="1"/>
  <c r="CB17" i="2"/>
  <c r="CA17" i="2" a="1"/>
  <c r="CA17" i="2" s="1"/>
  <c r="BH17" i="2" a="1"/>
  <c r="BH17" i="2" s="1"/>
  <c r="BG17" i="2" a="1"/>
  <c r="BG17" i="2" s="1"/>
  <c r="M17" i="2" a="1"/>
  <c r="M17" i="2"/>
  <c r="L17" i="2" a="1"/>
  <c r="L17" i="2"/>
  <c r="K17" i="2" a="1"/>
  <c r="K17" i="2" s="1"/>
  <c r="J17" i="2" a="1"/>
  <c r="J17" i="2"/>
  <c r="CB16" i="2" a="1"/>
  <c r="CB16" i="2" s="1"/>
  <c r="CA16" i="2" a="1"/>
  <c r="CA16" i="2"/>
  <c r="BH16" i="2" a="1"/>
  <c r="BH16" i="2"/>
  <c r="BG16" i="2" a="1"/>
  <c r="BG16" i="2" s="1"/>
  <c r="M16" i="2" a="1"/>
  <c r="M16" i="2" s="1"/>
  <c r="L16" i="2" a="1"/>
  <c r="L16" i="2"/>
  <c r="K16" i="2" a="1"/>
  <c r="K16" i="2" s="1"/>
  <c r="J16" i="2" a="1"/>
  <c r="J16" i="2"/>
  <c r="CW15" i="2" a="1"/>
  <c r="CW15" i="2" s="1"/>
  <c r="CQ15" i="2" a="1"/>
  <c r="CQ15" i="2"/>
  <c r="CB15" i="2" a="1"/>
  <c r="CB15" i="2" s="1"/>
  <c r="CA15" i="2" a="1"/>
  <c r="CA15" i="2" s="1"/>
  <c r="BW15" i="2" a="1"/>
  <c r="BW15" i="2" s="1"/>
  <c r="BH15" i="2" a="1"/>
  <c r="BH15" i="2" s="1"/>
  <c r="BG15" i="2" a="1"/>
  <c r="BG15" i="2" s="1"/>
  <c r="AX15" i="2" a="1"/>
  <c r="AX15" i="2" s="1"/>
  <c r="AS15" i="2" a="1"/>
  <c r="AS15" i="2"/>
  <c r="Y15" i="2" a="1"/>
  <c r="Y15" i="2" s="1"/>
  <c r="O15" i="2" a="1"/>
  <c r="O15" i="2"/>
  <c r="AU15" i="2" s="1" a="1"/>
  <c r="AU15" i="2" s="1"/>
  <c r="M15" i="2" a="1"/>
  <c r="M15" i="2"/>
  <c r="L15" i="2" a="1"/>
  <c r="L15" i="2" s="1"/>
  <c r="K15" i="2" a="1"/>
  <c r="K15" i="2"/>
  <c r="J15" i="2" a="1"/>
  <c r="J15" i="2" s="1"/>
  <c r="CQ14" i="2" a="1"/>
  <c r="CQ14" i="2"/>
  <c r="CB14" i="2" a="1"/>
  <c r="CB14" i="2"/>
  <c r="CA14" i="2" a="1"/>
  <c r="CA14" i="2" s="1"/>
  <c r="BW14" i="2" a="1"/>
  <c r="BW14" i="2" s="1"/>
  <c r="BH14" i="2" a="1"/>
  <c r="BH14" i="2" s="1"/>
  <c r="BG14" i="2" a="1"/>
  <c r="BG14" i="2"/>
  <c r="AX14" i="2" a="1"/>
  <c r="AX14" i="2"/>
  <c r="AU14" i="2" a="1"/>
  <c r="AU14" i="2" s="1"/>
  <c r="AS14" i="2" a="1"/>
  <c r="AS14" i="2" s="1"/>
  <c r="Y14" i="2" a="1"/>
  <c r="Y14" i="2" s="1"/>
  <c r="O14" i="2" a="1"/>
  <c r="O14" i="2" s="1"/>
  <c r="M14" i="2" a="1"/>
  <c r="M14" i="2"/>
  <c r="L14" i="2" a="1"/>
  <c r="L14" i="2" s="1"/>
  <c r="K14" i="2" a="1"/>
  <c r="K14" i="2" s="1"/>
  <c r="J14" i="2" a="1"/>
  <c r="J14" i="2" s="1"/>
  <c r="CQ13" i="2" a="1"/>
  <c r="CQ13" i="2"/>
  <c r="CB13" i="2" a="1"/>
  <c r="CB13" i="2" s="1"/>
  <c r="CA13" i="2" a="1"/>
  <c r="CA13" i="2" s="1"/>
  <c r="BW13" i="2" a="1"/>
  <c r="BW13" i="2" s="1"/>
  <c r="BK13" i="2" a="1"/>
  <c r="BK13" i="2" s="1"/>
  <c r="BH13" i="2" a="1"/>
  <c r="BH13" i="2"/>
  <c r="BG13" i="2" a="1"/>
  <c r="BG13" i="2" s="1"/>
  <c r="AX13" i="2" a="1"/>
  <c r="AX13" i="2"/>
  <c r="AS13" i="2" a="1"/>
  <c r="AS13" i="2"/>
  <c r="Y13" i="2" a="1"/>
  <c r="Y13" i="2"/>
  <c r="O13" i="2" a="1"/>
  <c r="O13" i="2"/>
  <c r="T13" i="2" s="1" a="1"/>
  <c r="T13" i="2" s="1"/>
  <c r="M13" i="2" a="1"/>
  <c r="M13" i="2" s="1"/>
  <c r="L13" i="2" a="1"/>
  <c r="L13" i="2" s="1"/>
  <c r="K13" i="2" a="1"/>
  <c r="K13" i="2" s="1"/>
  <c r="J13" i="2" a="1"/>
  <c r="J13" i="2" s="1"/>
  <c r="P14" i="2" s="1" a="1"/>
  <c r="P14" i="2" s="1"/>
  <c r="CQ12" i="2" a="1"/>
  <c r="CQ12" i="2"/>
  <c r="CB12" i="2" a="1"/>
  <c r="CB12" i="2"/>
  <c r="CA12" i="2" a="1"/>
  <c r="CA12" i="2"/>
  <c r="BW12" i="2" a="1"/>
  <c r="BW12" i="2"/>
  <c r="BH12" i="2" a="1"/>
  <c r="BH12" i="2"/>
  <c r="BG12" i="2" a="1"/>
  <c r="BG12" i="2"/>
  <c r="AX12" i="2" a="1"/>
  <c r="AX12" i="2"/>
  <c r="AS12" i="2" a="1"/>
  <c r="AS12" i="2" s="1"/>
  <c r="Y12" i="2" a="1"/>
  <c r="Y12" i="2" s="1"/>
  <c r="O12" i="2" a="1"/>
  <c r="O12" i="2" s="1"/>
  <c r="M12" i="2" a="1"/>
  <c r="M12" i="2" s="1"/>
  <c r="R13" i="2" s="1" a="1"/>
  <c r="R13" i="2" s="1"/>
  <c r="L12" i="2" a="1"/>
  <c r="L12" i="2"/>
  <c r="K12" i="2" a="1"/>
  <c r="K12" i="2"/>
  <c r="J12" i="2" a="1"/>
  <c r="J12" i="2" s="1"/>
  <c r="O11" i="2" a="1"/>
  <c r="O11" i="2" s="1"/>
  <c r="CB8" i="2" a="1"/>
  <c r="CB8" i="2"/>
  <c r="CA8" i="2" a="1"/>
  <c r="CA8" i="2" s="1"/>
  <c r="BH8" i="2" a="1"/>
  <c r="BH8" i="2" s="1"/>
  <c r="BG8" i="2" a="1"/>
  <c r="BG8" i="2"/>
  <c r="M8" i="2" a="1"/>
  <c r="M8" i="2"/>
  <c r="L8" i="2" a="1"/>
  <c r="L8" i="2" s="1"/>
  <c r="K8" i="2" a="1"/>
  <c r="K8" i="2"/>
  <c r="J8" i="2" a="1"/>
  <c r="J8" i="2"/>
  <c r="CB7" i="2" a="1"/>
  <c r="CB7" i="2" s="1"/>
  <c r="CA7" i="2" a="1"/>
  <c r="CA7" i="2"/>
  <c r="BH7" i="2" a="1"/>
  <c r="BH7" i="2"/>
  <c r="BG7" i="2" a="1"/>
  <c r="BG7" i="2" s="1"/>
  <c r="M7" i="2" a="1"/>
  <c r="M7" i="2"/>
  <c r="L7" i="2" a="1"/>
  <c r="L7" i="2"/>
  <c r="K7" i="2" a="1"/>
  <c r="K7" i="2" s="1"/>
  <c r="J7" i="2" a="1"/>
  <c r="J7" i="2"/>
  <c r="CQ6" i="2" a="1"/>
  <c r="CQ6" i="2"/>
  <c r="CB6" i="2" a="1"/>
  <c r="CB6" i="2" s="1"/>
  <c r="CA6" i="2" a="1"/>
  <c r="CA6" i="2" s="1"/>
  <c r="BW6" i="2" a="1"/>
  <c r="BW6" i="2" s="1"/>
  <c r="BH6" i="2" a="1"/>
  <c r="BH6" i="2" s="1"/>
  <c r="BG6" i="2" a="1"/>
  <c r="BG6" i="2"/>
  <c r="AX6" i="2" a="1"/>
  <c r="AX6" i="2"/>
  <c r="AS6" i="2" a="1"/>
  <c r="AS6" i="2"/>
  <c r="Y6" i="2" a="1"/>
  <c r="Y6" i="2" s="1"/>
  <c r="O6" i="2" a="1"/>
  <c r="O6" i="2" s="1"/>
  <c r="M6" i="2" a="1"/>
  <c r="M6" i="2" s="1"/>
  <c r="L6" i="2" a="1"/>
  <c r="L6" i="2" s="1"/>
  <c r="K6" i="2" a="1"/>
  <c r="K6" i="2" s="1"/>
  <c r="J6" i="2" a="1"/>
  <c r="J6" i="2"/>
  <c r="CQ5" i="2" a="1"/>
  <c r="CQ5" i="2"/>
  <c r="CB5" i="2" a="1"/>
  <c r="CB5" i="2"/>
  <c r="CA5" i="2" a="1"/>
  <c r="CA5" i="2" s="1"/>
  <c r="BW5" i="2" a="1"/>
  <c r="BW5" i="2"/>
  <c r="BH5" i="2" a="1"/>
  <c r="BH5" i="2"/>
  <c r="BG5" i="2" a="1"/>
  <c r="BG5" i="2"/>
  <c r="AX5" i="2" a="1"/>
  <c r="AX5" i="2"/>
  <c r="AU5" i="2" a="1"/>
  <c r="AU5" i="2" s="1"/>
  <c r="AS5" i="2" a="1"/>
  <c r="AS5" i="2" s="1"/>
  <c r="Y5" i="2" a="1"/>
  <c r="Y5" i="2" s="1"/>
  <c r="U5" i="2" a="1"/>
  <c r="U5" i="2" s="1"/>
  <c r="O5" i="2" a="1"/>
  <c r="O5" i="2"/>
  <c r="M5" i="2" a="1"/>
  <c r="M5" i="2" s="1"/>
  <c r="L5" i="2" a="1"/>
  <c r="L5" i="2"/>
  <c r="K5" i="2" a="1"/>
  <c r="K5" i="2"/>
  <c r="J5" i="2" a="1"/>
  <c r="J5" i="2"/>
  <c r="CQ4" i="2" a="1"/>
  <c r="CQ4" i="2"/>
  <c r="CB4" i="2" a="1"/>
  <c r="CB4" i="2" s="1"/>
  <c r="CA4" i="2" a="1"/>
  <c r="CA4" i="2" s="1"/>
  <c r="BW4" i="2" a="1"/>
  <c r="BW4" i="2" s="1"/>
  <c r="BK4" i="2" a="1"/>
  <c r="BK4" i="2" s="1"/>
  <c r="BH4" i="2" a="1"/>
  <c r="BH4" i="2"/>
  <c r="BG4" i="2" a="1"/>
  <c r="BG4" i="2" s="1"/>
  <c r="AY4" i="2" a="1"/>
  <c r="AY4" i="2"/>
  <c r="AX4" i="2" a="1"/>
  <c r="AX4" i="2" s="1"/>
  <c r="AU4" i="2" a="1"/>
  <c r="AU4" i="2"/>
  <c r="AS4" i="2" a="1"/>
  <c r="AS4" i="2"/>
  <c r="AP4" i="2" a="1"/>
  <c r="AP4" i="2"/>
  <c r="Y4" i="2" a="1"/>
  <c r="Y4" i="2" s="1"/>
  <c r="W4" i="2" a="1"/>
  <c r="W4" i="2" s="1"/>
  <c r="T4" i="2" a="1"/>
  <c r="T4" i="2" s="1"/>
  <c r="O4" i="2" a="1"/>
  <c r="O4" i="2"/>
  <c r="M4" i="2" a="1"/>
  <c r="M4" i="2"/>
  <c r="L4" i="2" a="1"/>
  <c r="L4" i="2" s="1"/>
  <c r="K4" i="2" a="1"/>
  <c r="K4" i="2"/>
  <c r="J4" i="2" a="1"/>
  <c r="J4" i="2"/>
  <c r="P4" i="2" s="1" a="1"/>
  <c r="P4" i="2" s="1"/>
  <c r="CS3" i="2" a="1"/>
  <c r="CS3" i="2" s="1"/>
  <c r="CQ3" i="2" a="1"/>
  <c r="CQ3" i="2"/>
  <c r="CB3" i="2" a="1"/>
  <c r="CB3" i="2" s="1"/>
  <c r="CA3" i="2" a="1"/>
  <c r="CA3" i="2"/>
  <c r="BW3" i="2" a="1"/>
  <c r="BW3" i="2"/>
  <c r="BH3" i="2" a="1"/>
  <c r="BH3" i="2" s="1"/>
  <c r="BG3" i="2" a="1"/>
  <c r="BG3" i="2"/>
  <c r="AX3" i="2" a="1"/>
  <c r="AX3" i="2" s="1"/>
  <c r="AS3" i="2" a="1"/>
  <c r="AS3" i="2" s="1"/>
  <c r="Y3" i="2" a="1"/>
  <c r="Y3" i="2" s="1"/>
  <c r="O3" i="2" a="1"/>
  <c r="O3" i="2" s="1"/>
  <c r="M3" i="2" a="1"/>
  <c r="M3" i="2"/>
  <c r="R4" i="2" s="1" a="1"/>
  <c r="R4" i="2" s="1"/>
  <c r="L3" i="2" a="1"/>
  <c r="L3" i="2"/>
  <c r="K3" i="2" a="1"/>
  <c r="K3" i="2" s="1"/>
  <c r="J3" i="2" a="1"/>
  <c r="J3" i="2"/>
  <c r="O2" i="2" a="1"/>
  <c r="O2" i="2"/>
  <c r="A83" i="1" a="1"/>
  <c r="A83" i="1" s="1"/>
  <c r="A82" i="1" a="1"/>
  <c r="A82" i="1" s="1"/>
  <c r="A81" i="1" a="1"/>
  <c r="A81" i="1" s="1"/>
  <c r="A80" i="1" a="1"/>
  <c r="A80" i="1" s="1"/>
  <c r="A79" i="1" a="1"/>
  <c r="A79" i="1" s="1"/>
  <c r="A78" i="1" a="1"/>
  <c r="A78" i="1"/>
  <c r="A77" i="1" a="1"/>
  <c r="A77" i="1" s="1"/>
  <c r="A76" i="1" a="1"/>
  <c r="A76" i="1" s="1"/>
  <c r="A75" i="1" a="1"/>
  <c r="A75" i="1"/>
  <c r="A74" i="1" a="1"/>
  <c r="A74" i="1" s="1"/>
  <c r="A73" i="1" a="1"/>
  <c r="A73" i="1" s="1"/>
  <c r="A72" i="1" a="1"/>
  <c r="A72" i="1"/>
  <c r="A71" i="1" a="1"/>
  <c r="A71" i="1" s="1"/>
  <c r="A70" i="1" a="1"/>
  <c r="A70" i="1" s="1"/>
  <c r="A69" i="1" a="1"/>
  <c r="A69" i="1"/>
  <c r="A68" i="1" a="1"/>
  <c r="A68" i="1" s="1"/>
  <c r="A67" i="1" a="1"/>
  <c r="A67" i="1" s="1"/>
  <c r="A66" i="1" a="1"/>
  <c r="A66" i="1"/>
  <c r="A65" i="1" a="1"/>
  <c r="A65" i="1"/>
  <c r="A64" i="1" a="1"/>
  <c r="A64" i="1" s="1"/>
  <c r="A63" i="1" a="1"/>
  <c r="A63" i="1" s="1"/>
  <c r="A62" i="1" a="1"/>
  <c r="A62" i="1"/>
  <c r="A61" i="1" a="1"/>
  <c r="A61" i="1" s="1"/>
  <c r="A60" i="1" a="1"/>
  <c r="A60" i="1" s="1"/>
  <c r="A59" i="1" a="1"/>
  <c r="A59" i="1"/>
  <c r="A58" i="1" a="1"/>
  <c r="A58" i="1" s="1"/>
  <c r="A57" i="1" a="1"/>
  <c r="A57" i="1" s="1"/>
  <c r="A56" i="1" a="1"/>
  <c r="A56" i="1"/>
  <c r="A55" i="1" a="1"/>
  <c r="A55" i="1" s="1"/>
  <c r="A54" i="1" a="1"/>
  <c r="A54" i="1" s="1"/>
  <c r="A53" i="1" a="1"/>
  <c r="A53" i="1"/>
  <c r="A52" i="1" a="1"/>
  <c r="A52" i="1"/>
  <c r="A51" i="1" a="1"/>
  <c r="A51" i="1"/>
  <c r="A50" i="1" a="1"/>
  <c r="A50" i="1" s="1"/>
  <c r="A49" i="1" a="1"/>
  <c r="A49" i="1" s="1"/>
  <c r="A48" i="1" a="1"/>
  <c r="A48" i="1" s="1"/>
  <c r="A47" i="1" a="1"/>
  <c r="A47" i="1" s="1"/>
  <c r="A46" i="1" a="1"/>
  <c r="A46" i="1"/>
  <c r="A45" i="1" a="1"/>
  <c r="A45" i="1" s="1"/>
  <c r="A44" i="1" a="1"/>
  <c r="A44" i="1" s="1"/>
  <c r="A43" i="1" a="1"/>
  <c r="A43" i="1" s="1"/>
  <c r="A42" i="1" a="1"/>
  <c r="A42" i="1"/>
  <c r="A41" i="1" a="1"/>
  <c r="A41" i="1" s="1"/>
  <c r="A40" i="1" a="1"/>
  <c r="A40" i="1"/>
  <c r="A39" i="1" a="1"/>
  <c r="A39" i="1"/>
  <c r="A38" i="1" a="1"/>
  <c r="A38" i="1"/>
  <c r="A37" i="1" a="1"/>
  <c r="A37" i="1" s="1"/>
  <c r="A36" i="1" a="1"/>
  <c r="A36" i="1"/>
  <c r="E17" i="1" a="1"/>
  <c r="E17" i="1" s="1"/>
  <c r="E16" i="1" a="1"/>
  <c r="E16" i="1"/>
  <c r="E15" i="1" a="1"/>
  <c r="E15" i="1" s="1"/>
  <c r="E14" i="1" a="1"/>
  <c r="E14" i="1" s="1"/>
  <c r="E13" i="1" a="1"/>
  <c r="E13" i="1"/>
  <c r="E12" i="1" a="1"/>
  <c r="E12" i="1" s="1"/>
  <c r="F12" i="1" s="1" a="1"/>
  <c r="F12" i="1" s="1"/>
  <c r="E11" i="1" a="1"/>
  <c r="E11" i="1"/>
  <c r="E10" i="1" a="1"/>
  <c r="E10" i="1"/>
  <c r="E9" i="1" a="1"/>
  <c r="E9" i="1" s="1"/>
  <c r="E8" i="1" a="1"/>
  <c r="E8" i="1" s="1"/>
  <c r="E7" i="1" a="1"/>
  <c r="E7" i="1"/>
  <c r="E6" i="1" a="1"/>
  <c r="E6" i="1" s="1"/>
  <c r="E5" i="1" a="1"/>
  <c r="E5" i="1"/>
  <c r="E4" i="1" a="1"/>
  <c r="E4" i="1" s="1"/>
  <c r="F3" i="1" s="1" a="1"/>
  <c r="F3" i="1" s="1"/>
  <c r="E3" i="1" a="1"/>
  <c r="E3" i="1"/>
  <c r="H4" i="9" l="1" a="1"/>
  <c r="H4" i="9" s="1"/>
  <c r="AU3" i="2" a="1"/>
  <c r="AU3" i="2" s="1"/>
  <c r="Q3" i="2" a="1"/>
  <c r="Q3" i="2" s="1"/>
  <c r="BK3" i="2" a="1"/>
  <c r="BK3" i="2" s="1"/>
  <c r="W3" i="2" a="1"/>
  <c r="W3" i="2" s="1"/>
  <c r="AY3" i="2" a="1"/>
  <c r="AY3" i="2" s="1"/>
  <c r="AP3" i="2" a="1"/>
  <c r="AP3" i="2" s="1"/>
  <c r="U3" i="2" a="1"/>
  <c r="U3" i="2" s="1"/>
  <c r="T3" i="2" a="1"/>
  <c r="T3" i="2" s="1"/>
  <c r="S3" i="2" s="1" a="1"/>
  <c r="S3" i="2" s="1"/>
  <c r="R3" i="2" a="1"/>
  <c r="R3" i="2" s="1"/>
  <c r="P3" i="2" a="1"/>
  <c r="P3" i="2" s="1"/>
  <c r="CE4" i="2" a="1"/>
  <c r="CE4" i="2" s="1"/>
  <c r="BM4" i="2" a="1"/>
  <c r="BM4" i="2" s="1"/>
  <c r="CH4" i="2" a="1"/>
  <c r="CH4" i="2" s="1"/>
  <c r="BN4" i="2" a="1"/>
  <c r="BN4" i="2" s="1"/>
  <c r="H8" i="9" a="1"/>
  <c r="H8" i="9" s="1"/>
  <c r="BK12" i="2" a="1"/>
  <c r="BK12" i="2" s="1"/>
  <c r="AU12" i="2" a="1"/>
  <c r="AU12" i="2" s="1"/>
  <c r="W12" i="2" a="1"/>
  <c r="W12" i="2" s="1"/>
  <c r="Q12" i="2" a="1"/>
  <c r="Q12" i="2" s="1"/>
  <c r="P12" i="2" a="1"/>
  <c r="P12" i="2" s="1"/>
  <c r="R12" i="2" a="1"/>
  <c r="R12" i="2" s="1"/>
  <c r="U12" i="2" a="1"/>
  <c r="U12" i="2" s="1"/>
  <c r="T12" i="2" a="1"/>
  <c r="T12" i="2" s="1"/>
  <c r="AP12" i="2" a="1"/>
  <c r="AP12" i="2" s="1"/>
  <c r="AY12" i="2" a="1"/>
  <c r="AY12" i="2" s="1"/>
  <c r="H7" i="9" a="1"/>
  <c r="H7" i="9" s="1"/>
  <c r="AY6" i="2" a="1"/>
  <c r="AY6" i="2" s="1"/>
  <c r="AP6" i="2" a="1"/>
  <c r="AP6" i="2" s="1"/>
  <c r="R6" i="2" a="1"/>
  <c r="R6" i="2" s="1"/>
  <c r="W6" i="2" a="1"/>
  <c r="W6" i="2" s="1"/>
  <c r="Q6" i="2" a="1"/>
  <c r="Q6" i="2" s="1"/>
  <c r="BK6" i="2" a="1"/>
  <c r="BK6" i="2" s="1"/>
  <c r="U6" i="2" a="1"/>
  <c r="U6" i="2" s="1"/>
  <c r="T6" i="2" a="1"/>
  <c r="T6" i="2" s="1"/>
  <c r="AU6" i="2" a="1"/>
  <c r="AU6" i="2" s="1"/>
  <c r="P6" i="2" a="1"/>
  <c r="P6" i="2" s="1"/>
  <c r="E18" i="1" a="1"/>
  <c r="E18" i="1" s="1"/>
  <c r="F6" i="1" a="1"/>
  <c r="F6" i="1" s="1"/>
  <c r="Q5" i="2" a="1"/>
  <c r="Q5" i="2" s="1"/>
  <c r="Q13" i="2" a="1"/>
  <c r="Q13" i="2" s="1"/>
  <c r="CE13" i="2" a="1"/>
  <c r="CE13" i="2" s="1"/>
  <c r="BM13" i="2" a="1"/>
  <c r="BM13" i="2" s="1"/>
  <c r="H10" i="9" a="1"/>
  <c r="H10" i="9" s="1"/>
  <c r="W14" i="2" a="1"/>
  <c r="W14" i="2" s="1"/>
  <c r="Q14" i="2" a="1"/>
  <c r="Q14" i="2" s="1"/>
  <c r="AZ14" i="2" s="1" a="1"/>
  <c r="AZ14" i="2" s="1"/>
  <c r="U14" i="2" a="1"/>
  <c r="U14" i="2" s="1"/>
  <c r="T14" i="2" a="1"/>
  <c r="T14" i="2" s="1"/>
  <c r="S14" i="2" s="1" a="1"/>
  <c r="S14" i="2" s="1"/>
  <c r="AY14" i="2" a="1"/>
  <c r="AY14" i="2" s="1"/>
  <c r="BK14" i="2" a="1"/>
  <c r="BK14" i="2" s="1"/>
  <c r="AU13" i="2" a="1"/>
  <c r="AU13" i="2" s="1"/>
  <c r="H6" i="9" a="1"/>
  <c r="H6" i="9" s="1"/>
  <c r="AY5" i="2" a="1"/>
  <c r="AY5" i="2" s="1"/>
  <c r="T5" i="2" a="1"/>
  <c r="T5" i="2" s="1"/>
  <c r="S5" i="2" s="1" a="1"/>
  <c r="S5" i="2" s="1"/>
  <c r="AP5" i="2" a="1"/>
  <c r="AP5" i="2" s="1"/>
  <c r="AP14" i="2" a="1"/>
  <c r="AP14" i="2" s="1"/>
  <c r="R33" i="2" a="1"/>
  <c r="R33" i="2" s="1"/>
  <c r="H11" i="9" a="1"/>
  <c r="H11" i="9" s="1"/>
  <c r="AY15" i="2" a="1"/>
  <c r="AY15" i="2" s="1"/>
  <c r="BK15" i="2" a="1"/>
  <c r="BK15" i="2" s="1"/>
  <c r="Q15" i="2" a="1"/>
  <c r="Q15" i="2" s="1"/>
  <c r="H5" i="9" a="1"/>
  <c r="H5" i="9" s="1"/>
  <c r="U4" i="2" a="1"/>
  <c r="U4" i="2" s="1"/>
  <c r="S4" i="2" s="1" a="1"/>
  <c r="S4" i="2" s="1"/>
  <c r="P15" i="2" a="1"/>
  <c r="P15" i="2" s="1"/>
  <c r="CH40" i="2" a="1"/>
  <c r="CH40" i="2" s="1"/>
  <c r="BM105" i="2" a="1"/>
  <c r="BM105" i="2" s="1"/>
  <c r="W5" i="2" a="1"/>
  <c r="W5" i="2" s="1"/>
  <c r="BK5" i="2" a="1"/>
  <c r="BK5" i="2" s="1"/>
  <c r="AP13" i="2" a="1"/>
  <c r="AP13" i="2" s="1"/>
  <c r="AY13" i="2" a="1"/>
  <c r="AY13" i="2" s="1"/>
  <c r="R14" i="2" a="1"/>
  <c r="R14" i="2" s="1"/>
  <c r="P5" i="2" a="1"/>
  <c r="P5" i="2" s="1"/>
  <c r="R15" i="2" a="1"/>
  <c r="R15" i="2" s="1"/>
  <c r="H14" i="9" a="1"/>
  <c r="H14" i="9" s="1"/>
  <c r="W23" i="2" a="1"/>
  <c r="W23" i="2" s="1"/>
  <c r="Q23" i="2" a="1"/>
  <c r="Q23" i="2" s="1"/>
  <c r="P23" i="2" a="1"/>
  <c r="P23" i="2" s="1"/>
  <c r="BK23" i="2" a="1"/>
  <c r="BK23" i="2" s="1"/>
  <c r="U23" i="2" a="1"/>
  <c r="U23" i="2" s="1"/>
  <c r="AY23" i="2" a="1"/>
  <c r="AY23" i="2" s="1"/>
  <c r="AP23" i="2" a="1"/>
  <c r="AP23" i="2" s="1"/>
  <c r="AU23" i="2" a="1"/>
  <c r="AU23" i="2" s="1"/>
  <c r="H15" i="9" a="1"/>
  <c r="H15" i="9" s="1"/>
  <c r="W24" i="2" a="1"/>
  <c r="W24" i="2" s="1"/>
  <c r="Q24" i="2" a="1"/>
  <c r="Q24" i="2" s="1"/>
  <c r="BK24" i="2" a="1"/>
  <c r="BK24" i="2" s="1"/>
  <c r="AU24" i="2" a="1"/>
  <c r="AU24" i="2" s="1"/>
  <c r="P24" i="2" a="1"/>
  <c r="P24" i="2" s="1"/>
  <c r="T24" i="2" a="1"/>
  <c r="T24" i="2" s="1"/>
  <c r="S24" i="2" s="1" a="1"/>
  <c r="S24" i="2" s="1"/>
  <c r="AP24" i="2" a="1"/>
  <c r="AP24" i="2" s="1"/>
  <c r="AY24" i="2" a="1"/>
  <c r="AY24" i="2" s="1"/>
  <c r="R24" i="2" a="1"/>
  <c r="R24" i="2" s="1"/>
  <c r="U24" i="2" a="1"/>
  <c r="U24" i="2" s="1"/>
  <c r="R30" i="2" a="1"/>
  <c r="R30" i="2" s="1"/>
  <c r="H17" i="9" a="1"/>
  <c r="H17" i="9" s="1"/>
  <c r="BK31" i="2" a="1"/>
  <c r="BK31" i="2" s="1"/>
  <c r="AU31" i="2" a="1"/>
  <c r="AU31" i="2" s="1"/>
  <c r="W31" i="2" a="1"/>
  <c r="W31" i="2" s="1"/>
  <c r="Q31" i="2" a="1"/>
  <c r="Q31" i="2" s="1"/>
  <c r="P31" i="2" a="1"/>
  <c r="P31" i="2" s="1"/>
  <c r="AP31" i="2" a="1"/>
  <c r="AP31" i="2" s="1"/>
  <c r="AY31" i="2" a="1"/>
  <c r="AY31" i="2" s="1"/>
  <c r="U31" i="2" a="1"/>
  <c r="U31" i="2" s="1"/>
  <c r="T31" i="2" a="1"/>
  <c r="T31" i="2" s="1"/>
  <c r="S31" i="2" s="1" a="1"/>
  <c r="S31" i="2" s="1"/>
  <c r="R31" i="2" a="1"/>
  <c r="R31" i="2" s="1"/>
  <c r="CH105" i="2" a="1"/>
  <c r="CH105" i="2" s="1"/>
  <c r="CH51" i="2" a="1"/>
  <c r="CH51" i="2" s="1"/>
  <c r="T15" i="2" a="1"/>
  <c r="T15" i="2" s="1"/>
  <c r="S15" i="2" s="1" a="1"/>
  <c r="S15" i="2" s="1"/>
  <c r="H12" i="9" a="1"/>
  <c r="H12" i="9" s="1"/>
  <c r="AP21" i="2" a="1"/>
  <c r="AP21" i="2" s="1"/>
  <c r="W21" i="2" a="1"/>
  <c r="W21" i="2" s="1"/>
  <c r="P21" i="2" a="1"/>
  <c r="P21" i="2" s="1"/>
  <c r="BK21" i="2" a="1"/>
  <c r="BK21" i="2" s="1"/>
  <c r="T21" i="2" a="1"/>
  <c r="T21" i="2" s="1"/>
  <c r="S21" i="2" s="1" a="1"/>
  <c r="S21" i="2" s="1"/>
  <c r="R23" i="2" a="1"/>
  <c r="R23" i="2" s="1"/>
  <c r="S30" i="2" a="1"/>
  <c r="S30" i="2" s="1"/>
  <c r="Q4" i="2" a="1"/>
  <c r="Q4" i="2" s="1"/>
  <c r="AZ4" i="2" s="1" a="1"/>
  <c r="AZ4" i="2" s="1"/>
  <c r="S23" i="2" a="1"/>
  <c r="S23" i="2" s="1"/>
  <c r="H9" i="9" a="1"/>
  <c r="H9" i="9" s="1"/>
  <c r="P13" i="2" a="1"/>
  <c r="P13" i="2" s="1"/>
  <c r="CG30" i="2" s="1" a="1"/>
  <c r="CG30" i="2" s="1"/>
  <c r="U13" i="2" a="1"/>
  <c r="U13" i="2" s="1"/>
  <c r="S13" i="2" s="1" a="1"/>
  <c r="S13" i="2" s="1"/>
  <c r="W13" i="2" a="1"/>
  <c r="W13" i="2" s="1"/>
  <c r="U15" i="2" a="1"/>
  <c r="U15" i="2" s="1"/>
  <c r="H13" i="9" a="1"/>
  <c r="H13" i="9" s="1"/>
  <c r="U22" i="2" a="1"/>
  <c r="U22" i="2" s="1"/>
  <c r="AU22" i="2" a="1"/>
  <c r="AU22" i="2" s="1"/>
  <c r="Q22" i="2" a="1"/>
  <c r="Q22" i="2" s="1"/>
  <c r="P22" i="2" a="1"/>
  <c r="P22" i="2" s="1"/>
  <c r="BK22" i="2" a="1"/>
  <c r="BK22" i="2" s="1"/>
  <c r="T22" i="2" a="1"/>
  <c r="T22" i="2" s="1"/>
  <c r="AP22" i="2" a="1"/>
  <c r="AP22" i="2" s="1"/>
  <c r="H22" i="9" a="1"/>
  <c r="H22" i="9" s="1"/>
  <c r="AY41" i="2" a="1"/>
  <c r="AY41" i="2" s="1"/>
  <c r="AP41" i="2" a="1"/>
  <c r="AP41" i="2" s="1"/>
  <c r="Q41" i="2" a="1"/>
  <c r="Q41" i="2" s="1"/>
  <c r="W41" i="2" a="1"/>
  <c r="W41" i="2" s="1"/>
  <c r="P41" i="2" a="1"/>
  <c r="P41" i="2" s="1"/>
  <c r="U41" i="2" a="1"/>
  <c r="U41" i="2" s="1"/>
  <c r="T41" i="2" a="1"/>
  <c r="T41" i="2" s="1"/>
  <c r="S41" i="2" s="1" a="1"/>
  <c r="S41" i="2" s="1"/>
  <c r="BK41" i="2" a="1"/>
  <c r="BK41" i="2" s="1"/>
  <c r="AU41" i="2" a="1"/>
  <c r="AU41" i="2" s="1"/>
  <c r="W15" i="2" a="1"/>
  <c r="W15" i="2" s="1"/>
  <c r="AP15" i="2" a="1"/>
  <c r="AP15" i="2" s="1"/>
  <c r="R41" i="2" a="1"/>
  <c r="R41" i="2" s="1"/>
  <c r="R5" i="2" a="1"/>
  <c r="R5" i="2" s="1"/>
  <c r="R22" i="2" a="1"/>
  <c r="R22" i="2" s="1"/>
  <c r="CE30" i="2" a="1"/>
  <c r="CE30" i="2" s="1"/>
  <c r="BO30" i="2" a="1"/>
  <c r="BO30" i="2" s="1"/>
  <c r="H18" i="9" a="1"/>
  <c r="H18" i="9" s="1"/>
  <c r="Q32" i="2" a="1"/>
  <c r="Q32" i="2" s="1"/>
  <c r="T32" i="2" a="1"/>
  <c r="T32" i="2" s="1"/>
  <c r="S32" i="2" s="1" a="1"/>
  <c r="S32" i="2" s="1"/>
  <c r="BK32" i="2" a="1"/>
  <c r="BK32" i="2" s="1"/>
  <c r="AY32" i="2" a="1"/>
  <c r="AY32" i="2" s="1"/>
  <c r="W32" i="2" a="1"/>
  <c r="W32" i="2" s="1"/>
  <c r="U32" i="2" a="1"/>
  <c r="U32" i="2" s="1"/>
  <c r="AU32" i="2" a="1"/>
  <c r="AU32" i="2" s="1"/>
  <c r="P32" i="2" a="1"/>
  <c r="P32" i="2" s="1"/>
  <c r="CG93" i="2" s="1" a="1"/>
  <c r="CG93" i="2" s="1"/>
  <c r="Q30" i="2" a="1"/>
  <c r="Q30" i="2" s="1"/>
  <c r="T40" i="2" a="1"/>
  <c r="T40" i="2" s="1"/>
  <c r="H23" i="9" a="1"/>
  <c r="H23" i="9" s="1"/>
  <c r="W42" i="2" a="1"/>
  <c r="W42" i="2" s="1"/>
  <c r="Q42" i="2" a="1"/>
  <c r="Q42" i="2" s="1"/>
  <c r="R42" i="2" a="1"/>
  <c r="R42" i="2" s="1"/>
  <c r="AP42" i="2" a="1"/>
  <c r="AP42" i="2" s="1"/>
  <c r="U42" i="2" a="1"/>
  <c r="U42" i="2" s="1"/>
  <c r="AY42" i="2" a="1"/>
  <c r="AY42" i="2" s="1"/>
  <c r="T42" i="2" a="1"/>
  <c r="T42" i="2" s="1"/>
  <c r="S42" i="2" s="1" a="1"/>
  <c r="S42" i="2" s="1"/>
  <c r="AU42" i="2" a="1"/>
  <c r="AU42" i="2" s="1"/>
  <c r="BN51" i="2" a="1"/>
  <c r="BN51" i="2" s="1"/>
  <c r="CE51" i="2" a="1"/>
  <c r="CE51" i="2" s="1"/>
  <c r="BM51" i="2" a="1"/>
  <c r="BM51" i="2" s="1"/>
  <c r="BN40" i="2" a="1"/>
  <c r="BN40" i="2" s="1"/>
  <c r="H24" i="9" a="1"/>
  <c r="H24" i="9" s="1"/>
  <c r="P48" i="2" a="1"/>
  <c r="P48" i="2" s="1"/>
  <c r="T48" i="2" a="1"/>
  <c r="T48" i="2" s="1"/>
  <c r="R48" i="2" a="1"/>
  <c r="R48" i="2" s="1"/>
  <c r="BK48" i="2" a="1"/>
  <c r="BK48" i="2" s="1"/>
  <c r="Q48" i="2" a="1"/>
  <c r="Q48" i="2" s="1"/>
  <c r="W48" i="2" a="1"/>
  <c r="W48" i="2" s="1"/>
  <c r="AY48" i="2" a="1"/>
  <c r="AY48" i="2" s="1"/>
  <c r="AP48" i="2" a="1"/>
  <c r="AP48" i="2" s="1"/>
  <c r="U48" i="2" a="1"/>
  <c r="U48" i="2" s="1"/>
  <c r="H25" i="9" a="1"/>
  <c r="H25" i="9" s="1"/>
  <c r="BK49" i="2" a="1"/>
  <c r="BK49" i="2" s="1"/>
  <c r="T49" i="2" a="1"/>
  <c r="T49" i="2" s="1"/>
  <c r="P49" i="2" a="1"/>
  <c r="P49" i="2" s="1"/>
  <c r="AY49" i="2" a="1"/>
  <c r="AY49" i="2" s="1"/>
  <c r="R49" i="2" a="1"/>
  <c r="R49" i="2" s="1"/>
  <c r="AU49" i="2" a="1"/>
  <c r="AU49" i="2" s="1"/>
  <c r="Q49" i="2" a="1"/>
  <c r="Q49" i="2" s="1"/>
  <c r="P42" i="2" a="1"/>
  <c r="P42" i="2" s="1"/>
  <c r="H19" i="9" a="1"/>
  <c r="H19" i="9" s="1"/>
  <c r="Q33" i="2" a="1"/>
  <c r="Q33" i="2" s="1"/>
  <c r="AZ33" i="2" s="1" a="1"/>
  <c r="AZ33" i="2" s="1"/>
  <c r="U33" i="2" a="1"/>
  <c r="U33" i="2" s="1"/>
  <c r="T33" i="2" a="1"/>
  <c r="T33" i="2" s="1"/>
  <c r="BK33" i="2" a="1"/>
  <c r="BK33" i="2" s="1"/>
  <c r="AU33" i="2" a="1"/>
  <c r="AU33" i="2" s="1"/>
  <c r="U49" i="2" a="1"/>
  <c r="U49" i="2" s="1"/>
  <c r="AP30" i="2" a="1"/>
  <c r="AP30" i="2" s="1"/>
  <c r="CE40" i="2" a="1"/>
  <c r="CE40" i="2" s="1"/>
  <c r="AZ51" i="2" a="1"/>
  <c r="AZ51" i="2" s="1"/>
  <c r="H20" i="9" a="1"/>
  <c r="H20" i="9" s="1"/>
  <c r="AP39" i="2" a="1"/>
  <c r="AP39" i="2" s="1"/>
  <c r="W39" i="2" a="1"/>
  <c r="W39" i="2" s="1"/>
  <c r="AU39" i="2" a="1"/>
  <c r="AU39" i="2" s="1"/>
  <c r="U39" i="2" a="1"/>
  <c r="U39" i="2" s="1"/>
  <c r="BK39" i="2" a="1"/>
  <c r="BK39" i="2" s="1"/>
  <c r="T39" i="2" a="1"/>
  <c r="T39" i="2" s="1"/>
  <c r="S39" i="2" s="1" a="1"/>
  <c r="S39" i="2" s="1"/>
  <c r="H21" i="9" a="1"/>
  <c r="H21" i="9" s="1"/>
  <c r="AP40" i="2" a="1"/>
  <c r="AP40" i="2" s="1"/>
  <c r="W40" i="2" a="1"/>
  <c r="W40" i="2" s="1"/>
  <c r="P40" i="2" a="1"/>
  <c r="P40" i="2" s="1"/>
  <c r="AU40" i="2" a="1"/>
  <c r="AU40" i="2" s="1"/>
  <c r="U40" i="2" a="1"/>
  <c r="U40" i="2" s="1"/>
  <c r="W49" i="2" a="1"/>
  <c r="W49" i="2" s="1"/>
  <c r="P39" i="2" a="1"/>
  <c r="P39" i="2" s="1"/>
  <c r="Q40" i="2" a="1"/>
  <c r="Q40" i="2" s="1"/>
  <c r="CE42" i="2" a="1"/>
  <c r="CE42" i="2" s="1"/>
  <c r="Q58" i="2" a="1"/>
  <c r="Q58" i="2" s="1"/>
  <c r="BM58" i="2" a="1"/>
  <c r="BM58" i="2" s="1"/>
  <c r="CE58" i="2" a="1"/>
  <c r="CE58" i="2" s="1"/>
  <c r="H16" i="9" a="1"/>
  <c r="H16" i="9" s="1"/>
  <c r="P30" i="2" a="1"/>
  <c r="P30" i="2" s="1"/>
  <c r="U30" i="2" a="1"/>
  <c r="U30" i="2" s="1"/>
  <c r="W30" i="2" a="1"/>
  <c r="W30" i="2" s="1"/>
  <c r="Q39" i="2" a="1"/>
  <c r="Q39" i="2" s="1"/>
  <c r="AY39" i="2" a="1"/>
  <c r="AY39" i="2" s="1"/>
  <c r="R40" i="2" a="1"/>
  <c r="R40" i="2" s="1"/>
  <c r="AU48" i="2" a="1"/>
  <c r="AU48" i="2" s="1"/>
  <c r="H35" i="9" a="1"/>
  <c r="H35" i="9" s="1"/>
  <c r="U69" i="2" a="1"/>
  <c r="U69" i="2" s="1"/>
  <c r="BK69" i="2" a="1"/>
  <c r="BK69" i="2" s="1"/>
  <c r="AP69" i="2" a="1"/>
  <c r="AP69" i="2" s="1"/>
  <c r="T69" i="2" a="1"/>
  <c r="T69" i="2" s="1"/>
  <c r="S69" i="2" s="1" a="1"/>
  <c r="S69" i="2" s="1"/>
  <c r="Q69" i="2" a="1"/>
  <c r="Q69" i="2" s="1"/>
  <c r="W69" i="2" a="1"/>
  <c r="W69" i="2" s="1"/>
  <c r="AU69" i="2" a="1"/>
  <c r="AU69" i="2" s="1"/>
  <c r="AY69" i="2" a="1"/>
  <c r="AY69" i="2" s="1"/>
  <c r="R69" i="2" a="1"/>
  <c r="R69" i="2" s="1"/>
  <c r="P69" i="2" a="1"/>
  <c r="P69" i="2" s="1"/>
  <c r="BM40" i="2" a="1"/>
  <c r="BM40" i="2" s="1"/>
  <c r="R68" i="2" a="1"/>
  <c r="R68" i="2" s="1"/>
  <c r="Q50" i="2" a="1"/>
  <c r="Q50" i="2" s="1"/>
  <c r="H27" i="9" a="1"/>
  <c r="H27" i="9" s="1"/>
  <c r="U51" i="2" a="1"/>
  <c r="U51" i="2" s="1"/>
  <c r="S51" i="2" s="1" a="1"/>
  <c r="S51" i="2" s="1"/>
  <c r="W51" i="2" a="1"/>
  <c r="W51" i="2" s="1"/>
  <c r="H28" i="9" a="1"/>
  <c r="H28" i="9" s="1"/>
  <c r="P57" i="2" a="1"/>
  <c r="P57" i="2" s="1"/>
  <c r="BK57" i="2" a="1"/>
  <c r="BK57" i="2" s="1"/>
  <c r="AY57" i="2" a="1"/>
  <c r="AY57" i="2" s="1"/>
  <c r="H30" i="9" a="1"/>
  <c r="H30" i="9" s="1"/>
  <c r="AU59" i="2" a="1"/>
  <c r="AU59" i="2" s="1"/>
  <c r="R59" i="2" a="1"/>
  <c r="R59" i="2" s="1"/>
  <c r="P59" i="2" a="1"/>
  <c r="P59" i="2" s="1"/>
  <c r="AP59" i="2" a="1"/>
  <c r="AP59" i="2" s="1"/>
  <c r="U59" i="2" a="1"/>
  <c r="U59" i="2" s="1"/>
  <c r="S59" i="2" s="1" a="1"/>
  <c r="S59" i="2" s="1"/>
  <c r="Q57" i="2" a="1"/>
  <c r="Q57" i="2" s="1"/>
  <c r="Q59" i="2" a="1"/>
  <c r="Q59" i="2" s="1"/>
  <c r="R50" i="2" a="1"/>
  <c r="R50" i="2" s="1"/>
  <c r="BI29" i="9" a="1"/>
  <c r="BI29" i="9" s="1"/>
  <c r="AA29" i="9" a="1"/>
  <c r="AA29" i="9" s="1"/>
  <c r="Y29" i="9" a="1"/>
  <c r="Y29" i="9" s="1"/>
  <c r="BO66" i="2" a="1"/>
  <c r="BO66" i="2" s="1"/>
  <c r="CE66" i="2" a="1"/>
  <c r="CE66" i="2" s="1"/>
  <c r="P78" i="2" a="1"/>
  <c r="P78" i="2" s="1"/>
  <c r="P77" i="2" a="1"/>
  <c r="P77" i="2" s="1"/>
  <c r="CH59" i="2" a="1"/>
  <c r="CH59" i="2" s="1"/>
  <c r="BO59" i="2" a="1"/>
  <c r="BO59" i="2" s="1"/>
  <c r="CE59" i="2" a="1"/>
  <c r="CE59" i="2" s="1"/>
  <c r="H31" i="9" a="1"/>
  <c r="H31" i="9" s="1"/>
  <c r="AY60" i="2" a="1"/>
  <c r="AY60" i="2" s="1"/>
  <c r="R60" i="2" a="1"/>
  <c r="R60" i="2" s="1"/>
  <c r="Q60" i="2" a="1"/>
  <c r="Q60" i="2" s="1"/>
  <c r="AU60" i="2" a="1"/>
  <c r="AU60" i="2" s="1"/>
  <c r="P60" i="2" a="1"/>
  <c r="P60" i="2" s="1"/>
  <c r="AP60" i="2" a="1"/>
  <c r="AP60" i="2" s="1"/>
  <c r="T60" i="2" a="1"/>
  <c r="T60" i="2" s="1"/>
  <c r="BK60" i="2" a="1"/>
  <c r="BK60" i="2" s="1"/>
  <c r="Q67" i="2" a="1"/>
  <c r="Q67" i="2" s="1"/>
  <c r="R78" i="2" a="1"/>
  <c r="R78" i="2" s="1"/>
  <c r="R77" i="2" a="1"/>
  <c r="R77" i="2" s="1"/>
  <c r="R75" i="2" a="1"/>
  <c r="R75" i="2" s="1"/>
  <c r="BN59" i="2" a="1"/>
  <c r="BN59" i="2" s="1"/>
  <c r="U60" i="2" a="1"/>
  <c r="U60" i="2" s="1"/>
  <c r="H37" i="9" a="1"/>
  <c r="H37" i="9" s="1"/>
  <c r="P76" i="2" a="1"/>
  <c r="P76" i="2" s="1"/>
  <c r="W76" i="2" a="1"/>
  <c r="W76" i="2" s="1"/>
  <c r="U76" i="2" a="1"/>
  <c r="U76" i="2" s="1"/>
  <c r="BK76" i="2" a="1"/>
  <c r="BK76" i="2" s="1"/>
  <c r="AY76" i="2" a="1"/>
  <c r="AY76" i="2" s="1"/>
  <c r="AU76" i="2" a="1"/>
  <c r="AU76" i="2" s="1"/>
  <c r="Q76" i="2" a="1"/>
  <c r="Q76" i="2" s="1"/>
  <c r="T76" i="2" a="1"/>
  <c r="T76" i="2" s="1"/>
  <c r="S76" i="2" s="1" a="1"/>
  <c r="S76" i="2" s="1"/>
  <c r="R76" i="2" a="1"/>
  <c r="R76" i="2" s="1"/>
  <c r="AP76" i="2" a="1"/>
  <c r="AP76" i="2" s="1"/>
  <c r="W60" i="2" a="1"/>
  <c r="W60" i="2" s="1"/>
  <c r="H26" i="9" a="1"/>
  <c r="H26" i="9" s="1"/>
  <c r="BK50" i="2" a="1"/>
  <c r="BK50" i="2" s="1"/>
  <c r="U50" i="2" a="1"/>
  <c r="U50" i="2" s="1"/>
  <c r="S50" i="2" s="1" a="1"/>
  <c r="S50" i="2" s="1"/>
  <c r="W50" i="2" a="1"/>
  <c r="W50" i="2" s="1"/>
  <c r="P66" i="2" a="1"/>
  <c r="P66" i="2" s="1"/>
  <c r="Q78" i="2" a="1"/>
  <c r="Q78" i="2" s="1"/>
  <c r="Q77" i="2" a="1"/>
  <c r="Q77" i="2" s="1"/>
  <c r="H33" i="9" a="1"/>
  <c r="H33" i="9" s="1"/>
  <c r="BK67" i="2" a="1"/>
  <c r="BK67" i="2" s="1"/>
  <c r="U67" i="2" a="1"/>
  <c r="U67" i="2" s="1"/>
  <c r="AP67" i="2" a="1"/>
  <c r="AP67" i="2" s="1"/>
  <c r="T67" i="2" a="1"/>
  <c r="T67" i="2" s="1"/>
  <c r="AY67" i="2" a="1"/>
  <c r="AY67" i="2" s="1"/>
  <c r="R67" i="2" a="1"/>
  <c r="R67" i="2" s="1"/>
  <c r="P67" i="2" a="1"/>
  <c r="P67" i="2" s="1"/>
  <c r="S87" i="2" a="1"/>
  <c r="S87" i="2" s="1"/>
  <c r="R93" i="2" a="1"/>
  <c r="R93" i="2" s="1"/>
  <c r="R94" i="2" a="1"/>
  <c r="R94" i="2" s="1"/>
  <c r="Q66" i="2" a="1"/>
  <c r="Q66" i="2" s="1"/>
  <c r="H34" i="9" a="1"/>
  <c r="H34" i="9" s="1"/>
  <c r="BK68" i="2" a="1"/>
  <c r="BK68" i="2" s="1"/>
  <c r="AP68" i="2" a="1"/>
  <c r="AP68" i="2" s="1"/>
  <c r="U68" i="2" a="1"/>
  <c r="U68" i="2" s="1"/>
  <c r="AY68" i="2" a="1"/>
  <c r="AY68" i="2" s="1"/>
  <c r="T68" i="2" a="1"/>
  <c r="T68" i="2" s="1"/>
  <c r="S68" i="2" s="1" a="1"/>
  <c r="S68" i="2" s="1"/>
  <c r="Q68" i="2" a="1"/>
  <c r="Q68" i="2" s="1"/>
  <c r="W68" i="2" a="1"/>
  <c r="W68" i="2" s="1"/>
  <c r="AU68" i="2" a="1"/>
  <c r="AU68" i="2" s="1"/>
  <c r="Q75" i="2" a="1"/>
  <c r="Q75" i="2" s="1"/>
  <c r="H46" i="9" a="1"/>
  <c r="H46" i="9" s="1"/>
  <c r="BK95" i="2" a="1"/>
  <c r="BK95" i="2" s="1"/>
  <c r="AU95" i="2" a="1"/>
  <c r="AU95" i="2" s="1"/>
  <c r="R95" i="2" a="1"/>
  <c r="R95" i="2" s="1"/>
  <c r="W95" i="2" a="1"/>
  <c r="W95" i="2" s="1"/>
  <c r="Q95" i="2" a="1"/>
  <c r="Q95" i="2" s="1"/>
  <c r="P95" i="2" a="1"/>
  <c r="P95" i="2" s="1"/>
  <c r="AP95" i="2" a="1"/>
  <c r="AP95" i="2" s="1"/>
  <c r="U95" i="2" a="1"/>
  <c r="U95" i="2" s="1"/>
  <c r="T95" i="2" a="1"/>
  <c r="T95" i="2" s="1"/>
  <c r="AY95" i="2" a="1"/>
  <c r="AY95" i="2" s="1"/>
  <c r="L23" i="6" a="1"/>
  <c r="L23" i="6" s="1"/>
  <c r="K23" i="6" a="1"/>
  <c r="K23" i="6" s="1"/>
  <c r="J23" i="6" a="1"/>
  <c r="J23" i="6" s="1"/>
  <c r="I23" i="6" a="1"/>
  <c r="I23" i="6" s="1"/>
  <c r="H40" i="9" a="1"/>
  <c r="H40" i="9" s="1"/>
  <c r="AP84" i="2" a="1"/>
  <c r="AP84" i="2" s="1"/>
  <c r="R84" i="2" a="1"/>
  <c r="R84" i="2" s="1"/>
  <c r="BK84" i="2" a="1"/>
  <c r="BK84" i="2" s="1"/>
  <c r="AY84" i="2" a="1"/>
  <c r="AY84" i="2" s="1"/>
  <c r="Q84" i="2" a="1"/>
  <c r="Q84" i="2" s="1"/>
  <c r="P84" i="2" a="1"/>
  <c r="P84" i="2" s="1"/>
  <c r="AU84" i="2" a="1"/>
  <c r="AU84" i="2" s="1"/>
  <c r="W84" i="2" a="1"/>
  <c r="W84" i="2" s="1"/>
  <c r="U84" i="2" a="1"/>
  <c r="U84" i="2" s="1"/>
  <c r="T84" i="2" a="1"/>
  <c r="T84" i="2" s="1"/>
  <c r="R102" i="2" a="1"/>
  <c r="R102" i="2" s="1"/>
  <c r="P58" i="2" a="1"/>
  <c r="P58" i="2" s="1"/>
  <c r="W58" i="2" a="1"/>
  <c r="W58" i="2" s="1"/>
  <c r="P75" i="2" a="1"/>
  <c r="P75" i="2" s="1"/>
  <c r="CE78" i="2" a="1"/>
  <c r="CE78" i="2" s="1"/>
  <c r="U85" i="2" a="1"/>
  <c r="U85" i="2" s="1"/>
  <c r="H42" i="9" a="1"/>
  <c r="H42" i="9" s="1"/>
  <c r="U86" i="2" a="1"/>
  <c r="U86" i="2" s="1"/>
  <c r="BO93" i="2" a="1"/>
  <c r="BO93" i="2" s="1"/>
  <c r="H50" i="9" a="1"/>
  <c r="H50" i="9" s="1"/>
  <c r="BK104" i="2" a="1"/>
  <c r="BK104" i="2" s="1"/>
  <c r="R104" i="2" a="1"/>
  <c r="R104" i="2" s="1"/>
  <c r="AY104" i="2" a="1"/>
  <c r="AY104" i="2" s="1"/>
  <c r="Q104" i="2" a="1"/>
  <c r="Q104" i="2" s="1"/>
  <c r="AU104" i="2" a="1"/>
  <c r="AU104" i="2" s="1"/>
  <c r="P104" i="2" a="1"/>
  <c r="P104" i="2" s="1"/>
  <c r="W104" i="2" a="1"/>
  <c r="W104" i="2" s="1"/>
  <c r="U104" i="2" a="1"/>
  <c r="U104" i="2" s="1"/>
  <c r="AP104" i="2" a="1"/>
  <c r="AP104" i="2" s="1"/>
  <c r="T104" i="2" a="1"/>
  <c r="T104" i="2" s="1"/>
  <c r="S105" i="2" a="1"/>
  <c r="S105" i="2" s="1"/>
  <c r="L27" i="6" a="1"/>
  <c r="L27" i="6" s="1"/>
  <c r="K27" i="6" a="1"/>
  <c r="K27" i="6" s="1"/>
  <c r="J27" i="6" a="1"/>
  <c r="J27" i="6" s="1"/>
  <c r="I27" i="6" a="1"/>
  <c r="I27" i="6" s="1"/>
  <c r="I7" i="6" a="1"/>
  <c r="I7" i="6" s="1"/>
  <c r="J7" i="6" a="1"/>
  <c r="J7" i="6" s="1"/>
  <c r="L25" i="6" a="1"/>
  <c r="L25" i="6" s="1"/>
  <c r="K25" i="6" a="1"/>
  <c r="K25" i="6" s="1"/>
  <c r="J25" i="6" a="1"/>
  <c r="J25" i="6" s="1"/>
  <c r="I25" i="6" a="1"/>
  <c r="I25" i="6" s="1"/>
  <c r="J128" i="6" a="1"/>
  <c r="J128" i="6" s="1"/>
  <c r="K128" i="6" a="1"/>
  <c r="K128" i="6" s="1"/>
  <c r="R58" i="2" a="1"/>
  <c r="R58" i="2" s="1"/>
  <c r="BI32" i="9" a="1"/>
  <c r="BI32" i="9" s="1"/>
  <c r="Y32" i="9" a="1"/>
  <c r="Y32" i="9" s="1"/>
  <c r="AA32" i="9" a="1"/>
  <c r="AA32" i="9" s="1"/>
  <c r="AP78" i="2" a="1"/>
  <c r="AP78" i="2" s="1"/>
  <c r="Q86" i="2" a="1"/>
  <c r="Q86" i="2" s="1"/>
  <c r="AZ86" i="2" s="1" a="1"/>
  <c r="AZ86" i="2" s="1"/>
  <c r="H43" i="9" a="1"/>
  <c r="H43" i="9" s="1"/>
  <c r="BK87" i="2" a="1"/>
  <c r="BK87" i="2" s="1"/>
  <c r="AU87" i="2" a="1"/>
  <c r="AU87" i="2" s="1"/>
  <c r="P87" i="2" a="1"/>
  <c r="P87" i="2" s="1"/>
  <c r="U87" i="2" a="1"/>
  <c r="U87" i="2" s="1"/>
  <c r="T96" i="2" a="1"/>
  <c r="T96" i="2" s="1"/>
  <c r="S96" i="2" s="1" a="1"/>
  <c r="S96" i="2" s="1"/>
  <c r="L21" i="6" a="1"/>
  <c r="L21" i="6" s="1"/>
  <c r="K21" i="6" a="1"/>
  <c r="K21" i="6" s="1"/>
  <c r="J21" i="6" a="1"/>
  <c r="J21" i="6" s="1"/>
  <c r="I21" i="6" a="1"/>
  <c r="I21" i="6" s="1"/>
  <c r="AA41" i="9" a="1"/>
  <c r="AA41" i="9" s="1"/>
  <c r="Y41" i="9" a="1"/>
  <c r="Y41" i="9" s="1"/>
  <c r="BI41" i="9" a="1"/>
  <c r="BI41" i="9" s="1"/>
  <c r="R86" i="2" a="1"/>
  <c r="R86" i="2" s="1"/>
  <c r="BO102" i="2" a="1"/>
  <c r="BO102" i="2" s="1"/>
  <c r="CE102" i="2" a="1"/>
  <c r="CE102" i="2" s="1"/>
  <c r="L19" i="6" a="1"/>
  <c r="L19" i="6" s="1"/>
  <c r="K19" i="6" a="1"/>
  <c r="K19" i="6" s="1"/>
  <c r="J19" i="6" a="1"/>
  <c r="J19" i="6" s="1"/>
  <c r="I19" i="6" a="1"/>
  <c r="I19" i="6" s="1"/>
  <c r="K52" i="6" a="1"/>
  <c r="K52" i="6" s="1"/>
  <c r="J52" i="6" a="1"/>
  <c r="J52" i="6" s="1"/>
  <c r="L52" i="6" a="1"/>
  <c r="L52" i="6" s="1"/>
  <c r="I52" i="6" a="1"/>
  <c r="I52" i="6" s="1"/>
  <c r="S103" i="2" a="1"/>
  <c r="S103" i="2" s="1"/>
  <c r="BO103" i="2" a="1"/>
  <c r="BO103" i="2" s="1"/>
  <c r="CE103" i="2" a="1"/>
  <c r="CE103" i="2" s="1"/>
  <c r="I12" i="6" a="1"/>
  <c r="I12" i="6" s="1"/>
  <c r="J12" i="6" a="1"/>
  <c r="J12" i="6" s="1"/>
  <c r="L12" i="6" a="1"/>
  <c r="L12" i="6" s="1"/>
  <c r="L17" i="6" a="1"/>
  <c r="L17" i="6" s="1"/>
  <c r="K17" i="6" a="1"/>
  <c r="K17" i="6" s="1"/>
  <c r="J17" i="6" a="1"/>
  <c r="J17" i="6" s="1"/>
  <c r="I17" i="6" a="1"/>
  <c r="I17" i="6" s="1"/>
  <c r="L41" i="6" a="1"/>
  <c r="L41" i="6" s="1"/>
  <c r="K41" i="6" a="1"/>
  <c r="K41" i="6" s="1"/>
  <c r="J41" i="6" a="1"/>
  <c r="J41" i="6" s="1"/>
  <c r="I41" i="6" a="1"/>
  <c r="I41" i="6" s="1"/>
  <c r="L43" i="6" a="1"/>
  <c r="L43" i="6" s="1"/>
  <c r="K43" i="6" a="1"/>
  <c r="K43" i="6" s="1"/>
  <c r="J43" i="6" a="1"/>
  <c r="J43" i="6" s="1"/>
  <c r="I43" i="6" a="1"/>
  <c r="I43" i="6" s="1"/>
  <c r="L45" i="6" a="1"/>
  <c r="L45" i="6" s="1"/>
  <c r="K45" i="6" a="1"/>
  <c r="K45" i="6" s="1"/>
  <c r="J45" i="6" a="1"/>
  <c r="J45" i="6" s="1"/>
  <c r="I45" i="6" a="1"/>
  <c r="I45" i="6" s="1"/>
  <c r="I47" i="6" a="1"/>
  <c r="I47" i="6" s="1"/>
  <c r="L47" i="6" a="1"/>
  <c r="L47" i="6" s="1"/>
  <c r="K47" i="6" a="1"/>
  <c r="K47" i="6" s="1"/>
  <c r="J47" i="6" a="1"/>
  <c r="J47" i="6" s="1"/>
  <c r="L80" i="6" a="1"/>
  <c r="L80" i="6" s="1"/>
  <c r="K80" i="6" a="1"/>
  <c r="K80" i="6" s="1"/>
  <c r="J80" i="6" a="1"/>
  <c r="J80" i="6" s="1"/>
  <c r="I80" i="6" a="1"/>
  <c r="I80" i="6" s="1"/>
  <c r="AU58" i="2" a="1"/>
  <c r="AU58" i="2" s="1"/>
  <c r="BK77" i="2" a="1"/>
  <c r="BK77" i="2" s="1"/>
  <c r="Q85" i="2" a="1"/>
  <c r="Q85" i="2" s="1"/>
  <c r="BK85" i="2" a="1"/>
  <c r="BK85" i="2" s="1"/>
  <c r="CE93" i="2" a="1"/>
  <c r="CE93" i="2" s="1"/>
  <c r="L15" i="6" a="1"/>
  <c r="L15" i="6" s="1"/>
  <c r="K15" i="6" a="1"/>
  <c r="K15" i="6" s="1"/>
  <c r="J15" i="6" a="1"/>
  <c r="J15" i="6" s="1"/>
  <c r="I15" i="6" a="1"/>
  <c r="I15" i="6" s="1"/>
  <c r="L39" i="6" a="1"/>
  <c r="L39" i="6" s="1"/>
  <c r="K39" i="6" a="1"/>
  <c r="K39" i="6" s="1"/>
  <c r="J39" i="6" a="1"/>
  <c r="J39" i="6" s="1"/>
  <c r="I39" i="6" a="1"/>
  <c r="I39" i="6" s="1"/>
  <c r="T75" i="2" a="1"/>
  <c r="T75" i="2" s="1"/>
  <c r="AP75" i="2" a="1"/>
  <c r="AP75" i="2" s="1"/>
  <c r="R85" i="2" a="1"/>
  <c r="R85" i="2" s="1"/>
  <c r="AP85" i="2" a="1"/>
  <c r="AP85" i="2" s="1"/>
  <c r="T86" i="2" a="1"/>
  <c r="T86" i="2" s="1"/>
  <c r="H44" i="9" a="1"/>
  <c r="H44" i="9" s="1"/>
  <c r="U93" i="2" a="1"/>
  <c r="U93" i="2" s="1"/>
  <c r="T93" i="2" a="1"/>
  <c r="T93" i="2" s="1"/>
  <c r="S93" i="2" s="1" a="1"/>
  <c r="S93" i="2" s="1"/>
  <c r="P102" i="2" a="1"/>
  <c r="P102" i="2" s="1"/>
  <c r="P103" i="2" a="1"/>
  <c r="P103" i="2" s="1"/>
  <c r="P105" i="2" a="1"/>
  <c r="P105" i="2" s="1"/>
  <c r="L7" i="6" a="1"/>
  <c r="L7" i="6" s="1"/>
  <c r="L37" i="6" a="1"/>
  <c r="L37" i="6" s="1"/>
  <c r="K37" i="6" a="1"/>
  <c r="K37" i="6" s="1"/>
  <c r="J37" i="6" a="1"/>
  <c r="J37" i="6" s="1"/>
  <c r="I37" i="6" a="1"/>
  <c r="I37" i="6" s="1"/>
  <c r="J84" i="6" a="1"/>
  <c r="J84" i="6" s="1"/>
  <c r="I84" i="6" a="1"/>
  <c r="I84" i="6" s="1"/>
  <c r="K84" i="6" a="1"/>
  <c r="K84" i="6" s="1"/>
  <c r="L84" i="6" a="1"/>
  <c r="L84" i="6" s="1"/>
  <c r="K101" i="6" a="1"/>
  <c r="K101" i="6" s="1"/>
  <c r="I101" i="6" a="1"/>
  <c r="I101" i="6" s="1"/>
  <c r="L101" i="6" a="1"/>
  <c r="L101" i="6" s="1"/>
  <c r="J101" i="6" a="1"/>
  <c r="J101" i="6" s="1"/>
  <c r="U75" i="2" a="1"/>
  <c r="U75" i="2" s="1"/>
  <c r="BK75" i="2" a="1"/>
  <c r="BK75" i="2" s="1"/>
  <c r="BI38" i="9" a="1"/>
  <c r="BI38" i="9" s="1"/>
  <c r="AA38" i="9" a="1"/>
  <c r="AA38" i="9" s="1"/>
  <c r="Y38" i="9" a="1"/>
  <c r="Y38" i="9" s="1"/>
  <c r="W77" i="2" a="1"/>
  <c r="W77" i="2" s="1"/>
  <c r="AA39" i="9" a="1"/>
  <c r="AA39" i="9" s="1"/>
  <c r="Y39" i="9" a="1"/>
  <c r="Y39" i="9" s="1"/>
  <c r="BI39" i="9" a="1"/>
  <c r="BI39" i="9" s="1"/>
  <c r="W78" i="2" a="1"/>
  <c r="W78" i="2" s="1"/>
  <c r="AU86" i="2" a="1"/>
  <c r="AU86" i="2" s="1"/>
  <c r="P93" i="2" a="1"/>
  <c r="P93" i="2" s="1"/>
  <c r="L10" i="6" a="1"/>
  <c r="L10" i="6" s="1"/>
  <c r="L35" i="6" a="1"/>
  <c r="L35" i="6" s="1"/>
  <c r="K35" i="6" a="1"/>
  <c r="K35" i="6" s="1"/>
  <c r="J35" i="6" a="1"/>
  <c r="J35" i="6" s="1"/>
  <c r="I35" i="6" a="1"/>
  <c r="I35" i="6" s="1"/>
  <c r="L75" i="6" a="1"/>
  <c r="L75" i="6" s="1"/>
  <c r="K75" i="6" a="1"/>
  <c r="K75" i="6" s="1"/>
  <c r="J75" i="6" a="1"/>
  <c r="J75" i="6" s="1"/>
  <c r="I75" i="6" a="1"/>
  <c r="I75" i="6" s="1"/>
  <c r="AP58" i="2" a="1"/>
  <c r="AP58" i="2" s="1"/>
  <c r="AY58" i="2" a="1"/>
  <c r="AY58" i="2" s="1"/>
  <c r="Q93" i="2" a="1"/>
  <c r="Q93" i="2" s="1"/>
  <c r="Q103" i="2" a="1"/>
  <c r="Q103" i="2" s="1"/>
  <c r="Q105" i="2" a="1"/>
  <c r="Q105" i="2" s="1"/>
  <c r="L33" i="6" a="1"/>
  <c r="L33" i="6" s="1"/>
  <c r="K33" i="6" a="1"/>
  <c r="K33" i="6" s="1"/>
  <c r="J33" i="6" a="1"/>
  <c r="J33" i="6" s="1"/>
  <c r="I33" i="6" a="1"/>
  <c r="I33" i="6" s="1"/>
  <c r="K2" i="6" a="1"/>
  <c r="K2" i="6" s="1"/>
  <c r="J3" i="6" a="1"/>
  <c r="J3" i="6" s="1"/>
  <c r="I3" i="6" a="1"/>
  <c r="I3" i="6" s="1"/>
  <c r="K3" i="6" a="1"/>
  <c r="K3" i="6" s="1"/>
  <c r="L3" i="6" a="1"/>
  <c r="L3" i="6" s="1"/>
  <c r="L31" i="6" a="1"/>
  <c r="L31" i="6" s="1"/>
  <c r="K31" i="6" a="1"/>
  <c r="K31" i="6" s="1"/>
  <c r="J31" i="6" a="1"/>
  <c r="J31" i="6" s="1"/>
  <c r="I31" i="6" a="1"/>
  <c r="I31" i="6" s="1"/>
  <c r="BI36" i="9" a="1"/>
  <c r="BI36" i="9" s="1"/>
  <c r="AA36" i="9" a="1"/>
  <c r="AA36" i="9" s="1"/>
  <c r="Y36" i="9" a="1"/>
  <c r="Y36" i="9" s="1"/>
  <c r="W75" i="2" a="1"/>
  <c r="W75" i="2" s="1"/>
  <c r="T85" i="2" a="1"/>
  <c r="T85" i="2" s="1"/>
  <c r="S85" i="2" s="1" a="1"/>
  <c r="S85" i="2" s="1"/>
  <c r="AY86" i="2" a="1"/>
  <c r="AY86" i="2" s="1"/>
  <c r="BK86" i="2" a="1"/>
  <c r="BK86" i="2" s="1"/>
  <c r="H45" i="9" a="1"/>
  <c r="H45" i="9" s="1"/>
  <c r="BK94" i="2" a="1"/>
  <c r="BK94" i="2" s="1"/>
  <c r="AU94" i="2" a="1"/>
  <c r="AU94" i="2" s="1"/>
  <c r="W94" i="2" a="1"/>
  <c r="W94" i="2" s="1"/>
  <c r="Q94" i="2" a="1"/>
  <c r="Q94" i="2" s="1"/>
  <c r="P94" i="2" a="1"/>
  <c r="P94" i="2" s="1"/>
  <c r="U94" i="2" a="1"/>
  <c r="U94" i="2" s="1"/>
  <c r="S94" i="2" s="1" a="1"/>
  <c r="S94" i="2" s="1"/>
  <c r="AY94" i="2" a="1"/>
  <c r="AY94" i="2" s="1"/>
  <c r="H47" i="9" a="1"/>
  <c r="H47" i="9" s="1"/>
  <c r="AU96" i="2" a="1"/>
  <c r="AU96" i="2" s="1"/>
  <c r="R96" i="2" a="1"/>
  <c r="R96" i="2" s="1"/>
  <c r="BK96" i="2" a="1"/>
  <c r="BK96" i="2" s="1"/>
  <c r="W96" i="2" a="1"/>
  <c r="W96" i="2" s="1"/>
  <c r="Q96" i="2" a="1"/>
  <c r="Q96" i="2" s="1"/>
  <c r="AP96" i="2" a="1"/>
  <c r="AP96" i="2" s="1"/>
  <c r="P96" i="2" a="1"/>
  <c r="P96" i="2" s="1"/>
  <c r="R105" i="2" a="1"/>
  <c r="R105" i="2" s="1"/>
  <c r="R103" i="2" a="1"/>
  <c r="R103" i="2" s="1"/>
  <c r="K12" i="6" a="1"/>
  <c r="K12" i="6" s="1"/>
  <c r="L29" i="6" a="1"/>
  <c r="L29" i="6" s="1"/>
  <c r="K29" i="6" a="1"/>
  <c r="K29" i="6" s="1"/>
  <c r="J29" i="6" a="1"/>
  <c r="J29" i="6" s="1"/>
  <c r="I29" i="6" a="1"/>
  <c r="I29" i="6" s="1"/>
  <c r="J114" i="6" a="1"/>
  <c r="J114" i="6" s="1"/>
  <c r="K114" i="6" a="1"/>
  <c r="K114" i="6" s="1"/>
  <c r="AY103" i="2" a="1"/>
  <c r="AY103" i="2" s="1"/>
  <c r="BN105" i="2" a="1"/>
  <c r="BN105" i="2" s="1"/>
  <c r="L66" i="6" a="1"/>
  <c r="L66" i="6" s="1"/>
  <c r="I66" i="6" a="1"/>
  <c r="I66" i="6" s="1"/>
  <c r="K66" i="6" a="1"/>
  <c r="K66" i="6" s="1"/>
  <c r="J66" i="6" a="1"/>
  <c r="J66" i="6" s="1"/>
  <c r="J68" i="6" a="1"/>
  <c r="J68" i="6" s="1"/>
  <c r="I68" i="6" a="1"/>
  <c r="I68" i="6" s="1"/>
  <c r="K68" i="6" a="1"/>
  <c r="K68" i="6" s="1"/>
  <c r="K116" i="6" a="1"/>
  <c r="K116" i="6" s="1"/>
  <c r="J116" i="6" a="1"/>
  <c r="J116" i="6" s="1"/>
  <c r="L88" i="6" a="1"/>
  <c r="L88" i="6" s="1"/>
  <c r="K88" i="6" a="1"/>
  <c r="K88" i="6" s="1"/>
  <c r="J88" i="6" a="1"/>
  <c r="J88" i="6" s="1"/>
  <c r="I88" i="6" a="1"/>
  <c r="I88" i="6" s="1"/>
  <c r="T102" i="2" a="1"/>
  <c r="T102" i="2" s="1"/>
  <c r="S102" i="2" s="1" a="1"/>
  <c r="S102" i="2" s="1"/>
  <c r="AU102" i="2" a="1"/>
  <c r="AU102" i="2" s="1"/>
  <c r="AA49" i="9" a="1"/>
  <c r="AA49" i="9" s="1"/>
  <c r="Y49" i="9" a="1"/>
  <c r="Y49" i="9" s="1"/>
  <c r="BI49" i="9" a="1"/>
  <c r="BI49" i="9" s="1"/>
  <c r="L6" i="6" a="1"/>
  <c r="L6" i="6" s="1"/>
  <c r="K6" i="6" a="1"/>
  <c r="K6" i="6" s="1"/>
  <c r="K57" i="6" a="1"/>
  <c r="K57" i="6" s="1"/>
  <c r="I57" i="6" a="1"/>
  <c r="I57" i="6" s="1"/>
  <c r="L57" i="6" a="1"/>
  <c r="L57" i="6" s="1"/>
  <c r="J57" i="6" a="1"/>
  <c r="J57" i="6" s="1"/>
  <c r="L93" i="6" a="1"/>
  <c r="L93" i="6" s="1"/>
  <c r="J93" i="6" a="1"/>
  <c r="J93" i="6" s="1"/>
  <c r="BI51" i="9" a="1"/>
  <c r="BI51" i="9" s="1"/>
  <c r="AA51" i="9" a="1"/>
  <c r="AA51" i="9" s="1"/>
  <c r="Y51" i="9" a="1"/>
  <c r="Y51" i="9" s="1"/>
  <c r="L4" i="6" a="1"/>
  <c r="L4" i="6" s="1"/>
  <c r="L62" i="6" a="1"/>
  <c r="L62" i="6" s="1"/>
  <c r="K62" i="6" a="1"/>
  <c r="K62" i="6" s="1"/>
  <c r="J62" i="6" a="1"/>
  <c r="J62" i="6" s="1"/>
  <c r="I62" i="6" a="1"/>
  <c r="I62" i="6" s="1"/>
  <c r="U102" i="2" a="1"/>
  <c r="U102" i="2" s="1"/>
  <c r="AY102" i="2" a="1"/>
  <c r="AY102" i="2" s="1"/>
  <c r="L67" i="6" a="1"/>
  <c r="L67" i="6" s="1"/>
  <c r="K67" i="6" a="1"/>
  <c r="K67" i="6" s="1"/>
  <c r="J67" i="6" a="1"/>
  <c r="J67" i="6" s="1"/>
  <c r="I67" i="6" a="1"/>
  <c r="I67" i="6" s="1"/>
  <c r="K137" i="6" a="1"/>
  <c r="K137" i="6" s="1"/>
  <c r="J137" i="6" a="1"/>
  <c r="J137" i="6" s="1"/>
  <c r="AA48" i="9" a="1"/>
  <c r="AA48" i="9" s="1"/>
  <c r="Y48" i="9" a="1"/>
  <c r="Y48" i="9" s="1"/>
  <c r="BI48" i="9" a="1"/>
  <c r="BI48" i="9" s="1"/>
  <c r="AP102" i="2" a="1"/>
  <c r="AP102" i="2" s="1"/>
  <c r="I10" i="6" a="1"/>
  <c r="I10" i="6" s="1"/>
  <c r="J10" i="6" a="1"/>
  <c r="J10" i="6" s="1"/>
  <c r="L14" i="6" a="1"/>
  <c r="L14" i="6" s="1"/>
  <c r="K14" i="6" a="1"/>
  <c r="K14" i="6" s="1"/>
  <c r="J14" i="6" a="1"/>
  <c r="J14" i="6" s="1"/>
  <c r="I14" i="6" a="1"/>
  <c r="I14" i="6" s="1"/>
  <c r="L16" i="6" a="1"/>
  <c r="L16" i="6" s="1"/>
  <c r="K16" i="6" a="1"/>
  <c r="K16" i="6" s="1"/>
  <c r="J16" i="6" a="1"/>
  <c r="J16" i="6" s="1"/>
  <c r="I16" i="6" a="1"/>
  <c r="I16" i="6" s="1"/>
  <c r="L18" i="6" a="1"/>
  <c r="L18" i="6" s="1"/>
  <c r="K18" i="6" a="1"/>
  <c r="K18" i="6" s="1"/>
  <c r="J18" i="6" a="1"/>
  <c r="J18" i="6" s="1"/>
  <c r="I18" i="6" a="1"/>
  <c r="I18" i="6" s="1"/>
  <c r="L20" i="6" a="1"/>
  <c r="L20" i="6" s="1"/>
  <c r="K20" i="6" a="1"/>
  <c r="K20" i="6" s="1"/>
  <c r="J20" i="6" a="1"/>
  <c r="J20" i="6" s="1"/>
  <c r="I20" i="6" a="1"/>
  <c r="I20" i="6" s="1"/>
  <c r="L22" i="6" a="1"/>
  <c r="L22" i="6" s="1"/>
  <c r="K22" i="6" a="1"/>
  <c r="K22" i="6" s="1"/>
  <c r="J22" i="6" a="1"/>
  <c r="J22" i="6" s="1"/>
  <c r="I22" i="6" a="1"/>
  <c r="I22" i="6" s="1"/>
  <c r="L24" i="6" a="1"/>
  <c r="L24" i="6" s="1"/>
  <c r="K24" i="6" a="1"/>
  <c r="K24" i="6" s="1"/>
  <c r="J24" i="6" a="1"/>
  <c r="J24" i="6" s="1"/>
  <c r="I24" i="6" a="1"/>
  <c r="I24" i="6" s="1"/>
  <c r="L26" i="6" a="1"/>
  <c r="L26" i="6" s="1"/>
  <c r="K26" i="6" a="1"/>
  <c r="K26" i="6" s="1"/>
  <c r="J26" i="6" a="1"/>
  <c r="J26" i="6" s="1"/>
  <c r="I26" i="6" a="1"/>
  <c r="I26" i="6" s="1"/>
  <c r="L28" i="6" a="1"/>
  <c r="L28" i="6" s="1"/>
  <c r="K28" i="6" a="1"/>
  <c r="K28" i="6" s="1"/>
  <c r="J28" i="6" a="1"/>
  <c r="J28" i="6" s="1"/>
  <c r="I28" i="6" a="1"/>
  <c r="I28" i="6" s="1"/>
  <c r="L30" i="6" a="1"/>
  <c r="L30" i="6" s="1"/>
  <c r="K30" i="6" a="1"/>
  <c r="K30" i="6" s="1"/>
  <c r="J30" i="6" a="1"/>
  <c r="J30" i="6" s="1"/>
  <c r="I30" i="6" a="1"/>
  <c r="I30" i="6" s="1"/>
  <c r="L32" i="6" a="1"/>
  <c r="L32" i="6" s="1"/>
  <c r="K32" i="6" a="1"/>
  <c r="K32" i="6" s="1"/>
  <c r="J32" i="6" a="1"/>
  <c r="J32" i="6" s="1"/>
  <c r="I32" i="6" a="1"/>
  <c r="I32" i="6" s="1"/>
  <c r="L34" i="6" a="1"/>
  <c r="L34" i="6" s="1"/>
  <c r="K34" i="6" a="1"/>
  <c r="K34" i="6" s="1"/>
  <c r="J34" i="6" a="1"/>
  <c r="J34" i="6" s="1"/>
  <c r="I34" i="6" a="1"/>
  <c r="I34" i="6" s="1"/>
  <c r="L36" i="6" a="1"/>
  <c r="L36" i="6" s="1"/>
  <c r="K36" i="6" a="1"/>
  <c r="K36" i="6" s="1"/>
  <c r="J36" i="6" a="1"/>
  <c r="J36" i="6" s="1"/>
  <c r="I36" i="6" a="1"/>
  <c r="I36" i="6" s="1"/>
  <c r="L38" i="6" a="1"/>
  <c r="L38" i="6" s="1"/>
  <c r="K38" i="6" a="1"/>
  <c r="K38" i="6" s="1"/>
  <c r="J38" i="6" a="1"/>
  <c r="J38" i="6" s="1"/>
  <c r="I38" i="6" a="1"/>
  <c r="I38" i="6" s="1"/>
  <c r="L40" i="6" a="1"/>
  <c r="L40" i="6" s="1"/>
  <c r="K40" i="6" a="1"/>
  <c r="K40" i="6" s="1"/>
  <c r="J40" i="6" a="1"/>
  <c r="J40" i="6" s="1"/>
  <c r="I40" i="6" a="1"/>
  <c r="I40" i="6" s="1"/>
  <c r="L42" i="6" a="1"/>
  <c r="L42" i="6" s="1"/>
  <c r="K42" i="6" a="1"/>
  <c r="K42" i="6" s="1"/>
  <c r="J42" i="6" a="1"/>
  <c r="J42" i="6" s="1"/>
  <c r="I42" i="6" a="1"/>
  <c r="I42" i="6" s="1"/>
  <c r="L44" i="6" a="1"/>
  <c r="L44" i="6" s="1"/>
  <c r="K44" i="6" a="1"/>
  <c r="K44" i="6" s="1"/>
  <c r="J44" i="6" a="1"/>
  <c r="J44" i="6" s="1"/>
  <c r="I44" i="6" a="1"/>
  <c r="I44" i="6" s="1"/>
  <c r="L46" i="6" a="1"/>
  <c r="L46" i="6" s="1"/>
  <c r="K46" i="6" a="1"/>
  <c r="K46" i="6" s="1"/>
  <c r="J46" i="6" a="1"/>
  <c r="J46" i="6" s="1"/>
  <c r="I46" i="6" a="1"/>
  <c r="I46" i="6" s="1"/>
  <c r="I79" i="6" a="1"/>
  <c r="I79" i="6" s="1"/>
  <c r="J79" i="6" a="1"/>
  <c r="J79" i="6" s="1"/>
  <c r="L79" i="6" a="1"/>
  <c r="L79" i="6" s="1"/>
  <c r="K79" i="6" a="1"/>
  <c r="K79" i="6" s="1"/>
  <c r="J92" i="6" a="1"/>
  <c r="J92" i="6" s="1"/>
  <c r="I92" i="6" a="1"/>
  <c r="I92" i="6" s="1"/>
  <c r="K92" i="6" a="1"/>
  <c r="K92" i="6" s="1"/>
  <c r="L92" i="6" a="1"/>
  <c r="L92" i="6" s="1"/>
  <c r="K105" i="6" a="1"/>
  <c r="K105" i="6" s="1"/>
  <c r="J105" i="6" a="1"/>
  <c r="J105" i="6" s="1"/>
  <c r="L105" i="6" a="1"/>
  <c r="L105" i="6" s="1"/>
  <c r="I105" i="6" a="1"/>
  <c r="I105" i="6" s="1"/>
  <c r="K118" i="6" a="1"/>
  <c r="K118" i="6" s="1"/>
  <c r="J118" i="6" a="1"/>
  <c r="J118" i="6" s="1"/>
  <c r="K8" i="6" a="1"/>
  <c r="K8" i="6" s="1"/>
  <c r="J8" i="6" a="1"/>
  <c r="J8" i="6" s="1"/>
  <c r="I8" i="6" a="1"/>
  <c r="I8" i="6" s="1"/>
  <c r="L8" i="6" a="1"/>
  <c r="L8" i="6" s="1"/>
  <c r="K48" i="6" a="1"/>
  <c r="K48" i="6" s="1"/>
  <c r="I48" i="6" a="1"/>
  <c r="I48" i="6" s="1"/>
  <c r="J76" i="6" a="1"/>
  <c r="J76" i="6" s="1"/>
  <c r="I76" i="6" a="1"/>
  <c r="I76" i="6" s="1"/>
  <c r="K76" i="6" a="1"/>
  <c r="K76" i="6" s="1"/>
  <c r="L76" i="6" a="1"/>
  <c r="L76" i="6" s="1"/>
  <c r="L11" i="6" a="1"/>
  <c r="L11" i="6" s="1"/>
  <c r="K11" i="6" a="1"/>
  <c r="K11" i="6" s="1"/>
  <c r="J11" i="6" a="1"/>
  <c r="J11" i="6" s="1"/>
  <c r="K58" i="6" a="1"/>
  <c r="K58" i="6" s="1"/>
  <c r="J58" i="6" a="1"/>
  <c r="J58" i="6" s="1"/>
  <c r="L58" i="6" a="1"/>
  <c r="L58" i="6" s="1"/>
  <c r="I58" i="6" a="1"/>
  <c r="I58" i="6" s="1"/>
  <c r="K97" i="6" a="1"/>
  <c r="K97" i="6" s="1"/>
  <c r="J97" i="6" a="1"/>
  <c r="J97" i="6" s="1"/>
  <c r="L97" i="6" a="1"/>
  <c r="L97" i="6" s="1"/>
  <c r="I97" i="6" a="1"/>
  <c r="I97" i="6" s="1"/>
  <c r="J110" i="6" a="1"/>
  <c r="J110" i="6" s="1"/>
  <c r="K110" i="6" a="1"/>
  <c r="K110" i="6" s="1"/>
  <c r="I2" i="6" a="1"/>
  <c r="I2" i="6" s="1"/>
  <c r="J2" i="6" a="1"/>
  <c r="J2" i="6" s="1"/>
  <c r="L2" i="6" a="1"/>
  <c r="L2" i="6" s="1"/>
  <c r="L13" i="6" a="1"/>
  <c r="L13" i="6" s="1"/>
  <c r="K13" i="6" a="1"/>
  <c r="K13" i="6" s="1"/>
  <c r="J13" i="6" a="1"/>
  <c r="J13" i="6" s="1"/>
  <c r="K53" i="6" a="1"/>
  <c r="K53" i="6" s="1"/>
  <c r="I53" i="6" a="1"/>
  <c r="I53" i="6" s="1"/>
  <c r="L53" i="6" a="1"/>
  <c r="L53" i="6" s="1"/>
  <c r="J53" i="6" a="1"/>
  <c r="J53" i="6" s="1"/>
  <c r="I71" i="6" a="1"/>
  <c r="I71" i="6" s="1"/>
  <c r="J71" i="6" a="1"/>
  <c r="J71" i="6" s="1"/>
  <c r="L71" i="6" a="1"/>
  <c r="L71" i="6" s="1"/>
  <c r="K71" i="6" a="1"/>
  <c r="K71" i="6" s="1"/>
  <c r="K54" i="6" a="1"/>
  <c r="K54" i="6" s="1"/>
  <c r="J54" i="6" a="1"/>
  <c r="J54" i="6" s="1"/>
  <c r="L54" i="6" a="1"/>
  <c r="L54" i="6" s="1"/>
  <c r="K59" i="6" a="1"/>
  <c r="K59" i="6" s="1"/>
  <c r="I59" i="6" a="1"/>
  <c r="I59" i="6" s="1"/>
  <c r="L72" i="6" a="1"/>
  <c r="L72" i="6" s="1"/>
  <c r="K72" i="6" a="1"/>
  <c r="K72" i="6" s="1"/>
  <c r="J72" i="6" a="1"/>
  <c r="J72" i="6" s="1"/>
  <c r="K74" i="6" a="1"/>
  <c r="K74" i="6" s="1"/>
  <c r="K81" i="6" a="1"/>
  <c r="K81" i="6" s="1"/>
  <c r="J81" i="6" a="1"/>
  <c r="J81" i="6" s="1"/>
  <c r="L81" i="6" a="1"/>
  <c r="L81" i="6" s="1"/>
  <c r="K85" i="6" a="1"/>
  <c r="K85" i="6" s="1"/>
  <c r="I85" i="6" a="1"/>
  <c r="I85" i="6" s="1"/>
  <c r="L98" i="6" a="1"/>
  <c r="L98" i="6" s="1"/>
  <c r="I98" i="6" a="1"/>
  <c r="I98" i="6" s="1"/>
  <c r="L106" i="6" a="1"/>
  <c r="L106" i="6" s="1"/>
  <c r="I106" i="6" a="1"/>
  <c r="I106" i="6" s="1"/>
  <c r="K113" i="6" a="1"/>
  <c r="K113" i="6" s="1"/>
  <c r="J113" i="6" a="1"/>
  <c r="J113" i="6" s="1"/>
  <c r="L48" i="6" a="1"/>
  <c r="L48" i="6" s="1"/>
  <c r="K49" i="6" a="1"/>
  <c r="K49" i="6" s="1"/>
  <c r="I49" i="6" a="1"/>
  <c r="I49" i="6" s="1"/>
  <c r="L61" i="6" a="1"/>
  <c r="L61" i="6" s="1"/>
  <c r="I63" i="6" a="1"/>
  <c r="I63" i="6" s="1"/>
  <c r="J63" i="6" a="1"/>
  <c r="J63" i="6" s="1"/>
  <c r="K89" i="6" a="1"/>
  <c r="K89" i="6" s="1"/>
  <c r="J89" i="6" a="1"/>
  <c r="J89" i="6" s="1"/>
  <c r="L89" i="6" a="1"/>
  <c r="L89" i="6" s="1"/>
  <c r="K93" i="6" a="1"/>
  <c r="K93" i="6" s="1"/>
  <c r="I93" i="6" a="1"/>
  <c r="I93" i="6" s="1"/>
  <c r="L102" i="6" a="1"/>
  <c r="L102" i="6" s="1"/>
  <c r="K102" i="6" a="1"/>
  <c r="K102" i="6" s="1"/>
  <c r="J102" i="6" a="1"/>
  <c r="J102" i="6" s="1"/>
  <c r="I102" i="6" a="1"/>
  <c r="I102" i="6" s="1"/>
  <c r="L70" i="6" a="1"/>
  <c r="L70" i="6" s="1"/>
  <c r="K70" i="6" a="1"/>
  <c r="K70" i="6" s="1"/>
  <c r="J70" i="6" a="1"/>
  <c r="J70" i="6" s="1"/>
  <c r="I70" i="6" a="1"/>
  <c r="I70" i="6" s="1"/>
  <c r="L83" i="6" a="1"/>
  <c r="L83" i="6" s="1"/>
  <c r="J100" i="6" a="1"/>
  <c r="J100" i="6" s="1"/>
  <c r="I100" i="6" a="1"/>
  <c r="I100" i="6" s="1"/>
  <c r="K100" i="6" a="1"/>
  <c r="K100" i="6" s="1"/>
  <c r="K122" i="6" a="1"/>
  <c r="K122" i="6" s="1"/>
  <c r="J122" i="6" a="1"/>
  <c r="J122" i="6" s="1"/>
  <c r="J124" i="6" a="1"/>
  <c r="J124" i="6" s="1"/>
  <c r="I4" i="6" a="1"/>
  <c r="I4" i="6" s="1"/>
  <c r="J5" i="6" a="1"/>
  <c r="J5" i="6" s="1"/>
  <c r="K9" i="6" a="1"/>
  <c r="K9" i="6" s="1"/>
  <c r="J48" i="6" a="1"/>
  <c r="J48" i="6" s="1"/>
  <c r="L49" i="6" a="1"/>
  <c r="L49" i="6" s="1"/>
  <c r="K56" i="6" a="1"/>
  <c r="K56" i="6" s="1"/>
  <c r="J56" i="6" a="1"/>
  <c r="J56" i="6" s="1"/>
  <c r="L56" i="6" a="1"/>
  <c r="L56" i="6" s="1"/>
  <c r="K61" i="6" a="1"/>
  <c r="K61" i="6" s="1"/>
  <c r="I61" i="6" a="1"/>
  <c r="I61" i="6" s="1"/>
  <c r="L63" i="6" a="1"/>
  <c r="L63" i="6" s="1"/>
  <c r="L74" i="6" a="1"/>
  <c r="L74" i="6" s="1"/>
  <c r="I74" i="6" a="1"/>
  <c r="I74" i="6" s="1"/>
  <c r="L85" i="6" a="1"/>
  <c r="L85" i="6" s="1"/>
  <c r="I87" i="6" a="1"/>
  <c r="I87" i="6" s="1"/>
  <c r="J87" i="6" a="1"/>
  <c r="J87" i="6" s="1"/>
  <c r="L91" i="6" a="1"/>
  <c r="L91" i="6" s="1"/>
  <c r="I95" i="6" a="1"/>
  <c r="I95" i="6" s="1"/>
  <c r="J95" i="6" a="1"/>
  <c r="J95" i="6" s="1"/>
  <c r="L104" i="6" a="1"/>
  <c r="L104" i="6" s="1"/>
  <c r="K104" i="6" a="1"/>
  <c r="K104" i="6" s="1"/>
  <c r="J104" i="6" a="1"/>
  <c r="J104" i="6" s="1"/>
  <c r="K51" i="6" a="1"/>
  <c r="K51" i="6" s="1"/>
  <c r="I51" i="6" a="1"/>
  <c r="I51" i="6" s="1"/>
  <c r="K69" i="6" a="1"/>
  <c r="K69" i="6" s="1"/>
  <c r="I69" i="6" a="1"/>
  <c r="I69" i="6" s="1"/>
  <c r="L82" i="6" a="1"/>
  <c r="L82" i="6" s="1"/>
  <c r="I82" i="6" a="1"/>
  <c r="I82" i="6" s="1"/>
  <c r="K124" i="6" a="1"/>
  <c r="K124" i="6" s="1"/>
  <c r="J4" i="6" a="1"/>
  <c r="J4" i="6" s="1"/>
  <c r="K5" i="6" a="1"/>
  <c r="K5" i="6" s="1"/>
  <c r="K60" i="6" a="1"/>
  <c r="K60" i="6" s="1"/>
  <c r="J60" i="6" a="1"/>
  <c r="J60" i="6" s="1"/>
  <c r="L60" i="6" a="1"/>
  <c r="L60" i="6" s="1"/>
  <c r="K65" i="6" a="1"/>
  <c r="K65" i="6" s="1"/>
  <c r="J65" i="6" a="1"/>
  <c r="J65" i="6" s="1"/>
  <c r="L65" i="6" a="1"/>
  <c r="L65" i="6" s="1"/>
  <c r="L78" i="6" a="1"/>
  <c r="L78" i="6" s="1"/>
  <c r="K78" i="6" a="1"/>
  <c r="K78" i="6" s="1"/>
  <c r="J78" i="6" a="1"/>
  <c r="J78" i="6" s="1"/>
  <c r="I78" i="6" a="1"/>
  <c r="I78" i="6" s="1"/>
  <c r="L90" i="6" a="1"/>
  <c r="L90" i="6" s="1"/>
  <c r="L99" i="6" a="1"/>
  <c r="L99" i="6" s="1"/>
  <c r="K99" i="6" a="1"/>
  <c r="K99" i="6" s="1"/>
  <c r="J99" i="6" a="1"/>
  <c r="J99" i="6" s="1"/>
  <c r="I103" i="6" a="1"/>
  <c r="I103" i="6" s="1"/>
  <c r="J103" i="6" a="1"/>
  <c r="J103" i="6" s="1"/>
  <c r="K107" i="6" a="1"/>
  <c r="K107" i="6" s="1"/>
  <c r="K127" i="6" a="1"/>
  <c r="K127" i="6" s="1"/>
  <c r="J127" i="6" a="1"/>
  <c r="J127" i="6" s="1"/>
  <c r="K50" i="6" a="1"/>
  <c r="K50" i="6" s="1"/>
  <c r="J50" i="6" a="1"/>
  <c r="J50" i="6" s="1"/>
  <c r="L50" i="6" a="1"/>
  <c r="L50" i="6" s="1"/>
  <c r="K55" i="6" a="1"/>
  <c r="K55" i="6" s="1"/>
  <c r="I55" i="6" a="1"/>
  <c r="I55" i="6" s="1"/>
  <c r="L64" i="6" a="1"/>
  <c r="L64" i="6" s="1"/>
  <c r="K64" i="6" a="1"/>
  <c r="K64" i="6" s="1"/>
  <c r="J64" i="6" a="1"/>
  <c r="J64" i="6" s="1"/>
  <c r="K77" i="6" a="1"/>
  <c r="K77" i="6" s="1"/>
  <c r="I77" i="6" a="1"/>
  <c r="I77" i="6" s="1"/>
  <c r="L86" i="6" a="1"/>
  <c r="L86" i="6" s="1"/>
  <c r="K109" i="6" a="1"/>
  <c r="K109" i="6" s="1"/>
  <c r="J109" i="6" a="1"/>
  <c r="J109" i="6" s="1"/>
  <c r="J119" i="6" a="1"/>
  <c r="J119" i="6" s="1"/>
  <c r="K73" i="6" a="1"/>
  <c r="K73" i="6" s="1"/>
  <c r="J73" i="6" a="1"/>
  <c r="J73" i="6" s="1"/>
  <c r="L73" i="6" a="1"/>
  <c r="L73" i="6" s="1"/>
  <c r="L94" i="6" a="1"/>
  <c r="L94" i="6" s="1"/>
  <c r="K94" i="6" a="1"/>
  <c r="K94" i="6" s="1"/>
  <c r="J94" i="6" a="1"/>
  <c r="J94" i="6" s="1"/>
  <c r="I94" i="6" a="1"/>
  <c r="I94" i="6" s="1"/>
  <c r="L100" i="6" a="1"/>
  <c r="L100" i="6" s="1"/>
  <c r="K125" i="6" a="1"/>
  <c r="K125" i="6" s="1"/>
  <c r="J125" i="6" a="1"/>
  <c r="J125" i="6" s="1"/>
  <c r="J138" i="6" a="1"/>
  <c r="J138" i="6" s="1"/>
  <c r="K138" i="6" a="1"/>
  <c r="K138" i="6" s="1"/>
  <c r="I90" i="6" a="1"/>
  <c r="I90" i="6" s="1"/>
  <c r="K111" i="6" a="1"/>
  <c r="K111" i="6" s="1"/>
  <c r="K120" i="6" a="1"/>
  <c r="K120" i="6" s="1"/>
  <c r="J130" i="6" a="1"/>
  <c r="J130" i="6" s="1"/>
  <c r="J83" i="6" a="1"/>
  <c r="J83" i="6" s="1"/>
  <c r="I86" i="6" a="1"/>
  <c r="I86" i="6" s="1"/>
  <c r="J91" i="6" a="1"/>
  <c r="J91" i="6" s="1"/>
  <c r="K96" i="6" a="1"/>
  <c r="K96" i="6" s="1"/>
  <c r="J112" i="6" a="1"/>
  <c r="J112" i="6" s="1"/>
  <c r="J121" i="6" a="1"/>
  <c r="J121" i="6" s="1"/>
  <c r="K130" i="6" a="1"/>
  <c r="K130" i="6" s="1"/>
  <c r="K83" i="6" a="1"/>
  <c r="K83" i="6" s="1"/>
  <c r="K91" i="6" a="1"/>
  <c r="K91" i="6" s="1"/>
  <c r="K86" i="6" a="1"/>
  <c r="K86" i="6" s="1"/>
  <c r="J123" i="6" a="1"/>
  <c r="J123" i="6" s="1"/>
  <c r="AP41" i="9" a="1"/>
  <c r="AP41" i="9" s="1"/>
  <c r="AP44" i="9" a="1"/>
  <c r="AP44" i="9" s="1"/>
  <c r="AP27" i="9" a="1"/>
  <c r="AP27" i="9" s="1"/>
  <c r="AP34" i="9" a="1"/>
  <c r="AP34" i="9" s="1"/>
  <c r="AP40" i="9" a="1"/>
  <c r="AP40" i="9" s="1"/>
  <c r="AP20" i="9" a="1"/>
  <c r="AP20" i="9" s="1"/>
  <c r="AP31" i="9" a="1"/>
  <c r="AP31" i="9" s="1"/>
  <c r="AP32" i="9" a="1"/>
  <c r="AP32" i="9" s="1"/>
  <c r="AP33" i="9" a="1"/>
  <c r="AP33" i="9" s="1"/>
  <c r="AP37" i="9" a="1"/>
  <c r="AP37" i="9" s="1"/>
  <c r="AP38" i="9" a="1"/>
  <c r="AP38" i="9" s="1"/>
  <c r="AP35" i="9" a="1"/>
  <c r="AP35" i="9" s="1"/>
  <c r="AP39" i="9" a="1"/>
  <c r="AP39" i="9" s="1"/>
  <c r="AP36" i="9" a="1"/>
  <c r="AP36" i="9" s="1"/>
  <c r="AP46" i="9" a="1"/>
  <c r="AP46" i="9" s="1"/>
  <c r="AP24" i="9" a="1"/>
  <c r="AP24" i="9" s="1"/>
  <c r="AP25" i="9" a="1"/>
  <c r="AP25" i="9" s="1"/>
  <c r="AP22" i="9" a="1"/>
  <c r="AP22" i="9" s="1"/>
  <c r="AP21" i="9" a="1"/>
  <c r="AP21" i="9" s="1"/>
  <c r="AP30" i="9" a="1"/>
  <c r="AP30" i="9" s="1"/>
  <c r="AP49" i="9" a="1"/>
  <c r="AP49" i="9" s="1"/>
  <c r="AP50" i="9" a="1"/>
  <c r="AP50" i="9" s="1"/>
  <c r="AP43" i="9" a="1"/>
  <c r="AP43" i="9" s="1"/>
  <c r="AP51" i="9" a="1"/>
  <c r="AP51" i="9" s="1"/>
  <c r="AP45" i="9" a="1"/>
  <c r="AP45" i="9" s="1"/>
  <c r="AP47" i="9" a="1"/>
  <c r="AP47" i="9" s="1"/>
  <c r="AP42" i="9" a="1"/>
  <c r="AP42" i="9" s="1"/>
  <c r="CE96" i="2" l="1" a="1"/>
  <c r="CE96" i="2" s="1"/>
  <c r="CG96" i="2" a="1"/>
  <c r="CG96" i="2" s="1"/>
  <c r="BO96" i="2" a="1"/>
  <c r="BO96" i="2" s="1"/>
  <c r="S86" i="2" a="1"/>
  <c r="S86" i="2" s="1"/>
  <c r="CH84" i="2" a="1"/>
  <c r="CH84" i="2" s="1"/>
  <c r="CG84" i="2" a="1"/>
  <c r="CG84" i="2" s="1"/>
  <c r="CE84" i="2" a="1"/>
  <c r="CE84" i="2" s="1"/>
  <c r="BO84" i="2" a="1"/>
  <c r="BO84" i="2" s="1"/>
  <c r="BN84" i="2" a="1"/>
  <c r="BN84" i="2" s="1"/>
  <c r="CE95" i="2" a="1"/>
  <c r="CE95" i="2" s="1"/>
  <c r="CG95" i="2" a="1"/>
  <c r="CG95" i="2" s="1"/>
  <c r="BM95" i="2" a="1"/>
  <c r="BM95" i="2" s="1"/>
  <c r="AZ66" i="2" a="1"/>
  <c r="AZ66" i="2" s="1"/>
  <c r="AZ77" i="2" a="1"/>
  <c r="AZ77" i="2" s="1"/>
  <c r="S33" i="2" a="1"/>
  <c r="S33" i="2" s="1"/>
  <c r="S49" i="2" a="1"/>
  <c r="S49" i="2" s="1"/>
  <c r="Y24" i="9" a="1"/>
  <c r="Y24" i="9" s="1"/>
  <c r="AA24" i="9" a="1"/>
  <c r="AA24" i="9" s="1"/>
  <c r="BI24" i="9" a="1"/>
  <c r="BI24" i="9" s="1"/>
  <c r="AZ50" i="2" a="1"/>
  <c r="AZ50" i="2" s="1"/>
  <c r="AZ23" i="2" a="1"/>
  <c r="AZ23" i="2" s="1"/>
  <c r="CE14" i="2" a="1"/>
  <c r="CE14" i="2" s="1"/>
  <c r="BM14" i="2" a="1"/>
  <c r="BM14" i="2" s="1"/>
  <c r="CG14" i="2" a="1"/>
  <c r="CG14" i="2" s="1"/>
  <c r="CG105" i="2" a="1"/>
  <c r="CG105" i="2" s="1"/>
  <c r="CG78" i="2" a="1"/>
  <c r="CG78" i="2" s="1"/>
  <c r="CG66" i="2" a="1"/>
  <c r="CG66" i="2" s="1"/>
  <c r="AZ3" i="2" a="1"/>
  <c r="AZ3" i="2" s="1"/>
  <c r="CG86" i="2" a="1"/>
  <c r="CG86" i="2" s="1"/>
  <c r="CE86" i="2" a="1"/>
  <c r="CE86" i="2" s="1"/>
  <c r="CE87" i="2" a="1"/>
  <c r="CE87" i="2" s="1"/>
  <c r="BN87" i="2" a="1"/>
  <c r="BN87" i="2" s="1"/>
  <c r="BM87" i="2" a="1"/>
  <c r="BM87" i="2" s="1"/>
  <c r="CH87" i="2" a="1"/>
  <c r="CH87" i="2" s="1"/>
  <c r="CG87" i="2" a="1"/>
  <c r="CG87" i="2" s="1"/>
  <c r="CE104" i="2" a="1"/>
  <c r="CE104" i="2" s="1"/>
  <c r="CG104" i="2" a="1"/>
  <c r="CG104" i="2" s="1"/>
  <c r="AZ58" i="2" a="1"/>
  <c r="AZ58" i="2" s="1"/>
  <c r="Y46" i="9" a="1"/>
  <c r="Y46" i="9" s="1"/>
  <c r="BI46" i="9" a="1"/>
  <c r="BI46" i="9" s="1"/>
  <c r="AA46" i="9" a="1"/>
  <c r="AA46" i="9" s="1"/>
  <c r="CE68" i="2" a="1"/>
  <c r="CE68" i="2" s="1"/>
  <c r="CH68" i="2" a="1"/>
  <c r="CH68" i="2" s="1"/>
  <c r="BN68" i="2" a="1"/>
  <c r="BN68" i="2" s="1"/>
  <c r="CG68" i="2" a="1"/>
  <c r="CG68" i="2" s="1"/>
  <c r="AZ78" i="2" a="1"/>
  <c r="AZ78" i="2" s="1"/>
  <c r="BM57" i="2" a="1"/>
  <c r="BM57" i="2" s="1"/>
  <c r="CG57" i="2" a="1"/>
  <c r="CG57" i="2" s="1"/>
  <c r="CE57" i="2" a="1"/>
  <c r="CE57" i="2" s="1"/>
  <c r="AZ30" i="2" a="1"/>
  <c r="AZ30" i="2" s="1"/>
  <c r="BA33" i="2" s="1" a="1"/>
  <c r="BA33" i="2" s="1"/>
  <c r="CG49" i="2" a="1"/>
  <c r="CG49" i="2" s="1"/>
  <c r="CE49" i="2" a="1"/>
  <c r="CE49" i="2" s="1"/>
  <c r="Y22" i="9" a="1"/>
  <c r="Y22" i="9" s="1"/>
  <c r="AA22" i="9" a="1"/>
  <c r="AA22" i="9" s="1"/>
  <c r="BI22" i="9" a="1"/>
  <c r="BI22" i="9" s="1"/>
  <c r="AZ13" i="2" a="1"/>
  <c r="AZ13" i="2" s="1"/>
  <c r="BI12" i="9" a="1"/>
  <c r="BI12" i="9" s="1"/>
  <c r="Y12" i="9" a="1"/>
  <c r="Y12" i="9" s="1"/>
  <c r="AA12" i="9" a="1"/>
  <c r="AA12" i="9" s="1"/>
  <c r="AZ31" i="2" a="1"/>
  <c r="AZ31" i="2" s="1"/>
  <c r="AZ24" i="2" a="1"/>
  <c r="AZ24" i="2" s="1"/>
  <c r="AZ57" i="2" a="1"/>
  <c r="AZ57" i="2" s="1"/>
  <c r="AA25" i="9" a="1"/>
  <c r="AA25" i="9" s="1"/>
  <c r="BI25" i="9" a="1"/>
  <c r="BI25" i="9" s="1"/>
  <c r="Y25" i="9" a="1"/>
  <c r="Y25" i="9" s="1"/>
  <c r="BI9" i="9" a="1"/>
  <c r="BI9" i="9" s="1"/>
  <c r="AA9" i="9" a="1"/>
  <c r="AA9" i="9" s="1"/>
  <c r="Y9" i="9" a="1"/>
  <c r="Y9" i="9" s="1"/>
  <c r="BO51" i="9" a="1"/>
  <c r="BO51" i="9" s="1"/>
  <c r="BN51" i="9" a="1"/>
  <c r="BN51" i="9" s="1"/>
  <c r="BM51" i="9" s="1" a="1"/>
  <c r="BM51" i="9" s="1"/>
  <c r="BL51" i="9" a="1"/>
  <c r="BL51" i="9" s="1"/>
  <c r="BK51" i="9" a="1"/>
  <c r="BK51" i="9" s="1"/>
  <c r="BJ51" i="9" a="1"/>
  <c r="BJ51" i="9" s="1"/>
  <c r="BI47" i="9" a="1"/>
  <c r="BI47" i="9" s="1"/>
  <c r="AA47" i="9" a="1"/>
  <c r="AA47" i="9" s="1"/>
  <c r="Y47" i="9" a="1"/>
  <c r="Y47" i="9" s="1"/>
  <c r="BI40" i="9" a="1"/>
  <c r="BI40" i="9" s="1"/>
  <c r="AA40" i="9" a="1"/>
  <c r="AA40" i="9" s="1"/>
  <c r="Y40" i="9" a="1"/>
  <c r="Y40" i="9" s="1"/>
  <c r="Y33" i="9" a="1"/>
  <c r="Y33" i="9" s="1"/>
  <c r="AA33" i="9" a="1"/>
  <c r="AA33" i="9" s="1"/>
  <c r="BI33" i="9" a="1"/>
  <c r="BI33" i="9" s="1"/>
  <c r="Y31" i="9" a="1"/>
  <c r="Y31" i="9" s="1"/>
  <c r="AA31" i="9" a="1"/>
  <c r="AA31" i="9" s="1"/>
  <c r="BI31" i="9" a="1"/>
  <c r="BI31" i="9" s="1"/>
  <c r="BI28" i="9" a="1"/>
  <c r="BI28" i="9" s="1"/>
  <c r="AA28" i="9" a="1"/>
  <c r="AA28" i="9" s="1"/>
  <c r="Y28" i="9" a="1"/>
  <c r="Y28" i="9" s="1"/>
  <c r="Y19" i="9" a="1"/>
  <c r="Y19" i="9" s="1"/>
  <c r="AA19" i="9" a="1"/>
  <c r="AA19" i="9" s="1"/>
  <c r="BI19" i="9" a="1"/>
  <c r="BI19" i="9" s="1"/>
  <c r="S22" i="2" a="1"/>
  <c r="S22" i="2" s="1"/>
  <c r="CG24" i="2" a="1"/>
  <c r="CG24" i="2" s="1"/>
  <c r="CH24" i="2" a="1"/>
  <c r="CH24" i="2" s="1"/>
  <c r="BN24" i="2" a="1"/>
  <c r="BN24" i="2" s="1"/>
  <c r="CE24" i="2" a="1"/>
  <c r="CE24" i="2" s="1"/>
  <c r="AA14" i="9" a="1"/>
  <c r="AA14" i="9" s="1"/>
  <c r="BI14" i="9" a="1"/>
  <c r="BI14" i="9" s="1"/>
  <c r="Y14" i="9" a="1"/>
  <c r="Y14" i="9" s="1"/>
  <c r="CE12" i="2" a="1"/>
  <c r="CE12" i="2" s="1"/>
  <c r="BO12" i="2" a="1"/>
  <c r="BO12" i="2" s="1"/>
  <c r="CG12" i="2" a="1"/>
  <c r="CG12" i="2" s="1"/>
  <c r="AA43" i="9" a="1"/>
  <c r="AA43" i="9" s="1"/>
  <c r="BI43" i="9" a="1"/>
  <c r="BI43" i="9" s="1"/>
  <c r="Y43" i="9" a="1"/>
  <c r="Y43" i="9" s="1"/>
  <c r="AA16" i="9" a="1"/>
  <c r="AA16" i="9" s="1"/>
  <c r="BI16" i="9" a="1"/>
  <c r="BI16" i="9" s="1"/>
  <c r="Y16" i="9" a="1"/>
  <c r="Y16" i="9" s="1"/>
  <c r="Y20" i="9" a="1"/>
  <c r="Y20" i="9" s="1"/>
  <c r="BI20" i="9" a="1"/>
  <c r="BI20" i="9" s="1"/>
  <c r="AA20" i="9" a="1"/>
  <c r="AA20" i="9" s="1"/>
  <c r="AZ105" i="2" a="1"/>
  <c r="AZ105" i="2" s="1"/>
  <c r="CI93" i="2" a="1"/>
  <c r="CI93" i="2" s="1"/>
  <c r="CI103" i="2" a="1"/>
  <c r="CI103" i="2" s="1"/>
  <c r="S104" i="2" a="1"/>
  <c r="S104" i="2" s="1"/>
  <c r="S95" i="2" a="1"/>
  <c r="S95" i="2" s="1"/>
  <c r="CG76" i="2" a="1"/>
  <c r="CG76" i="2" s="1"/>
  <c r="CE76" i="2" a="1"/>
  <c r="CE76" i="2" s="1"/>
  <c r="CG59" i="2" a="1"/>
  <c r="CG59" i="2" s="1"/>
  <c r="CI59" i="2" a="1"/>
  <c r="CI59" i="2" s="1"/>
  <c r="CG40" i="2" a="1"/>
  <c r="CG40" i="2" s="1"/>
  <c r="CE69" i="2" a="1"/>
  <c r="CE69" i="2" s="1"/>
  <c r="CG69" i="2" a="1"/>
  <c r="CG69" i="2" s="1"/>
  <c r="BO69" i="2" a="1"/>
  <c r="BO69" i="2" s="1"/>
  <c r="CG58" i="2" a="1"/>
  <c r="CG58" i="2" s="1"/>
  <c r="AZ40" i="2" a="1"/>
  <c r="AZ40" i="2" s="1"/>
  <c r="AZ42" i="2" a="1"/>
  <c r="AZ42" i="2" s="1"/>
  <c r="CI30" i="2" a="1"/>
  <c r="CI30" i="2" s="1"/>
  <c r="CE22" i="2" a="1"/>
  <c r="CE22" i="2" s="1"/>
  <c r="CH22" i="2" a="1"/>
  <c r="CH22" i="2" s="1"/>
  <c r="BN22" i="2" a="1"/>
  <c r="BN22" i="2" s="1"/>
  <c r="CG22" i="2" a="1"/>
  <c r="CG22" i="2" s="1"/>
  <c r="BI7" i="9" a="1"/>
  <c r="BI7" i="9" s="1"/>
  <c r="AA7" i="9" a="1"/>
  <c r="AA7" i="9" s="1"/>
  <c r="Y7" i="9" a="1"/>
  <c r="Y7" i="9" s="1"/>
  <c r="AA8" i="9" a="1"/>
  <c r="AA8" i="9" s="1"/>
  <c r="Y8" i="9" a="1"/>
  <c r="Y8" i="9" s="1"/>
  <c r="BI8" i="9" a="1"/>
  <c r="BI8" i="9" s="1"/>
  <c r="BL36" i="9" a="1"/>
  <c r="BL36" i="9" s="1"/>
  <c r="BN36" i="9" a="1"/>
  <c r="BN36" i="9" s="1"/>
  <c r="BM36" i="9" s="1" a="1"/>
  <c r="BM36" i="9" s="1"/>
  <c r="BK36" i="9" a="1"/>
  <c r="BK36" i="9" s="1"/>
  <c r="BJ36" i="9" a="1"/>
  <c r="BJ36" i="9" s="1"/>
  <c r="BO36" i="9" a="1"/>
  <c r="BO36" i="9" s="1"/>
  <c r="AA34" i="9" a="1"/>
  <c r="AA34" i="9" s="1"/>
  <c r="Y34" i="9" a="1"/>
  <c r="Y34" i="9" s="1"/>
  <c r="BI34" i="9" a="1"/>
  <c r="BI34" i="9" s="1"/>
  <c r="CE67" i="2" a="1"/>
  <c r="CE67" i="2" s="1"/>
  <c r="BN67" i="2" a="1"/>
  <c r="BN67" i="2" s="1"/>
  <c r="BM67" i="2" a="1"/>
  <c r="BM67" i="2" s="1"/>
  <c r="CH67" i="2" a="1"/>
  <c r="CH67" i="2" s="1"/>
  <c r="CG67" i="2" a="1"/>
  <c r="CG67" i="2" s="1"/>
  <c r="CI66" i="2" a="1"/>
  <c r="CI66" i="2" s="1"/>
  <c r="AZ103" i="2" a="1"/>
  <c r="AZ103" i="2" s="1"/>
  <c r="S75" i="2" a="1"/>
  <c r="S75" i="2" s="1"/>
  <c r="CG102" i="2" a="1"/>
  <c r="CG102" i="2" s="1"/>
  <c r="S84" i="2" a="1"/>
  <c r="S84" i="2" s="1"/>
  <c r="CG50" i="2" a="1"/>
  <c r="CG50" i="2" s="1"/>
  <c r="CE50" i="2" a="1"/>
  <c r="CE50" i="2" s="1"/>
  <c r="CE41" i="2" a="1"/>
  <c r="CE41" i="2" s="1"/>
  <c r="CG41" i="2" a="1"/>
  <c r="CG41" i="2" s="1"/>
  <c r="AZ22" i="2" a="1"/>
  <c r="AZ22" i="2" s="1"/>
  <c r="CE31" i="2" a="1"/>
  <c r="CE31" i="2" s="1"/>
  <c r="BO31" i="2" a="1"/>
  <c r="BO31" i="2" s="1"/>
  <c r="CG31" i="2" a="1"/>
  <c r="CG31" i="2" s="1"/>
  <c r="AZ5" i="2" a="1"/>
  <c r="AZ5" i="2" s="1"/>
  <c r="AZ15" i="2" a="1"/>
  <c r="AZ15" i="2" s="1"/>
  <c r="AZ94" i="2" a="1"/>
  <c r="AZ94" i="2" s="1"/>
  <c r="CE75" i="2" a="1"/>
  <c r="CE75" i="2" s="1"/>
  <c r="CG75" i="2" a="1"/>
  <c r="CG75" i="2" s="1"/>
  <c r="BN75" i="2" a="1"/>
  <c r="BN75" i="2" s="1"/>
  <c r="BO75" i="2" a="1"/>
  <c r="BO75" i="2" s="1"/>
  <c r="CH75" i="2" a="1"/>
  <c r="CH75" i="2" s="1"/>
  <c r="AZ102" i="2" a="1"/>
  <c r="AZ102" i="2" s="1"/>
  <c r="CG85" i="2" a="1"/>
  <c r="CG85" i="2" s="1"/>
  <c r="CE85" i="2" a="1"/>
  <c r="CE85" i="2" s="1"/>
  <c r="BN41" i="9" a="1"/>
  <c r="BN41" i="9" s="1"/>
  <c r="BL41" i="9" a="1"/>
  <c r="BL41" i="9" s="1"/>
  <c r="BK41" i="9" a="1"/>
  <c r="BK41" i="9" s="1"/>
  <c r="BO41" i="9" a="1"/>
  <c r="BO41" i="9" s="1"/>
  <c r="BJ41" i="9" a="1"/>
  <c r="BJ41" i="9" s="1"/>
  <c r="BI26" i="9" a="1"/>
  <c r="BI26" i="9" s="1"/>
  <c r="AA26" i="9" a="1"/>
  <c r="AA26" i="9" s="1"/>
  <c r="Y26" i="9" a="1"/>
  <c r="Y26" i="9" s="1"/>
  <c r="AA27" i="9" a="1"/>
  <c r="AA27" i="9" s="1"/>
  <c r="BI27" i="9" a="1"/>
  <c r="BI27" i="9" s="1"/>
  <c r="Y27" i="9" a="1"/>
  <c r="Y27" i="9" s="1"/>
  <c r="AA35" i="9" a="1"/>
  <c r="AA35" i="9" s="1"/>
  <c r="Y35" i="9" a="1"/>
  <c r="Y35" i="9" s="1"/>
  <c r="BI35" i="9" a="1"/>
  <c r="BI35" i="9" s="1"/>
  <c r="Y17" i="9" a="1"/>
  <c r="Y17" i="9" s="1"/>
  <c r="AA17" i="9" a="1"/>
  <c r="AA17" i="9" s="1"/>
  <c r="BI17" i="9" a="1"/>
  <c r="BI17" i="9" s="1"/>
  <c r="AA15" i="9" a="1"/>
  <c r="AA15" i="9" s="1"/>
  <c r="Y15" i="9" a="1"/>
  <c r="Y15" i="9" s="1"/>
  <c r="BI15" i="9" a="1"/>
  <c r="BI15" i="9" s="1"/>
  <c r="BI6" i="9" a="1"/>
  <c r="BI6" i="9" s="1"/>
  <c r="Y6" i="9" a="1"/>
  <c r="Y6" i="9" s="1"/>
  <c r="AA6" i="9" a="1"/>
  <c r="AA6" i="9" s="1"/>
  <c r="AA10" i="9" a="1"/>
  <c r="AA10" i="9" s="1"/>
  <c r="BI10" i="9" a="1"/>
  <c r="BI10" i="9" s="1"/>
  <c r="Y10" i="9" a="1"/>
  <c r="Y10" i="9" s="1"/>
  <c r="AZ6" i="2" a="1"/>
  <c r="AZ6" i="2" s="1"/>
  <c r="CG4" i="2" a="1"/>
  <c r="CG4" i="2" s="1"/>
  <c r="AZ32" i="2" a="1"/>
  <c r="AZ32" i="2" s="1"/>
  <c r="AZ93" i="2" a="1"/>
  <c r="AZ93" i="2" s="1"/>
  <c r="CG103" i="2" a="1"/>
  <c r="CG103" i="2" s="1"/>
  <c r="AZ95" i="2" a="1"/>
  <c r="AZ95" i="2" s="1"/>
  <c r="AZ85" i="2" a="1"/>
  <c r="AZ85" i="2" s="1"/>
  <c r="AZ76" i="2" a="1"/>
  <c r="AZ76" i="2" s="1"/>
  <c r="CH60" i="2" a="1"/>
  <c r="CH60" i="2" s="1"/>
  <c r="CE60" i="2" a="1"/>
  <c r="CE60" i="2" s="1"/>
  <c r="CG60" i="2" a="1"/>
  <c r="CG60" i="2" s="1"/>
  <c r="BN60" i="2" a="1"/>
  <c r="BN60" i="2" s="1"/>
  <c r="AA21" i="9" a="1"/>
  <c r="AA21" i="9" s="1"/>
  <c r="Y21" i="9" a="1"/>
  <c r="Y21" i="9" s="1"/>
  <c r="BI21" i="9" a="1"/>
  <c r="BI21" i="9" s="1"/>
  <c r="BM32" i="2" a="1"/>
  <c r="BM32" i="2" s="1"/>
  <c r="CE32" i="2" a="1"/>
  <c r="CE32" i="2" s="1"/>
  <c r="CH32" i="2" a="1"/>
  <c r="CH32" i="2" s="1"/>
  <c r="CG32" i="2" a="1"/>
  <c r="CG32" i="2" s="1"/>
  <c r="BN32" i="2" a="1"/>
  <c r="BN32" i="2" s="1"/>
  <c r="BI5" i="9" a="1"/>
  <c r="BI5" i="9" s="1"/>
  <c r="AA5" i="9" a="1"/>
  <c r="AA5" i="9" s="1"/>
  <c r="Y5" i="9" a="1"/>
  <c r="Y5" i="9" s="1"/>
  <c r="CG3" i="2" a="1"/>
  <c r="CG3" i="2" s="1"/>
  <c r="BO3" i="2" a="1"/>
  <c r="BO3" i="2" s="1"/>
  <c r="CE3" i="2" a="1"/>
  <c r="CE3" i="2" s="1"/>
  <c r="BN3" i="2" a="1"/>
  <c r="BN3" i="2" s="1"/>
  <c r="CH3" i="2" a="1"/>
  <c r="CH3" i="2" s="1"/>
  <c r="AZ96" i="2" a="1"/>
  <c r="AZ96" i="2" s="1"/>
  <c r="CG77" i="2" a="1"/>
  <c r="CG77" i="2" s="1"/>
  <c r="BN77" i="2" a="1"/>
  <c r="BN77" i="2" s="1"/>
  <c r="BM77" i="2" a="1"/>
  <c r="BM77" i="2" s="1"/>
  <c r="CE77" i="2" a="1"/>
  <c r="CE77" i="2" s="1"/>
  <c r="CH77" i="2" a="1"/>
  <c r="CH77" i="2" s="1"/>
  <c r="AZ104" i="2" a="1"/>
  <c r="AZ104" i="2" s="1"/>
  <c r="BI42" i="9" a="1"/>
  <c r="BI42" i="9" s="1"/>
  <c r="Y42" i="9" a="1"/>
  <c r="Y42" i="9" s="1"/>
  <c r="AA42" i="9" a="1"/>
  <c r="AA42" i="9" s="1"/>
  <c r="AZ67" i="2" a="1"/>
  <c r="AZ67" i="2" s="1"/>
  <c r="Y37" i="9" a="1"/>
  <c r="Y37" i="9" s="1"/>
  <c r="AA37" i="9" a="1"/>
  <c r="AA37" i="9" s="1"/>
  <c r="BI37" i="9" a="1"/>
  <c r="BI37" i="9" s="1"/>
  <c r="S60" i="2" a="1"/>
  <c r="S60" i="2" s="1"/>
  <c r="AZ68" i="2" a="1"/>
  <c r="AZ68" i="2" s="1"/>
  <c r="AZ59" i="2" a="1"/>
  <c r="AZ59" i="2" s="1"/>
  <c r="AZ69" i="2" a="1"/>
  <c r="AZ69" i="2" s="1"/>
  <c r="CG48" i="2" a="1"/>
  <c r="CG48" i="2" s="1"/>
  <c r="BN48" i="2" a="1"/>
  <c r="BN48" i="2" s="1"/>
  <c r="CH48" i="2" a="1"/>
  <c r="CH48" i="2" s="1"/>
  <c r="BO48" i="2" a="1"/>
  <c r="BO48" i="2" s="1"/>
  <c r="CE48" i="2" a="1"/>
  <c r="CE48" i="2" s="1"/>
  <c r="AA23" i="9" a="1"/>
  <c r="AA23" i="9" s="1"/>
  <c r="BI23" i="9" a="1"/>
  <c r="BI23" i="9" s="1"/>
  <c r="Y23" i="9" a="1"/>
  <c r="Y23" i="9" s="1"/>
  <c r="AZ41" i="2" a="1"/>
  <c r="AZ41" i="2" s="1"/>
  <c r="CG13" i="2" a="1"/>
  <c r="CG13" i="2" s="1"/>
  <c r="S6" i="2" a="1"/>
  <c r="S6" i="2" s="1"/>
  <c r="S12" i="2" a="1"/>
  <c r="S12" i="2" s="1"/>
  <c r="BL48" i="9" a="1"/>
  <c r="BL48" i="9" s="1"/>
  <c r="BK48" i="9" a="1"/>
  <c r="BK48" i="9" s="1"/>
  <c r="BJ48" i="9" a="1"/>
  <c r="BJ48" i="9" s="1"/>
  <c r="BP48" i="9" s="1" a="1"/>
  <c r="BP48" i="9" s="1"/>
  <c r="BO48" i="9" a="1"/>
  <c r="BO48" i="9" s="1"/>
  <c r="BN48" i="9" a="1"/>
  <c r="BN48" i="9" s="1"/>
  <c r="BM48" i="9" s="1" a="1"/>
  <c r="BM48" i="9" s="1"/>
  <c r="BN49" i="9" a="1"/>
  <c r="BN49" i="9" s="1"/>
  <c r="BL49" i="9" a="1"/>
  <c r="BL49" i="9" s="1"/>
  <c r="BK49" i="9" a="1"/>
  <c r="BK49" i="9" s="1"/>
  <c r="BJ49" i="9" a="1"/>
  <c r="BJ49" i="9" s="1"/>
  <c r="BO49" i="9" a="1"/>
  <c r="BO49" i="9" s="1"/>
  <c r="BO32" i="9" a="1"/>
  <c r="BO32" i="9" s="1"/>
  <c r="BK32" i="9" a="1"/>
  <c r="BK32" i="9" s="1"/>
  <c r="BL32" i="9" a="1"/>
  <c r="BL32" i="9" s="1"/>
  <c r="BJ32" i="9" a="1"/>
  <c r="BJ32" i="9" s="1"/>
  <c r="BP32" i="9" s="1" a="1"/>
  <c r="BP32" i="9" s="1"/>
  <c r="BN32" i="9" a="1"/>
  <c r="BN32" i="9" s="1"/>
  <c r="BM32" i="9" s="1" a="1"/>
  <c r="BM32" i="9" s="1"/>
  <c r="AZ84" i="2" a="1"/>
  <c r="AZ84" i="2" s="1"/>
  <c r="CG42" i="2" a="1"/>
  <c r="CG42" i="2" s="1"/>
  <c r="CH39" i="2" a="1"/>
  <c r="CH39" i="2" s="1"/>
  <c r="BN39" i="2" a="1"/>
  <c r="BN39" i="2" s="1"/>
  <c r="CG39" i="2" a="1"/>
  <c r="CG39" i="2" s="1"/>
  <c r="CE39" i="2" a="1"/>
  <c r="CE39" i="2" s="1"/>
  <c r="BO39" i="2" a="1"/>
  <c r="BO39" i="2" s="1"/>
  <c r="CG51" i="2" a="1"/>
  <c r="CG51" i="2" s="1"/>
  <c r="S40" i="2" a="1"/>
  <c r="S40" i="2" s="1"/>
  <c r="Y13" i="9" a="1"/>
  <c r="Y13" i="9" s="1"/>
  <c r="AA13" i="9" a="1"/>
  <c r="AA13" i="9" s="1"/>
  <c r="BI13" i="9" a="1"/>
  <c r="BI13" i="9" s="1"/>
  <c r="CG21" i="2" a="1"/>
  <c r="CG21" i="2" s="1"/>
  <c r="CE21" i="2" a="1"/>
  <c r="CE21" i="2" s="1"/>
  <c r="BO21" i="2" a="1"/>
  <c r="BO21" i="2" s="1"/>
  <c r="CH21" i="2" a="1"/>
  <c r="CH21" i="2" s="1"/>
  <c r="BN21" i="2" a="1"/>
  <c r="BN21" i="2" s="1"/>
  <c r="CG15" i="2" a="1"/>
  <c r="CG15" i="2" s="1"/>
  <c r="CE15" i="2" a="1"/>
  <c r="CE15" i="2" s="1"/>
  <c r="BO15" i="2" a="1"/>
  <c r="BO15" i="2" s="1"/>
  <c r="CE94" i="2" a="1"/>
  <c r="CE94" i="2" s="1"/>
  <c r="BM94" i="2" a="1"/>
  <c r="BM94" i="2" s="1"/>
  <c r="CG94" i="2" a="1"/>
  <c r="CG94" i="2" s="1"/>
  <c r="BK38" i="9" a="1"/>
  <c r="BK38" i="9" s="1"/>
  <c r="BO38" i="9" a="1"/>
  <c r="BO38" i="9" s="1"/>
  <c r="BN38" i="9" a="1"/>
  <c r="BN38" i="9" s="1"/>
  <c r="BL38" i="9" a="1"/>
  <c r="BL38" i="9" s="1"/>
  <c r="BJ38" i="9" a="1"/>
  <c r="BJ38" i="9" s="1"/>
  <c r="AZ60" i="2" a="1"/>
  <c r="AZ60" i="2" s="1"/>
  <c r="S48" i="2" a="1"/>
  <c r="S48" i="2" s="1"/>
  <c r="BI18" i="9" a="1"/>
  <c r="BI18" i="9" s="1"/>
  <c r="AA18" i="9" a="1"/>
  <c r="AA18" i="9" s="1"/>
  <c r="Y18" i="9" a="1"/>
  <c r="Y18" i="9" s="1"/>
  <c r="AZ21" i="2" a="1"/>
  <c r="AZ21" i="2" s="1"/>
  <c r="CG6" i="2" a="1"/>
  <c r="CG6" i="2" s="1"/>
  <c r="CE6" i="2" a="1"/>
  <c r="CE6" i="2" s="1"/>
  <c r="AA4" i="9" a="1"/>
  <c r="AA4" i="9" s="1"/>
  <c r="BI4" i="9" a="1"/>
  <c r="BI4" i="9" s="1"/>
  <c r="Y4" i="9" a="1"/>
  <c r="Y4" i="9" s="1"/>
  <c r="CI102" i="2" a="1"/>
  <c r="CI102" i="2" s="1"/>
  <c r="AA50" i="9" a="1"/>
  <c r="AA50" i="9" s="1"/>
  <c r="Y50" i="9" a="1"/>
  <c r="Y50" i="9" s="1"/>
  <c r="BI50" i="9" a="1"/>
  <c r="BI50" i="9" s="1"/>
  <c r="BI45" i="9" a="1"/>
  <c r="BI45" i="9" s="1"/>
  <c r="AA45" i="9" a="1"/>
  <c r="AA45" i="9" s="1"/>
  <c r="Y45" i="9" a="1"/>
  <c r="Y45" i="9" s="1"/>
  <c r="BL39" i="9" a="1"/>
  <c r="BL39" i="9" s="1"/>
  <c r="BO39" i="9" a="1"/>
  <c r="BO39" i="9" s="1"/>
  <c r="BN39" i="9" a="1"/>
  <c r="BN39" i="9" s="1"/>
  <c r="BM39" i="9" s="1" a="1"/>
  <c r="BM39" i="9" s="1"/>
  <c r="BJ39" i="9" a="1"/>
  <c r="BJ39" i="9" s="1"/>
  <c r="BK39" i="9" a="1"/>
  <c r="BK39" i="9" s="1"/>
  <c r="BI44" i="9" a="1"/>
  <c r="BI44" i="9" s="1"/>
  <c r="AA44" i="9" a="1"/>
  <c r="AA44" i="9" s="1"/>
  <c r="Y44" i="9" a="1"/>
  <c r="Y44" i="9" s="1"/>
  <c r="AZ87" i="2" a="1"/>
  <c r="AZ87" i="2" s="1"/>
  <c r="AZ75" i="2" a="1"/>
  <c r="AZ75" i="2" s="1"/>
  <c r="S67" i="2" a="1"/>
  <c r="S67" i="2" s="1"/>
  <c r="BO29" i="9" a="1"/>
  <c r="BO29" i="9" s="1"/>
  <c r="BL29" i="9" a="1"/>
  <c r="BL29" i="9" s="1"/>
  <c r="BN29" i="9" a="1"/>
  <c r="BN29" i="9" s="1"/>
  <c r="BM29" i="9" s="1" a="1"/>
  <c r="BM29" i="9" s="1"/>
  <c r="BK29" i="9" a="1"/>
  <c r="BK29" i="9" s="1"/>
  <c r="BJ29" i="9" a="1"/>
  <c r="BJ29" i="9" s="1"/>
  <c r="BI30" i="9" a="1"/>
  <c r="BI30" i="9" s="1"/>
  <c r="Y30" i="9" a="1"/>
  <c r="Y30" i="9" s="1"/>
  <c r="AA30" i="9" a="1"/>
  <c r="AA30" i="9" s="1"/>
  <c r="AZ39" i="2" a="1"/>
  <c r="AZ39" i="2" s="1"/>
  <c r="CE33" i="2" a="1"/>
  <c r="CE33" i="2" s="1"/>
  <c r="CG33" i="2" a="1"/>
  <c r="CG33" i="2" s="1"/>
  <c r="AZ49" i="2" a="1"/>
  <c r="AZ49" i="2" s="1"/>
  <c r="AZ48" i="2" a="1"/>
  <c r="AZ48" i="2" s="1"/>
  <c r="CE23" i="2" a="1"/>
  <c r="CE23" i="2" s="1"/>
  <c r="CG23" i="2" a="1"/>
  <c r="CG23" i="2" s="1"/>
  <c r="BN23" i="2" a="1"/>
  <c r="BN23" i="2" s="1"/>
  <c r="BM23" i="2" a="1"/>
  <c r="BM23" i="2" s="1"/>
  <c r="CH23" i="2" a="1"/>
  <c r="CH23" i="2" s="1"/>
  <c r="CG5" i="2" a="1"/>
  <c r="CG5" i="2" s="1"/>
  <c r="CE5" i="2" a="1"/>
  <c r="CE5" i="2" s="1"/>
  <c r="Y11" i="9" a="1"/>
  <c r="Y11" i="9" s="1"/>
  <c r="AA11" i="9" a="1"/>
  <c r="AA11" i="9" s="1"/>
  <c r="BI11" i="9" a="1"/>
  <c r="BI11" i="9" s="1"/>
  <c r="AZ12" i="2" a="1"/>
  <c r="AZ12" i="2" s="1"/>
  <c r="BP29" i="9" l="1" a="1"/>
  <c r="BP29" i="9" s="1"/>
  <c r="BO13" i="9" a="1"/>
  <c r="BO13" i="9" s="1"/>
  <c r="BL13" i="9" a="1"/>
  <c r="BL13" i="9" s="1"/>
  <c r="BK13" i="9" a="1"/>
  <c r="BK13" i="9" s="1"/>
  <c r="BJ13" i="9" a="1"/>
  <c r="BJ13" i="9" s="1"/>
  <c r="BN13" i="9" a="1"/>
  <c r="BN13" i="9" s="1"/>
  <c r="BM13" i="9" s="1" a="1"/>
  <c r="BM13" i="9" s="1"/>
  <c r="BA6" i="2" a="1"/>
  <c r="BA6" i="2" s="1"/>
  <c r="BA15" i="2" a="1"/>
  <c r="BA15" i="2" s="1"/>
  <c r="BL25" i="9" a="1"/>
  <c r="BL25" i="9" s="1"/>
  <c r="BO25" i="9" a="1"/>
  <c r="BO25" i="9" s="1"/>
  <c r="BN25" i="9" a="1"/>
  <c r="BN25" i="9" s="1"/>
  <c r="BK25" i="9" a="1"/>
  <c r="BK25" i="9" s="1"/>
  <c r="BJ25" i="9" a="1"/>
  <c r="BJ25" i="9" s="1"/>
  <c r="BA24" i="2" a="1"/>
  <c r="BA24" i="2" s="1"/>
  <c r="BL24" i="9" a="1"/>
  <c r="BL24" i="9" s="1"/>
  <c r="BK24" i="9" a="1"/>
  <c r="BK24" i="9" s="1"/>
  <c r="BJ24" i="9" a="1"/>
  <c r="BJ24" i="9" s="1"/>
  <c r="BO24" i="9" a="1"/>
  <c r="BO24" i="9" s="1"/>
  <c r="BN24" i="9" a="1"/>
  <c r="BN24" i="9" s="1"/>
  <c r="BM24" i="9" s="1" a="1"/>
  <c r="BM24" i="9" s="1"/>
  <c r="BJ45" i="9" a="1"/>
  <c r="BJ45" i="9" s="1"/>
  <c r="BO45" i="9" a="1"/>
  <c r="BO45" i="9" s="1"/>
  <c r="BN45" i="9" a="1"/>
  <c r="BN45" i="9" s="1"/>
  <c r="BL45" i="9" a="1"/>
  <c r="BL45" i="9" s="1"/>
  <c r="BK45" i="9" a="1"/>
  <c r="BK45" i="9" s="1"/>
  <c r="BN27" i="9" a="1"/>
  <c r="BN27" i="9" s="1"/>
  <c r="BL27" i="9" a="1"/>
  <c r="BL27" i="9" s="1"/>
  <c r="BK27" i="9" a="1"/>
  <c r="BK27" i="9" s="1"/>
  <c r="BO27" i="9" a="1"/>
  <c r="BO27" i="9" s="1"/>
  <c r="BJ27" i="9" a="1"/>
  <c r="BJ27" i="9" s="1"/>
  <c r="CI31" i="2" a="1"/>
  <c r="CI31" i="2" s="1"/>
  <c r="BA103" i="2" a="1"/>
  <c r="BA103" i="2" s="1"/>
  <c r="BA42" i="2" a="1"/>
  <c r="BA42" i="2" s="1"/>
  <c r="BA14" i="2" a="1"/>
  <c r="BA14" i="2" s="1"/>
  <c r="BA51" i="2" a="1"/>
  <c r="BA51" i="2" s="1"/>
  <c r="BA48" i="2" a="1"/>
  <c r="BA48" i="2" s="1"/>
  <c r="BO50" i="9" a="1"/>
  <c r="BO50" i="9" s="1"/>
  <c r="BN50" i="9" a="1"/>
  <c r="BN50" i="9" s="1"/>
  <c r="BL50" i="9" a="1"/>
  <c r="BL50" i="9" s="1"/>
  <c r="BK50" i="9" a="1"/>
  <c r="BK50" i="9" s="1"/>
  <c r="BJ50" i="9" a="1"/>
  <c r="BJ50" i="9" s="1"/>
  <c r="CI48" i="2" a="1"/>
  <c r="CI48" i="2" s="1"/>
  <c r="BA59" i="2" a="1"/>
  <c r="BA59" i="2" s="1"/>
  <c r="BJ43" i="9" a="1"/>
  <c r="BJ43" i="9" s="1"/>
  <c r="BP43" i="9" s="1" a="1"/>
  <c r="BP43" i="9" s="1"/>
  <c r="BL43" i="9" a="1"/>
  <c r="BL43" i="9" s="1"/>
  <c r="BK43" i="9" a="1"/>
  <c r="BK43" i="9" s="1"/>
  <c r="BO43" i="9" a="1"/>
  <c r="BO43" i="9" s="1"/>
  <c r="BN43" i="9" a="1"/>
  <c r="BN43" i="9" s="1"/>
  <c r="BM43" i="9" s="1" a="1"/>
  <c r="BM43" i="9" s="1"/>
  <c r="BN40" i="9" a="1"/>
  <c r="BN40" i="9" s="1"/>
  <c r="BO40" i="9" a="1"/>
  <c r="BO40" i="9" s="1"/>
  <c r="BL40" i="9" a="1"/>
  <c r="BL40" i="9" s="1"/>
  <c r="BK40" i="9" a="1"/>
  <c r="BK40" i="9" s="1"/>
  <c r="BJ40" i="9" a="1"/>
  <c r="BJ40" i="9" s="1"/>
  <c r="CI3" i="2" a="1"/>
  <c r="CI3" i="2" s="1"/>
  <c r="BK5" i="9" a="1"/>
  <c r="BK5" i="9" s="1"/>
  <c r="BO5" i="9" a="1"/>
  <c r="BO5" i="9" s="1"/>
  <c r="BN5" i="9" a="1"/>
  <c r="BN5" i="9" s="1"/>
  <c r="BM5" i="9" s="1" a="1"/>
  <c r="BM5" i="9" s="1"/>
  <c r="BL5" i="9" a="1"/>
  <c r="BL5" i="9" s="1"/>
  <c r="BJ5" i="9" a="1"/>
  <c r="BJ5" i="9" s="1"/>
  <c r="BA5" i="2" a="1"/>
  <c r="BA5" i="2" s="1"/>
  <c r="CI12" i="2" a="1"/>
  <c r="CI12" i="2" s="1"/>
  <c r="BK28" i="9" a="1"/>
  <c r="BK28" i="9" s="1"/>
  <c r="BL28" i="9" a="1"/>
  <c r="BL28" i="9" s="1"/>
  <c r="BJ28" i="9" a="1"/>
  <c r="BJ28" i="9" s="1"/>
  <c r="BO28" i="9" a="1"/>
  <c r="BO28" i="9" s="1"/>
  <c r="BN28" i="9" a="1"/>
  <c r="BN28" i="9" s="1"/>
  <c r="BA31" i="2" a="1"/>
  <c r="BA31" i="2" s="1"/>
  <c r="BA30" i="2" a="1"/>
  <c r="BA30" i="2" s="1"/>
  <c r="BA3" i="2" a="1"/>
  <c r="BA3" i="2" s="1"/>
  <c r="BF1" i="2" s="1" a="1"/>
  <c r="BF1" i="2" s="1"/>
  <c r="BF7" i="2" s="1" a="1"/>
  <c r="BF7" i="2" s="1"/>
  <c r="CI84" i="2" a="1"/>
  <c r="CI84" i="2" s="1"/>
  <c r="BO30" i="9" a="1"/>
  <c r="BO30" i="9" s="1"/>
  <c r="BJ30" i="9" a="1"/>
  <c r="BJ30" i="9" s="1"/>
  <c r="BL30" i="9" a="1"/>
  <c r="BL30" i="9" s="1"/>
  <c r="BN30" i="9" a="1"/>
  <c r="BN30" i="9" s="1"/>
  <c r="BM30" i="9" s="1" a="1"/>
  <c r="BM30" i="9" s="1"/>
  <c r="BK30" i="9" a="1"/>
  <c r="BK30" i="9" s="1"/>
  <c r="BP39" i="9" a="1"/>
  <c r="BP39" i="9" s="1"/>
  <c r="BA60" i="2" a="1"/>
  <c r="BA60" i="2" s="1"/>
  <c r="BA68" i="2" a="1"/>
  <c r="BA68" i="2" s="1"/>
  <c r="CI75" i="2" a="1"/>
  <c r="CI75" i="2" s="1"/>
  <c r="BA40" i="2" a="1"/>
  <c r="BA40" i="2" s="1"/>
  <c r="BO19" i="9" a="1"/>
  <c r="BO19" i="9" s="1"/>
  <c r="BN19" i="9" a="1"/>
  <c r="BN19" i="9" s="1"/>
  <c r="BM19" i="9" s="1" a="1"/>
  <c r="BM19" i="9" s="1"/>
  <c r="BL19" i="9" a="1"/>
  <c r="BL19" i="9" s="1"/>
  <c r="BK19" i="9" a="1"/>
  <c r="BK19" i="9" s="1"/>
  <c r="BJ19" i="9" a="1"/>
  <c r="BJ19" i="9" s="1"/>
  <c r="BK47" i="9" a="1"/>
  <c r="BK47" i="9" s="1"/>
  <c r="BJ47" i="9" a="1"/>
  <c r="BJ47" i="9" s="1"/>
  <c r="BO47" i="9" a="1"/>
  <c r="BO47" i="9" s="1"/>
  <c r="BN47" i="9" a="1"/>
  <c r="BN47" i="9" s="1"/>
  <c r="BM47" i="9" s="1" a="1"/>
  <c r="BM47" i="9" s="1"/>
  <c r="BL47" i="9" a="1"/>
  <c r="BL47" i="9" s="1"/>
  <c r="BL9" i="9" a="1"/>
  <c r="BL9" i="9" s="1"/>
  <c r="BK9" i="9" a="1"/>
  <c r="BK9" i="9" s="1"/>
  <c r="BO9" i="9" a="1"/>
  <c r="BO9" i="9" s="1"/>
  <c r="BN9" i="9" a="1"/>
  <c r="BN9" i="9" s="1"/>
  <c r="BM9" i="9" s="1" a="1"/>
  <c r="BM9" i="9" s="1"/>
  <c r="BJ9" i="9" a="1"/>
  <c r="BJ9" i="9" s="1"/>
  <c r="BP9" i="9" s="1" a="1"/>
  <c r="BP9" i="9" s="1"/>
  <c r="BA77" i="2" a="1"/>
  <c r="BA77" i="2" s="1"/>
  <c r="BJ11" i="9" a="1"/>
  <c r="BJ11" i="9" s="1"/>
  <c r="BN11" i="9" a="1"/>
  <c r="BN11" i="9" s="1"/>
  <c r="BL11" i="9" a="1"/>
  <c r="BL11" i="9" s="1"/>
  <c r="BO11" i="9" a="1"/>
  <c r="BO11" i="9" s="1"/>
  <c r="BK11" i="9" a="1"/>
  <c r="BK11" i="9" s="1"/>
  <c r="BA104" i="2" a="1"/>
  <c r="BA104" i="2" s="1"/>
  <c r="BL17" i="9" a="1"/>
  <c r="BL17" i="9" s="1"/>
  <c r="BO17" i="9" a="1"/>
  <c r="BO17" i="9" s="1"/>
  <c r="BJ17" i="9" a="1"/>
  <c r="BJ17" i="9" s="1"/>
  <c r="BN17" i="9" a="1"/>
  <c r="BN17" i="9" s="1"/>
  <c r="BM17" i="9" s="1" a="1"/>
  <c r="BM17" i="9" s="1"/>
  <c r="BK17" i="9" a="1"/>
  <c r="BK17" i="9" s="1"/>
  <c r="BM41" i="9" a="1"/>
  <c r="BM41" i="9" s="1"/>
  <c r="BP41" i="9" s="1" a="1"/>
  <c r="BP41" i="9" s="1"/>
  <c r="BA22" i="2" a="1"/>
  <c r="BA22" i="2" s="1"/>
  <c r="BN20" i="9" a="1"/>
  <c r="BN20" i="9" s="1"/>
  <c r="BM20" i="9" s="1" a="1"/>
  <c r="BM20" i="9" s="1"/>
  <c r="BO20" i="9" a="1"/>
  <c r="BO20" i="9" s="1"/>
  <c r="BL20" i="9" a="1"/>
  <c r="BL20" i="9" s="1"/>
  <c r="BJ20" i="9" a="1"/>
  <c r="BJ20" i="9" s="1"/>
  <c r="BK20" i="9" a="1"/>
  <c r="BK20" i="9" s="1"/>
  <c r="BN14" i="9" a="1"/>
  <c r="BN14" i="9" s="1"/>
  <c r="BJ14" i="9" a="1"/>
  <c r="BJ14" i="9" s="1"/>
  <c r="BL14" i="9" a="1"/>
  <c r="BL14" i="9" s="1"/>
  <c r="BK14" i="9" a="1"/>
  <c r="BK14" i="9" s="1"/>
  <c r="BO14" i="9" a="1"/>
  <c r="BO14" i="9" s="1"/>
  <c r="BO33" i="9" a="1"/>
  <c r="BO33" i="9" s="1"/>
  <c r="BK33" i="9" a="1"/>
  <c r="BK33" i="9" s="1"/>
  <c r="BL33" i="9" a="1"/>
  <c r="BL33" i="9" s="1"/>
  <c r="BN33" i="9" a="1"/>
  <c r="BN33" i="9" s="1"/>
  <c r="BJ33" i="9" a="1"/>
  <c r="BJ33" i="9" s="1"/>
  <c r="BJ12" i="9" a="1"/>
  <c r="BJ12" i="9" s="1"/>
  <c r="BO12" i="9" a="1"/>
  <c r="BO12" i="9" s="1"/>
  <c r="BL12" i="9" a="1"/>
  <c r="BL12" i="9" s="1"/>
  <c r="BK12" i="9" a="1"/>
  <c r="BK12" i="9" s="1"/>
  <c r="BN12" i="9" a="1"/>
  <c r="BN12" i="9" s="1"/>
  <c r="BM12" i="9" s="1" a="1"/>
  <c r="BM12" i="9" s="1"/>
  <c r="BA4" i="2" a="1"/>
  <c r="BA4" i="2" s="1"/>
  <c r="BA49" i="2" a="1"/>
  <c r="BA49" i="2" s="1"/>
  <c r="BA75" i="2" a="1"/>
  <c r="BA75" i="2" s="1"/>
  <c r="BF73" i="2" s="1" a="1"/>
  <c r="BF73" i="2" s="1"/>
  <c r="BB76" i="2" s="1" a="1"/>
  <c r="BB76" i="2" s="1"/>
  <c r="CI15" i="2" a="1"/>
  <c r="CI15" i="2" s="1"/>
  <c r="CI39" i="2" a="1"/>
  <c r="CI39" i="2" s="1"/>
  <c r="BA84" i="2" a="1"/>
  <c r="BA84" i="2" s="1"/>
  <c r="BM49" i="9" a="1"/>
  <c r="BM49" i="9" s="1"/>
  <c r="BP49" i="9" s="1" a="1"/>
  <c r="BP49" i="9" s="1"/>
  <c r="BL23" i="9" a="1"/>
  <c r="BL23" i="9" s="1"/>
  <c r="BK23" i="9" a="1"/>
  <c r="BK23" i="9" s="1"/>
  <c r="BJ23" i="9" a="1"/>
  <c r="BJ23" i="9" s="1"/>
  <c r="BO23" i="9" a="1"/>
  <c r="BO23" i="9" s="1"/>
  <c r="BN23" i="9" a="1"/>
  <c r="BN23" i="9" s="1"/>
  <c r="BA96" i="2" a="1"/>
  <c r="BA96" i="2" s="1"/>
  <c r="BL21" i="9" a="1"/>
  <c r="BL21" i="9" s="1"/>
  <c r="BN21" i="9" a="1"/>
  <c r="BN21" i="9" s="1"/>
  <c r="BM21" i="9" s="1" a="1"/>
  <c r="BM21" i="9" s="1"/>
  <c r="BO21" i="9" a="1"/>
  <c r="BO21" i="9" s="1"/>
  <c r="BK21" i="9" a="1"/>
  <c r="BK21" i="9" s="1"/>
  <c r="BJ21" i="9" a="1"/>
  <c r="BJ21" i="9" s="1"/>
  <c r="BA76" i="2" a="1"/>
  <c r="BA76" i="2" s="1"/>
  <c r="BA93" i="2" a="1"/>
  <c r="BA93" i="2" s="1"/>
  <c r="BJ35" i="9" a="1"/>
  <c r="BJ35" i="9" s="1"/>
  <c r="BL35" i="9" a="1"/>
  <c r="BL35" i="9" s="1"/>
  <c r="BO35" i="9" a="1"/>
  <c r="BO35" i="9" s="1"/>
  <c r="BK35" i="9" a="1"/>
  <c r="BK35" i="9" s="1"/>
  <c r="BN35" i="9" a="1"/>
  <c r="BN35" i="9" s="1"/>
  <c r="BM35" i="9" s="1" a="1"/>
  <c r="BM35" i="9" s="1"/>
  <c r="BO8" i="9" a="1"/>
  <c r="BO8" i="9" s="1"/>
  <c r="BK8" i="9" a="1"/>
  <c r="BK8" i="9" s="1"/>
  <c r="BJ8" i="9" a="1"/>
  <c r="BJ8" i="9" s="1"/>
  <c r="BN8" i="9" a="1"/>
  <c r="BN8" i="9" s="1"/>
  <c r="BL8" i="9" a="1"/>
  <c r="BL8" i="9" s="1"/>
  <c r="BK16" i="9" a="1"/>
  <c r="BK16" i="9" s="1"/>
  <c r="BJ16" i="9" a="1"/>
  <c r="BJ16" i="9" s="1"/>
  <c r="BO16" i="9" a="1"/>
  <c r="BO16" i="9" s="1"/>
  <c r="BN16" i="9" a="1"/>
  <c r="BN16" i="9" s="1"/>
  <c r="BL16" i="9" a="1"/>
  <c r="BL16" i="9" s="1"/>
  <c r="BP51" i="9" a="1"/>
  <c r="BP51" i="9" s="1"/>
  <c r="BA39" i="2" a="1"/>
  <c r="BA39" i="2" s="1"/>
  <c r="BF37" i="2" s="1" a="1"/>
  <c r="BF37" i="2" s="1"/>
  <c r="BF40" i="2" s="1" a="1"/>
  <c r="BF40" i="2" s="1"/>
  <c r="CI21" i="2" a="1"/>
  <c r="CI21" i="2" s="1"/>
  <c r="BB41" i="2" a="1"/>
  <c r="BB41" i="2" s="1"/>
  <c r="BA41" i="2" a="1"/>
  <c r="BA41" i="2" s="1"/>
  <c r="BA102" i="2" a="1"/>
  <c r="BA102" i="2" s="1"/>
  <c r="CI69" i="2" a="1"/>
  <c r="CI69" i="2" s="1"/>
  <c r="BA78" i="2" a="1"/>
  <c r="BA78" i="2" s="1"/>
  <c r="BA21" i="2" a="1"/>
  <c r="BA21" i="2" s="1"/>
  <c r="BJ42" i="9" a="1"/>
  <c r="BJ42" i="9" s="1"/>
  <c r="BO42" i="9" a="1"/>
  <c r="BO42" i="9" s="1"/>
  <c r="BL42" i="9" a="1"/>
  <c r="BL42" i="9" s="1"/>
  <c r="BK42" i="9" a="1"/>
  <c r="BK42" i="9" s="1"/>
  <c r="BN42" i="9" a="1"/>
  <c r="BN42" i="9" s="1"/>
  <c r="BN6" i="9" a="1"/>
  <c r="BN6" i="9" s="1"/>
  <c r="BM6" i="9" s="1" a="1"/>
  <c r="BM6" i="9" s="1"/>
  <c r="BL6" i="9" a="1"/>
  <c r="BL6" i="9" s="1"/>
  <c r="BK6" i="9" a="1"/>
  <c r="BK6" i="9" s="1"/>
  <c r="BO6" i="9" a="1"/>
  <c r="BO6" i="9" s="1"/>
  <c r="BJ6" i="9" a="1"/>
  <c r="BJ6" i="9" s="1"/>
  <c r="BP6" i="9" s="1" a="1"/>
  <c r="BP6" i="9" s="1"/>
  <c r="BN26" i="9" a="1"/>
  <c r="BN26" i="9" s="1"/>
  <c r="BO26" i="9" a="1"/>
  <c r="BO26" i="9" s="1"/>
  <c r="BJ26" i="9" a="1"/>
  <c r="BJ26" i="9" s="1"/>
  <c r="BL26" i="9" a="1"/>
  <c r="BL26" i="9" s="1"/>
  <c r="BK26" i="9" a="1"/>
  <c r="BK26" i="9" s="1"/>
  <c r="BA94" i="2" a="1"/>
  <c r="BA94" i="2" s="1"/>
  <c r="BA105" i="2" a="1"/>
  <c r="BA105" i="2" s="1"/>
  <c r="BA23" i="2" a="1"/>
  <c r="BA23" i="2" s="1"/>
  <c r="CI96" i="2" a="1"/>
  <c r="CI96" i="2" s="1"/>
  <c r="BO44" i="9" a="1"/>
  <c r="BO44" i="9" s="1"/>
  <c r="BL44" i="9" a="1"/>
  <c r="BL44" i="9" s="1"/>
  <c r="BK44" i="9" a="1"/>
  <c r="BK44" i="9" s="1"/>
  <c r="BJ44" i="9" a="1"/>
  <c r="BJ44" i="9" s="1"/>
  <c r="BN44" i="9" a="1"/>
  <c r="BN44" i="9" s="1"/>
  <c r="BM44" i="9" s="1" a="1"/>
  <c r="BM44" i="9" s="1"/>
  <c r="BA85" i="2" a="1"/>
  <c r="BA85" i="2" s="1"/>
  <c r="BL7" i="9" a="1"/>
  <c r="BL7" i="9" s="1"/>
  <c r="BK7" i="9" a="1"/>
  <c r="BK7" i="9" s="1"/>
  <c r="BJ7" i="9" a="1"/>
  <c r="BJ7" i="9" s="1"/>
  <c r="BO7" i="9" a="1"/>
  <c r="BO7" i="9" s="1"/>
  <c r="BN7" i="9" a="1"/>
  <c r="BN7" i="9" s="1"/>
  <c r="BM7" i="9" s="1" a="1"/>
  <c r="BM7" i="9" s="1"/>
  <c r="BK31" i="9" a="1"/>
  <c r="BK31" i="9" s="1"/>
  <c r="BN31" i="9" a="1"/>
  <c r="BN31" i="9" s="1"/>
  <c r="BL31" i="9" a="1"/>
  <c r="BL31" i="9" s="1"/>
  <c r="BJ31" i="9" a="1"/>
  <c r="BJ31" i="9" s="1"/>
  <c r="BO31" i="9" a="1"/>
  <c r="BO31" i="9" s="1"/>
  <c r="BA57" i="2" a="1"/>
  <c r="BA57" i="2" s="1"/>
  <c r="BF55" i="2" s="1" a="1"/>
  <c r="BF55" i="2" s="1"/>
  <c r="BB60" i="2" s="1" a="1"/>
  <c r="BB60" i="2" s="1"/>
  <c r="BA13" i="2" a="1"/>
  <c r="BA13" i="2" s="1"/>
  <c r="BN46" i="9" a="1"/>
  <c r="BN46" i="9" s="1"/>
  <c r="BM46" i="9" s="1" a="1"/>
  <c r="BM46" i="9" s="1"/>
  <c r="BL46" i="9" a="1"/>
  <c r="BL46" i="9" s="1"/>
  <c r="BJ46" i="9" a="1"/>
  <c r="BJ46" i="9" s="1"/>
  <c r="BO46" i="9" a="1"/>
  <c r="BO46" i="9" s="1"/>
  <c r="BK46" i="9" a="1"/>
  <c r="BK46" i="9" s="1"/>
  <c r="BA66" i="2" a="1"/>
  <c r="BA66" i="2" s="1"/>
  <c r="BA12" i="2" a="1"/>
  <c r="BA12" i="2" s="1"/>
  <c r="BA87" i="2" a="1"/>
  <c r="BA87" i="2" s="1"/>
  <c r="BL4" i="9" a="1"/>
  <c r="BL4" i="9" s="1"/>
  <c r="BK4" i="9" a="1"/>
  <c r="BK4" i="9" s="1"/>
  <c r="BJ4" i="9" a="1"/>
  <c r="BJ4" i="9" s="1"/>
  <c r="BN4" i="9" a="1"/>
  <c r="BN4" i="9" s="1"/>
  <c r="BO4" i="9" a="1"/>
  <c r="BO4" i="9" s="1"/>
  <c r="BA69" i="2" a="1"/>
  <c r="BA69" i="2" s="1"/>
  <c r="BN37" i="9" a="1"/>
  <c r="BN37" i="9" s="1"/>
  <c r="BM37" i="9" s="1" a="1"/>
  <c r="BM37" i="9" s="1"/>
  <c r="BK37" i="9" a="1"/>
  <c r="BK37" i="9" s="1"/>
  <c r="BO37" i="9" a="1"/>
  <c r="BO37" i="9" s="1"/>
  <c r="BL37" i="9" a="1"/>
  <c r="BL37" i="9" s="1"/>
  <c r="BJ37" i="9" a="1"/>
  <c r="BJ37" i="9" s="1"/>
  <c r="BA67" i="2" a="1"/>
  <c r="BA67" i="2" s="1"/>
  <c r="BA32" i="2" a="1"/>
  <c r="BA32" i="2" s="1"/>
  <c r="BN15" i="9" a="1"/>
  <c r="BN15" i="9" s="1"/>
  <c r="BO15" i="9" a="1"/>
  <c r="BO15" i="9" s="1"/>
  <c r="BL15" i="9" a="1"/>
  <c r="BL15" i="9" s="1"/>
  <c r="BJ15" i="9" a="1"/>
  <c r="BJ15" i="9" s="1"/>
  <c r="BK15" i="9" a="1"/>
  <c r="BK15" i="9" s="1"/>
  <c r="BF41" i="2" a="1"/>
  <c r="BF41" i="2" s="1"/>
  <c r="BF39" i="2" a="1"/>
  <c r="BF39" i="2" s="1"/>
  <c r="BI58" i="2" a="1"/>
  <c r="BI58" i="2" s="1"/>
  <c r="BL34" i="9" a="1"/>
  <c r="BL34" i="9" s="1"/>
  <c r="BK34" i="9" a="1"/>
  <c r="BK34" i="9" s="1"/>
  <c r="BJ34" i="9" a="1"/>
  <c r="BJ34" i="9" s="1"/>
  <c r="BO34" i="9" a="1"/>
  <c r="BO34" i="9" s="1"/>
  <c r="BN34" i="9" a="1"/>
  <c r="BN34" i="9" s="1"/>
  <c r="BA50" i="2" a="1"/>
  <c r="BA50" i="2" s="1"/>
  <c r="BA86" i="2" a="1"/>
  <c r="BA86" i="2" s="1"/>
  <c r="BJ18" i="9" a="1"/>
  <c r="BJ18" i="9" s="1"/>
  <c r="BO18" i="9" a="1"/>
  <c r="BO18" i="9" s="1"/>
  <c r="BL18" i="9" a="1"/>
  <c r="BL18" i="9" s="1"/>
  <c r="BK18" i="9" a="1"/>
  <c r="BK18" i="9" s="1"/>
  <c r="BN18" i="9" a="1"/>
  <c r="BN18" i="9" s="1"/>
  <c r="BM38" i="9" a="1"/>
  <c r="BM38" i="9" s="1"/>
  <c r="BP38" i="9" s="1" a="1"/>
  <c r="BP38" i="9" s="1"/>
  <c r="BA95" i="2" a="1"/>
  <c r="BA95" i="2" s="1"/>
  <c r="BJ10" i="9" a="1"/>
  <c r="BJ10" i="9" s="1"/>
  <c r="BN10" i="9" a="1"/>
  <c r="BN10" i="9" s="1"/>
  <c r="BL10" i="9" a="1"/>
  <c r="BL10" i="9" s="1"/>
  <c r="BK10" i="9" a="1"/>
  <c r="BK10" i="9" s="1"/>
  <c r="BO10" i="9" a="1"/>
  <c r="BO10" i="9" s="1"/>
  <c r="BI4" i="2" a="1"/>
  <c r="BI4" i="2" s="1"/>
  <c r="BP36" i="9" a="1"/>
  <c r="BP36" i="9" s="1"/>
  <c r="BK22" i="9" a="1"/>
  <c r="BK22" i="9" s="1"/>
  <c r="BJ22" i="9" a="1"/>
  <c r="BJ22" i="9" s="1"/>
  <c r="BO22" i="9" a="1"/>
  <c r="BO22" i="9" s="1"/>
  <c r="BN22" i="9" a="1"/>
  <c r="BN22" i="9" s="1"/>
  <c r="BM22" i="9" s="1" a="1"/>
  <c r="BM22" i="9" s="1"/>
  <c r="BL22" i="9" a="1"/>
  <c r="BL22" i="9" s="1"/>
  <c r="BA58" i="2" a="1"/>
  <c r="BA58" i="2" s="1"/>
  <c r="BP46" i="9" l="1" a="1"/>
  <c r="BP46" i="9" s="1"/>
  <c r="BM31" i="9" a="1"/>
  <c r="BM31" i="9" s="1"/>
  <c r="BP31" i="9" s="1" a="1"/>
  <c r="BP31" i="9" s="1"/>
  <c r="BI44" i="2" a="1"/>
  <c r="BI44" i="2" s="1"/>
  <c r="BP12" i="9" a="1"/>
  <c r="BP12" i="9" s="1"/>
  <c r="BP20" i="9" a="1"/>
  <c r="BP20" i="9" s="1"/>
  <c r="BP30" i="9" a="1"/>
  <c r="BP30" i="9" s="1"/>
  <c r="BB59" i="2" a="1"/>
  <c r="BB59" i="2" s="1"/>
  <c r="BB58" i="2" a="1"/>
  <c r="BB58" i="2" s="1"/>
  <c r="BM34" i="9" a="1"/>
  <c r="BM34" i="9" s="1"/>
  <c r="BP34" i="9" s="1" a="1"/>
  <c r="BP34" i="9" s="1"/>
  <c r="BI79" i="2" a="1"/>
  <c r="BI79" i="2" s="1"/>
  <c r="BM42" i="9" a="1"/>
  <c r="BM42" i="9" s="1"/>
  <c r="BP42" i="9" s="1" a="1"/>
  <c r="BP42" i="9" s="1"/>
  <c r="BB78" i="2" a="1"/>
  <c r="BB78" i="2" s="1"/>
  <c r="BP33" i="9" a="1"/>
  <c r="BP33" i="9" s="1"/>
  <c r="BP19" i="9" a="1"/>
  <c r="BP19" i="9" s="1"/>
  <c r="BM28" i="9" a="1"/>
  <c r="BM28" i="9" s="1"/>
  <c r="BP28" i="9" s="1" a="1"/>
  <c r="BP28" i="9" s="1"/>
  <c r="BP5" i="9" a="1"/>
  <c r="BP5" i="9" s="1"/>
  <c r="BF5" i="2" a="1"/>
  <c r="BF5" i="2" s="1"/>
  <c r="BM16" i="9" a="1"/>
  <c r="BM16" i="9" s="1"/>
  <c r="BI61" i="2" a="1"/>
  <c r="BI61" i="2" s="1"/>
  <c r="BM23" i="9" a="1"/>
  <c r="BM23" i="9" s="1"/>
  <c r="BP23" i="9" s="1" a="1"/>
  <c r="BP23" i="9" s="1"/>
  <c r="BM33" i="9" a="1"/>
  <c r="BM33" i="9" s="1"/>
  <c r="BM45" i="9" a="1"/>
  <c r="BM45" i="9" s="1"/>
  <c r="BF10" i="2" a="1"/>
  <c r="BF10" i="2" s="1"/>
  <c r="BP44" i="9" a="1"/>
  <c r="BP44" i="9" s="1"/>
  <c r="BI75" i="2" a="1"/>
  <c r="BI75" i="2" s="1"/>
  <c r="BF100" i="2" a="1"/>
  <c r="BF100" i="2" s="1"/>
  <c r="BP16" i="9" a="1"/>
  <c r="BP16" i="9" s="1"/>
  <c r="BB75" i="2" a="1"/>
  <c r="BB75" i="2" s="1"/>
  <c r="BI6" i="2" a="1"/>
  <c r="BI6" i="2" s="1"/>
  <c r="BF4" i="2" a="1"/>
  <c r="BF4" i="2" s="1"/>
  <c r="BE4" i="2" s="1" a="1"/>
  <c r="BE4" i="2" s="1"/>
  <c r="BB4" i="2" a="1"/>
  <c r="BB4" i="2" s="1"/>
  <c r="BC4" i="2" s="1" a="1"/>
  <c r="BC4" i="2" s="1"/>
  <c r="BF8" i="2" a="1"/>
  <c r="BF8" i="2" s="1"/>
  <c r="BE8" i="2" s="1" a="1"/>
  <c r="BE8" i="2" s="1"/>
  <c r="BM5" i="2" s="1" a="1"/>
  <c r="BM5" i="2" s="1"/>
  <c r="BI5" i="2" a="1"/>
  <c r="BI5" i="2" s="1"/>
  <c r="BI3" i="2" a="1"/>
  <c r="BI3" i="2" s="1"/>
  <c r="BF3" i="2" a="1"/>
  <c r="BF3" i="2" s="1"/>
  <c r="BE3" i="2" s="1" a="1"/>
  <c r="BE3" i="2" s="1"/>
  <c r="BI7" i="2" a="1"/>
  <c r="BI7" i="2" s="1"/>
  <c r="BE7" i="2" s="1" a="1"/>
  <c r="BE7" i="2" s="1"/>
  <c r="BO6" i="2" s="1" a="1"/>
  <c r="BO6" i="2" s="1"/>
  <c r="BF6" i="2" a="1"/>
  <c r="BF6" i="2" s="1"/>
  <c r="BE6" i="2" s="1" a="1"/>
  <c r="BE6" i="2" s="1"/>
  <c r="BO5" i="2" s="1" a="1"/>
  <c r="BO5" i="2" s="1"/>
  <c r="BI8" i="2" a="1"/>
  <c r="BI8" i="2" s="1"/>
  <c r="BP45" i="9" a="1"/>
  <c r="BP45" i="9" s="1"/>
  <c r="BM26" i="9" a="1"/>
  <c r="BM26" i="9" s="1"/>
  <c r="BP26" i="9" s="1" a="1"/>
  <c r="BP26" i="9" s="1"/>
  <c r="BP21" i="9" a="1"/>
  <c r="BP21" i="9" s="1"/>
  <c r="BF62" i="2" a="1"/>
  <c r="BF62" i="2" s="1"/>
  <c r="BE62" i="2" s="1" a="1"/>
  <c r="BE62" i="2" s="1"/>
  <c r="BB3" i="2" a="1"/>
  <c r="BB3" i="2" s="1"/>
  <c r="BC3" i="2" s="1" a="1"/>
  <c r="BC3" i="2" s="1"/>
  <c r="BP25" i="9" a="1"/>
  <c r="BP25" i="9" s="1"/>
  <c r="BP22" i="9" a="1"/>
  <c r="BP22" i="9" s="1"/>
  <c r="BM18" i="9" a="1"/>
  <c r="BM18" i="9" s="1"/>
  <c r="BI57" i="2" a="1"/>
  <c r="BI57" i="2" s="1"/>
  <c r="BI62" i="2" a="1"/>
  <c r="BI62" i="2" s="1"/>
  <c r="BF60" i="2" a="1"/>
  <c r="BF60" i="2" s="1"/>
  <c r="BF61" i="2" a="1"/>
  <c r="BF61" i="2" s="1"/>
  <c r="BI59" i="2" a="1"/>
  <c r="BI59" i="2" s="1"/>
  <c r="BF57" i="2" a="1"/>
  <c r="BF57" i="2" s="1"/>
  <c r="BE57" i="2" s="1" a="1"/>
  <c r="BE57" i="2" s="1"/>
  <c r="BF77" i="2" a="1"/>
  <c r="BF77" i="2" s="1"/>
  <c r="BE77" i="2" s="1" a="1"/>
  <c r="BE77" i="2" s="1"/>
  <c r="BI40" i="2" a="1"/>
  <c r="BI40" i="2" s="1"/>
  <c r="BE40" i="2" s="1" a="1"/>
  <c r="BE40" i="2" s="1"/>
  <c r="BF42" i="2" a="1"/>
  <c r="BF42" i="2" s="1"/>
  <c r="BE42" i="2" s="1" a="1"/>
  <c r="BE42" i="2" s="1"/>
  <c r="BM42" i="2" s="1" a="1"/>
  <c r="BM42" i="2" s="1"/>
  <c r="BF44" i="2" a="1"/>
  <c r="BF44" i="2" s="1"/>
  <c r="BE44" i="2" s="1" a="1"/>
  <c r="BE44" i="2" s="1"/>
  <c r="BM41" i="2" s="1" a="1"/>
  <c r="BM41" i="2" s="1"/>
  <c r="BI42" i="2" a="1"/>
  <c r="BI42" i="2" s="1"/>
  <c r="BI39" i="2" a="1"/>
  <c r="BI39" i="2" s="1"/>
  <c r="BE39" i="2" s="1" a="1"/>
  <c r="BE39" i="2" s="1"/>
  <c r="BF43" i="2" a="1"/>
  <c r="BF43" i="2" s="1"/>
  <c r="BP17" i="9" a="1"/>
  <c r="BP17" i="9" s="1"/>
  <c r="BF75" i="2" a="1"/>
  <c r="BF75" i="2" s="1"/>
  <c r="BF58" i="2" a="1"/>
  <c r="BF58" i="2" s="1"/>
  <c r="BE58" i="2" s="1" a="1"/>
  <c r="BE58" i="2" s="1"/>
  <c r="BB42" i="2" a="1"/>
  <c r="BB42" i="2" s="1"/>
  <c r="BF80" i="2" a="1"/>
  <c r="BF80" i="2" s="1"/>
  <c r="BB6" i="2" a="1"/>
  <c r="BB6" i="2" s="1"/>
  <c r="BC6" i="2" s="1" a="1"/>
  <c r="BC6" i="2" s="1"/>
  <c r="BI41" i="2" a="1"/>
  <c r="BI41" i="2" s="1"/>
  <c r="BE41" i="2" a="1"/>
  <c r="BE41" i="2" s="1"/>
  <c r="BO41" i="2" s="1" a="1"/>
  <c r="BO41" i="2" s="1"/>
  <c r="BF64" i="2" a="1"/>
  <c r="BF64" i="2" s="1"/>
  <c r="BB57" i="2" a="1"/>
  <c r="BB57" i="2" s="1"/>
  <c r="BF19" i="2" a="1"/>
  <c r="BF19" i="2" s="1"/>
  <c r="BB39" i="2" a="1"/>
  <c r="BB39" i="2" s="1"/>
  <c r="BM8" i="9" a="1"/>
  <c r="BM8" i="9" s="1"/>
  <c r="BP8" i="9" s="1" a="1"/>
  <c r="BP8" i="9" s="1"/>
  <c r="BB40" i="2" a="1"/>
  <c r="BB40" i="2" s="1"/>
  <c r="BF28" i="2" a="1"/>
  <c r="BF28" i="2" s="1"/>
  <c r="BM50" i="9" a="1"/>
  <c r="BM50" i="9" s="1"/>
  <c r="BP50" i="9" s="1" a="1"/>
  <c r="BP50" i="9" s="1"/>
  <c r="BM25" i="9" a="1"/>
  <c r="BM25" i="9" s="1"/>
  <c r="BI43" i="2" a="1"/>
  <c r="BI43" i="2" s="1"/>
  <c r="BM15" i="9" a="1"/>
  <c r="BM15" i="9" s="1"/>
  <c r="BP15" i="9" s="1" a="1"/>
  <c r="BP15" i="9" s="1"/>
  <c r="BM4" i="9" a="1"/>
  <c r="BM4" i="9" s="1"/>
  <c r="BP4" i="9" s="1" a="1"/>
  <c r="BP4" i="9" s="1"/>
  <c r="BP7" i="9" a="1"/>
  <c r="BP7" i="9" s="1"/>
  <c r="BI60" i="2" a="1"/>
  <c r="BI60" i="2" s="1"/>
  <c r="BF82" i="2" a="1"/>
  <c r="BF82" i="2" s="1"/>
  <c r="BM11" i="9" a="1"/>
  <c r="BM11" i="9" s="1"/>
  <c r="BP24" i="9" a="1"/>
  <c r="BP24" i="9" s="1"/>
  <c r="BF59" i="2" a="1"/>
  <c r="BF59" i="2" s="1"/>
  <c r="BE59" i="2" s="1" a="1"/>
  <c r="BE59" i="2" s="1"/>
  <c r="BO57" i="2" s="1" a="1"/>
  <c r="BO57" i="2" s="1"/>
  <c r="BP11" i="9" a="1"/>
  <c r="BP11" i="9" s="1"/>
  <c r="BB5" i="2" a="1"/>
  <c r="BB5" i="2" s="1"/>
  <c r="BC5" i="2" s="1" a="1"/>
  <c r="BC5" i="2" s="1"/>
  <c r="BF46" i="2" a="1"/>
  <c r="BF46" i="2" s="1"/>
  <c r="BM27" i="9" a="1"/>
  <c r="BM27" i="9" s="1"/>
  <c r="BP27" i="9" s="1" a="1"/>
  <c r="BP27" i="9" s="1"/>
  <c r="BP13" i="9" a="1"/>
  <c r="BP13" i="9" s="1"/>
  <c r="BM10" i="9" a="1"/>
  <c r="BM10" i="9" s="1"/>
  <c r="BP18" i="9" a="1"/>
  <c r="BP18" i="9" s="1"/>
  <c r="BP35" i="9" a="1"/>
  <c r="BP35" i="9" s="1"/>
  <c r="BM14" i="9" a="1"/>
  <c r="BM14" i="9" s="1"/>
  <c r="BP14" i="9" s="1" a="1"/>
  <c r="BP14" i="9" s="1"/>
  <c r="BM40" i="9" a="1"/>
  <c r="BM40" i="9" s="1"/>
  <c r="BP40" i="9" s="1" a="1"/>
  <c r="BP40" i="9" s="1"/>
  <c r="BF78" i="2" a="1"/>
  <c r="BF78" i="2" s="1"/>
  <c r="BE78" i="2" s="1" a="1"/>
  <c r="BE78" i="2" s="1"/>
  <c r="BF76" i="2" a="1"/>
  <c r="BF76" i="2" s="1"/>
  <c r="BI76" i="2" a="1"/>
  <c r="BI76" i="2" s="1"/>
  <c r="BI80" i="2" a="1"/>
  <c r="BI80" i="2" s="1"/>
  <c r="BI77" i="2" a="1"/>
  <c r="BI77" i="2" s="1"/>
  <c r="BF79" i="2" a="1"/>
  <c r="BF79" i="2" s="1"/>
  <c r="BE79" i="2" s="1" a="1"/>
  <c r="BE79" i="2" s="1"/>
  <c r="BO78" i="2" s="1" a="1"/>
  <c r="BO78" i="2" s="1"/>
  <c r="BP10" i="9" a="1"/>
  <c r="BP10" i="9" s="1"/>
  <c r="BP37" i="9" a="1"/>
  <c r="BP37" i="9" s="1"/>
  <c r="BF91" i="2" a="1"/>
  <c r="BF91" i="2" s="1"/>
  <c r="BB77" i="2" a="1"/>
  <c r="BB77" i="2" s="1"/>
  <c r="BP47" i="9" a="1"/>
  <c r="BP47" i="9" s="1"/>
  <c r="BI78" i="2" a="1"/>
  <c r="BI78" i="2" s="1"/>
  <c r="BR4" i="9" l="1" a="1"/>
  <c r="BR4" i="9" s="1"/>
  <c r="BS4" i="9" s="1" a="1"/>
  <c r="BS4" i="9" s="1"/>
  <c r="BN42" i="2" a="1"/>
  <c r="BN42" i="2" s="1"/>
  <c r="BN41" i="2" a="1"/>
  <c r="BN41" i="2" s="1"/>
  <c r="BO40" i="2" a="1"/>
  <c r="BO40" i="2" s="1"/>
  <c r="BN78" i="2" a="1"/>
  <c r="BN78" i="2" s="1"/>
  <c r="BN76" i="2" a="1"/>
  <c r="BN76" i="2" s="1"/>
  <c r="BI17" i="2" a="1"/>
  <c r="BI17" i="2" s="1"/>
  <c r="BF17" i="2" a="1"/>
  <c r="BF17" i="2" s="1"/>
  <c r="BE17" i="2" s="1" a="1"/>
  <c r="BE17" i="2" s="1"/>
  <c r="BF16" i="2" a="1"/>
  <c r="BF16" i="2" s="1"/>
  <c r="BI15" i="2" a="1"/>
  <c r="BI15" i="2" s="1"/>
  <c r="BF14" i="2" a="1"/>
  <c r="BF14" i="2" s="1"/>
  <c r="BE14" i="2" s="1" a="1"/>
  <c r="BE14" i="2" s="1"/>
  <c r="BI14" i="2" a="1"/>
  <c r="BI14" i="2" s="1"/>
  <c r="BI12" i="2" a="1"/>
  <c r="BI12" i="2" s="1"/>
  <c r="BI13" i="2" a="1"/>
  <c r="BI13" i="2" s="1"/>
  <c r="BB14" i="2" a="1"/>
  <c r="BB14" i="2" s="1"/>
  <c r="BF13" i="2" a="1"/>
  <c r="BF13" i="2" s="1"/>
  <c r="BB15" i="2" a="1"/>
  <c r="BB15" i="2" s="1"/>
  <c r="BC15" i="2" s="1" a="1"/>
  <c r="BC15" i="2" s="1"/>
  <c r="BF12" i="2" a="1"/>
  <c r="BF12" i="2" s="1"/>
  <c r="BE12" i="2" s="1" a="1"/>
  <c r="BE12" i="2" s="1"/>
  <c r="BI16" i="2" a="1"/>
  <c r="BI16" i="2" s="1"/>
  <c r="BB13" i="2" a="1"/>
  <c r="BB13" i="2" s="1"/>
  <c r="BC13" i="2" s="1" a="1"/>
  <c r="BC13" i="2" s="1"/>
  <c r="BB12" i="2" a="1"/>
  <c r="BB12" i="2" s="1"/>
  <c r="BC12" i="2" s="1" a="1"/>
  <c r="BC12" i="2" s="1"/>
  <c r="BF15" i="2" a="1"/>
  <c r="BF15" i="2" s="1"/>
  <c r="BE15" i="2" s="1" a="1"/>
  <c r="BE15" i="2" s="1"/>
  <c r="BF68" i="2" a="1"/>
  <c r="BF68" i="2" s="1"/>
  <c r="BE68" i="2" s="1" a="1"/>
  <c r="BE68" i="2" s="1"/>
  <c r="BF66" i="2" a="1"/>
  <c r="BF66" i="2" s="1"/>
  <c r="BI67" i="2" a="1"/>
  <c r="BI67" i="2" s="1"/>
  <c r="BI70" i="2" a="1"/>
  <c r="BI70" i="2" s="1"/>
  <c r="BF70" i="2" a="1"/>
  <c r="BF70" i="2" s="1"/>
  <c r="BI68" i="2" a="1"/>
  <c r="BI68" i="2" s="1"/>
  <c r="BB67" i="2" a="1"/>
  <c r="BB67" i="2" s="1"/>
  <c r="BI69" i="2" a="1"/>
  <c r="BI69" i="2" s="1"/>
  <c r="BB66" i="2" a="1"/>
  <c r="BB66" i="2" s="1"/>
  <c r="BF67" i="2" a="1"/>
  <c r="BF67" i="2" s="1"/>
  <c r="BI71" i="2" a="1"/>
  <c r="BI71" i="2" s="1"/>
  <c r="BI66" i="2" a="1"/>
  <c r="BI66" i="2" s="1"/>
  <c r="BF69" i="2" a="1"/>
  <c r="BF69" i="2" s="1"/>
  <c r="BB69" i="2" a="1"/>
  <c r="BB69" i="2" s="1"/>
  <c r="BB68" i="2" a="1"/>
  <c r="BB68" i="2" s="1"/>
  <c r="BF71" i="2" a="1"/>
  <c r="BF71" i="2" s="1"/>
  <c r="BE71" i="2" s="1" a="1"/>
  <c r="BE71" i="2" s="1"/>
  <c r="BM68" i="2" s="1" a="1"/>
  <c r="BM68" i="2" s="1"/>
  <c r="BE5" i="2" a="1"/>
  <c r="BE5" i="2" s="1"/>
  <c r="BM6" i="2" s="1" a="1"/>
  <c r="BM6" i="2" s="1"/>
  <c r="BE80" i="2" a="1"/>
  <c r="BE80" i="2" s="1"/>
  <c r="BM76" i="2" s="1" a="1"/>
  <c r="BM76" i="2" s="1"/>
  <c r="BZ1" i="2" a="1"/>
  <c r="BZ1" i="2" s="1"/>
  <c r="BI32" i="2" a="1"/>
  <c r="BI32" i="2" s="1"/>
  <c r="BF30" i="2" a="1"/>
  <c r="BF30" i="2" s="1"/>
  <c r="BE30" i="2" s="1" a="1"/>
  <c r="BE30" i="2" s="1"/>
  <c r="BF35" i="2" a="1"/>
  <c r="BF35" i="2" s="1"/>
  <c r="BE35" i="2" s="1" a="1"/>
  <c r="BE35" i="2" s="1"/>
  <c r="BM31" i="2" s="1" a="1"/>
  <c r="BM31" i="2" s="1"/>
  <c r="BF34" i="2" a="1"/>
  <c r="BF34" i="2" s="1"/>
  <c r="BE34" i="2" s="1" a="1"/>
  <c r="BE34" i="2" s="1"/>
  <c r="BO33" i="2" s="1" a="1"/>
  <c r="BO33" i="2" s="1"/>
  <c r="BF32" i="2" a="1"/>
  <c r="BF32" i="2" s="1"/>
  <c r="BE32" i="2" s="1" a="1"/>
  <c r="BE32" i="2" s="1"/>
  <c r="BN33" i="2" s="1" a="1"/>
  <c r="BN33" i="2" s="1"/>
  <c r="BI30" i="2" a="1"/>
  <c r="BI30" i="2" s="1"/>
  <c r="BI34" i="2" a="1"/>
  <c r="BI34" i="2" s="1"/>
  <c r="BB33" i="2" a="1"/>
  <c r="BB33" i="2" s="1"/>
  <c r="BC33" i="2" s="1" a="1"/>
  <c r="BC33" i="2" s="1"/>
  <c r="BI31" i="2" a="1"/>
  <c r="BI31" i="2" s="1"/>
  <c r="BF33" i="2" a="1"/>
  <c r="BF33" i="2" s="1"/>
  <c r="BE33" i="2" s="1" a="1"/>
  <c r="BE33" i="2" s="1"/>
  <c r="BM30" i="2" s="1" a="1"/>
  <c r="BM30" i="2" s="1"/>
  <c r="BI35" i="2" a="1"/>
  <c r="BI35" i="2" s="1"/>
  <c r="BB31" i="2" a="1"/>
  <c r="BB31" i="2" s="1"/>
  <c r="BC31" i="2" s="1" a="1"/>
  <c r="BC31" i="2" s="1"/>
  <c r="BF31" i="2" a="1"/>
  <c r="BF31" i="2" s="1"/>
  <c r="BB30" i="2" a="1"/>
  <c r="BB30" i="2" s="1"/>
  <c r="BC30" i="2" s="1" a="1"/>
  <c r="BC30" i="2" s="1"/>
  <c r="BZ28" i="2" s="1" a="1"/>
  <c r="BZ28" i="2" s="1"/>
  <c r="BB32" i="2" a="1"/>
  <c r="BB32" i="2" s="1"/>
  <c r="BI33" i="2" a="1"/>
  <c r="BI33" i="2" s="1"/>
  <c r="BO60" i="2" a="1"/>
  <c r="BO60" i="2" s="1"/>
  <c r="BE61" i="2" a="1"/>
  <c r="BE61" i="2" s="1"/>
  <c r="BM59" i="2" s="1" a="1"/>
  <c r="BM59" i="2" s="1"/>
  <c r="BF51" i="2" a="1"/>
  <c r="BF51" i="2" s="1"/>
  <c r="BF53" i="2" a="1"/>
  <c r="BF53" i="2" s="1"/>
  <c r="BF49" i="2" a="1"/>
  <c r="BF49" i="2" s="1"/>
  <c r="BI52" i="2" a="1"/>
  <c r="BI52" i="2" s="1"/>
  <c r="BB51" i="2" a="1"/>
  <c r="BB51" i="2" s="1"/>
  <c r="BF52" i="2" a="1"/>
  <c r="BF52" i="2" s="1"/>
  <c r="BI50" i="2" a="1"/>
  <c r="BI50" i="2" s="1"/>
  <c r="BI49" i="2" a="1"/>
  <c r="BI49" i="2" s="1"/>
  <c r="BF50" i="2" a="1"/>
  <c r="BF50" i="2" s="1"/>
  <c r="BB49" i="2" a="1"/>
  <c r="BB49" i="2" s="1"/>
  <c r="BC49" i="2" s="1" a="1"/>
  <c r="BC49" i="2" s="1"/>
  <c r="BI53" i="2" a="1"/>
  <c r="BI53" i="2" s="1"/>
  <c r="BB50" i="2" a="1"/>
  <c r="BB50" i="2" s="1"/>
  <c r="BC50" i="2" s="1" a="1"/>
  <c r="BC50" i="2" s="1"/>
  <c r="BF48" i="2" a="1"/>
  <c r="BF48" i="2" s="1"/>
  <c r="BI48" i="2" a="1"/>
  <c r="BI48" i="2" s="1"/>
  <c r="BI51" i="2" a="1"/>
  <c r="BI51" i="2" s="1"/>
  <c r="BB48" i="2" a="1"/>
  <c r="BB48" i="2" s="1"/>
  <c r="BE76" i="2" a="1"/>
  <c r="BE76" i="2" s="1"/>
  <c r="BF94" i="2" a="1"/>
  <c r="BF94" i="2" s="1"/>
  <c r="BE94" i="2" s="1" a="1"/>
  <c r="BE94" i="2" s="1"/>
  <c r="BI98" i="2" a="1"/>
  <c r="BI98" i="2" s="1"/>
  <c r="BB94" i="2" a="1"/>
  <c r="BB94" i="2" s="1"/>
  <c r="BC94" i="2" s="1" a="1"/>
  <c r="BC94" i="2" s="1"/>
  <c r="BF96" i="2" a="1"/>
  <c r="BF96" i="2" s="1"/>
  <c r="BI96" i="2" a="1"/>
  <c r="BI96" i="2" s="1"/>
  <c r="BI93" i="2" a="1"/>
  <c r="BI93" i="2" s="1"/>
  <c r="BI95" i="2" a="1"/>
  <c r="BI95" i="2" s="1"/>
  <c r="BI97" i="2" a="1"/>
  <c r="BI97" i="2" s="1"/>
  <c r="BF93" i="2" a="1"/>
  <c r="BF93" i="2" s="1"/>
  <c r="BF95" i="2" a="1"/>
  <c r="BF95" i="2" s="1"/>
  <c r="BF97" i="2" a="1"/>
  <c r="BF97" i="2" s="1"/>
  <c r="BE97" i="2" s="1" a="1"/>
  <c r="BE97" i="2" s="1"/>
  <c r="BB95" i="2" a="1"/>
  <c r="BB95" i="2" s="1"/>
  <c r="BC95" i="2" s="1" a="1"/>
  <c r="BC95" i="2" s="1"/>
  <c r="BF98" i="2" a="1"/>
  <c r="BF98" i="2" s="1"/>
  <c r="BB96" i="2" a="1"/>
  <c r="BB96" i="2" s="1"/>
  <c r="BC96" i="2" s="1" a="1"/>
  <c r="BC96" i="2" s="1"/>
  <c r="BB93" i="2" a="1"/>
  <c r="BB93" i="2" s="1"/>
  <c r="BC93" i="2" s="1" a="1"/>
  <c r="BC93" i="2" s="1"/>
  <c r="BZ91" i="2" s="1" a="1"/>
  <c r="BZ91" i="2" s="1"/>
  <c r="BI94" i="2" a="1"/>
  <c r="BI94" i="2" s="1"/>
  <c r="BE75" i="2" a="1"/>
  <c r="BE75" i="2" s="1"/>
  <c r="BE60" i="2" a="1"/>
  <c r="BE60" i="2" s="1"/>
  <c r="BN6" i="2" a="1"/>
  <c r="BN6" i="2" s="1"/>
  <c r="BN5" i="2" a="1"/>
  <c r="BN5" i="2" s="1"/>
  <c r="BN58" i="2" a="1"/>
  <c r="BN58" i="2" s="1"/>
  <c r="BN57" i="2" a="1"/>
  <c r="BN57" i="2" s="1"/>
  <c r="BF85" i="2" a="1"/>
  <c r="BF85" i="2" s="1"/>
  <c r="BE85" i="2" s="1" a="1"/>
  <c r="BE85" i="2" s="1"/>
  <c r="BB86" i="2" a="1"/>
  <c r="BB86" i="2" s="1"/>
  <c r="BI86" i="2" a="1"/>
  <c r="BI86" i="2" s="1"/>
  <c r="BI89" i="2" a="1"/>
  <c r="BI89" i="2" s="1"/>
  <c r="BI87" i="2" a="1"/>
  <c r="BI87" i="2" s="1"/>
  <c r="BI85" i="2" a="1"/>
  <c r="BI85" i="2" s="1"/>
  <c r="BF89" i="2" a="1"/>
  <c r="BF89" i="2" s="1"/>
  <c r="BI88" i="2" a="1"/>
  <c r="BI88" i="2" s="1"/>
  <c r="BB85" i="2" a="1"/>
  <c r="BB85" i="2" s="1"/>
  <c r="BF87" i="2" a="1"/>
  <c r="BF87" i="2" s="1"/>
  <c r="BE87" i="2" s="1" a="1"/>
  <c r="BE87" i="2" s="1"/>
  <c r="BM85" i="2" s="1" a="1"/>
  <c r="BM85" i="2" s="1"/>
  <c r="BB87" i="2" a="1"/>
  <c r="BB87" i="2" s="1"/>
  <c r="BF84" i="2" a="1"/>
  <c r="BF84" i="2" s="1"/>
  <c r="BE84" i="2" s="1" a="1"/>
  <c r="BE84" i="2" s="1"/>
  <c r="BF88" i="2" a="1"/>
  <c r="BF88" i="2" s="1"/>
  <c r="BI84" i="2" a="1"/>
  <c r="BI84" i="2" s="1"/>
  <c r="BF86" i="2" a="1"/>
  <c r="BF86" i="2" s="1"/>
  <c r="BE86" i="2" s="1" a="1"/>
  <c r="BE86" i="2" s="1"/>
  <c r="BO86" i="2" s="1" a="1"/>
  <c r="BO86" i="2" s="1"/>
  <c r="BB84" i="2" a="1"/>
  <c r="BB84" i="2" s="1"/>
  <c r="BC41" i="2" a="1"/>
  <c r="BC41" i="2" s="1"/>
  <c r="BI102" i="2" a="1"/>
  <c r="BI102" i="2" s="1"/>
  <c r="BF105" i="2" a="1"/>
  <c r="BF105" i="2" s="1"/>
  <c r="BE105" i="2" s="1" a="1"/>
  <c r="BE105" i="2" s="1"/>
  <c r="BM103" i="2" s="1" a="1"/>
  <c r="BM103" i="2" s="1"/>
  <c r="BI103" i="2" a="1"/>
  <c r="BI103" i="2" s="1"/>
  <c r="BF106" i="2" a="1"/>
  <c r="BF106" i="2" s="1"/>
  <c r="BI104" i="2" a="1"/>
  <c r="BI104" i="2" s="1"/>
  <c r="BI105" i="2" a="1"/>
  <c r="BI105" i="2" s="1"/>
  <c r="BF104" i="2" a="1"/>
  <c r="BF104" i="2" s="1"/>
  <c r="BE104" i="2" s="1" a="1"/>
  <c r="BE104" i="2" s="1"/>
  <c r="BF102" i="2" a="1"/>
  <c r="BF102" i="2" s="1"/>
  <c r="BE102" i="2" s="1" a="1"/>
  <c r="BE102" i="2" s="1"/>
  <c r="BN102" i="2" s="1" a="1"/>
  <c r="BN102" i="2" s="1"/>
  <c r="BI107" i="2" a="1"/>
  <c r="BI107" i="2" s="1"/>
  <c r="BB105" i="2" a="1"/>
  <c r="BB105" i="2" s="1"/>
  <c r="BF103" i="2" a="1"/>
  <c r="BF103" i="2" s="1"/>
  <c r="BF107" i="2" a="1"/>
  <c r="BF107" i="2" s="1"/>
  <c r="BB102" i="2" a="1"/>
  <c r="BB102" i="2" s="1"/>
  <c r="BB103" i="2" a="1"/>
  <c r="BB103" i="2" s="1"/>
  <c r="BC103" i="2" s="1" a="1"/>
  <c r="BC103" i="2" s="1"/>
  <c r="BB104" i="2" a="1"/>
  <c r="BB104" i="2" s="1"/>
  <c r="BI106" i="2" a="1"/>
  <c r="BI106" i="2" s="1"/>
  <c r="BO4" i="2" a="1"/>
  <c r="BO4" i="2" s="1"/>
  <c r="BM3" i="2" a="1"/>
  <c r="BM3" i="2" s="1"/>
  <c r="BI21" i="2" a="1"/>
  <c r="BI21" i="2" s="1"/>
  <c r="BF24" i="2" a="1"/>
  <c r="BF24" i="2" s="1"/>
  <c r="BF22" i="2" a="1"/>
  <c r="BF22" i="2" s="1"/>
  <c r="BE22" i="2" s="1" a="1"/>
  <c r="BE22" i="2" s="1"/>
  <c r="BI24" i="2" a="1"/>
  <c r="BI24" i="2" s="1"/>
  <c r="BI23" i="2" a="1"/>
  <c r="BI23" i="2" s="1"/>
  <c r="BI26" i="2" a="1"/>
  <c r="BI26" i="2" s="1"/>
  <c r="BI22" i="2" a="1"/>
  <c r="BI22" i="2" s="1"/>
  <c r="BF26" i="2" a="1"/>
  <c r="BF26" i="2" s="1"/>
  <c r="BE26" i="2" s="1" a="1"/>
  <c r="BE26" i="2" s="1"/>
  <c r="BF25" i="2" a="1"/>
  <c r="BF25" i="2" s="1"/>
  <c r="BE25" i="2" s="1" a="1"/>
  <c r="BE25" i="2" s="1"/>
  <c r="BB21" i="2" a="1"/>
  <c r="BB21" i="2" s="1"/>
  <c r="BC21" i="2" s="1" a="1"/>
  <c r="BC21" i="2" s="1"/>
  <c r="BZ19" i="2" s="1" a="1"/>
  <c r="BZ19" i="2" s="1"/>
  <c r="BB22" i="2" a="1"/>
  <c r="BB22" i="2" s="1"/>
  <c r="BI25" i="2" a="1"/>
  <c r="BI25" i="2" s="1"/>
  <c r="BB24" i="2" a="1"/>
  <c r="BB24" i="2" s="1"/>
  <c r="BC24" i="2" s="1" a="1"/>
  <c r="BC24" i="2" s="1"/>
  <c r="BF23" i="2" a="1"/>
  <c r="BF23" i="2" s="1"/>
  <c r="BE23" i="2" s="1" a="1"/>
  <c r="BE23" i="2" s="1"/>
  <c r="BF21" i="2" a="1"/>
  <c r="BF21" i="2" s="1"/>
  <c r="BE21" i="2" s="1" a="1"/>
  <c r="BE21" i="2" s="1"/>
  <c r="BB23" i="2" a="1"/>
  <c r="BB23" i="2" s="1"/>
  <c r="BC23" i="2" s="1" a="1"/>
  <c r="BC23" i="2" s="1"/>
  <c r="BE43" i="2" a="1"/>
  <c r="BE43" i="2" s="1"/>
  <c r="BO42" i="2" s="1" a="1"/>
  <c r="BO42" i="2" s="1"/>
  <c r="BC58" i="2" a="1"/>
  <c r="BC58" i="2" s="1"/>
  <c r="BZ22" i="2" l="1" a="1"/>
  <c r="BZ22" i="2" s="1"/>
  <c r="CC23" i="2" a="1"/>
  <c r="CC23" i="2" s="1"/>
  <c r="CC24" i="2" a="1"/>
  <c r="CC24" i="2" s="1"/>
  <c r="CC22" i="2" a="1"/>
  <c r="CC22" i="2" s="1"/>
  <c r="CC26" i="2" a="1"/>
  <c r="CC26" i="2" s="1"/>
  <c r="BZ25" i="2" a="1"/>
  <c r="BZ25" i="2" s="1"/>
  <c r="BY25" i="2" s="1" a="1"/>
  <c r="BY25" i="2" s="1"/>
  <c r="BZ26" i="2" a="1"/>
  <c r="BZ26" i="2" s="1"/>
  <c r="BZ24" i="2" a="1"/>
  <c r="BZ24" i="2" s="1"/>
  <c r="BY24" i="2" s="1" a="1"/>
  <c r="BY24" i="2" s="1"/>
  <c r="CC21" i="2" a="1"/>
  <c r="CC21" i="2" s="1"/>
  <c r="CC25" i="2" a="1"/>
  <c r="CC25" i="2" s="1"/>
  <c r="BZ21" i="2" a="1"/>
  <c r="BZ21" i="2" s="1"/>
  <c r="BY21" i="2" s="1" a="1"/>
  <c r="BY21" i="2" s="1"/>
  <c r="CI22" i="2" s="1" a="1"/>
  <c r="CI22" i="2" s="1"/>
  <c r="BZ23" i="2" a="1"/>
  <c r="BZ23" i="2" s="1"/>
  <c r="BY23" i="2" s="1" a="1"/>
  <c r="BY23" i="2" s="1"/>
  <c r="BE106" i="2" a="1"/>
  <c r="BE106" i="2" s="1"/>
  <c r="BC76" i="2" a="1"/>
  <c r="BC76" i="2" s="1"/>
  <c r="BE93" i="2" a="1"/>
  <c r="BE93" i="2" s="1"/>
  <c r="BE53" i="2" a="1"/>
  <c r="BE53" i="2" s="1"/>
  <c r="BZ8" i="2" a="1"/>
  <c r="BZ8" i="2" s="1"/>
  <c r="BY8" i="2" s="1" a="1"/>
  <c r="BY8" i="2" s="1"/>
  <c r="CC3" i="2" a="1"/>
  <c r="CC3" i="2" s="1"/>
  <c r="CC7" i="2" a="1"/>
  <c r="CC7" i="2" s="1"/>
  <c r="CC6" i="2" a="1"/>
  <c r="CC6" i="2" s="1"/>
  <c r="BZ4" i="2" a="1"/>
  <c r="BZ4" i="2" s="1"/>
  <c r="BZ6" i="2" a="1"/>
  <c r="BZ6" i="2" s="1"/>
  <c r="BY6" i="2" s="1" a="1"/>
  <c r="BY6" i="2" s="1"/>
  <c r="CI5" i="2" s="1" a="1"/>
  <c r="CI5" i="2" s="1"/>
  <c r="CC8" i="2" a="1"/>
  <c r="CC8" i="2" s="1"/>
  <c r="BZ5" i="2" a="1"/>
  <c r="BZ5" i="2" s="1"/>
  <c r="BY5" i="2" s="1" a="1"/>
  <c r="BY5" i="2" s="1"/>
  <c r="CC5" i="2" a="1"/>
  <c r="CC5" i="2" s="1"/>
  <c r="BZ3" i="2" a="1"/>
  <c r="BZ3" i="2" s="1"/>
  <c r="BY3" i="2" s="1" a="1"/>
  <c r="BY3" i="2" s="1"/>
  <c r="BZ7" i="2" a="1"/>
  <c r="BZ7" i="2" s="1"/>
  <c r="CC4" i="2" a="1"/>
  <c r="CC4" i="2" s="1"/>
  <c r="BE67" i="2" a="1"/>
  <c r="BE67" i="2" s="1"/>
  <c r="BN13" i="2" a="1"/>
  <c r="BN13" i="2" s="1"/>
  <c r="BN14" i="2" a="1"/>
  <c r="BN14" i="2" s="1"/>
  <c r="BC104" i="2" a="1"/>
  <c r="BC104" i="2" s="1"/>
  <c r="BC85" i="2" a="1"/>
  <c r="BC85" i="2" s="1"/>
  <c r="BE48" i="2" a="1"/>
  <c r="BE48" i="2" s="1"/>
  <c r="BE51" i="2" a="1"/>
  <c r="BE51" i="2" s="1"/>
  <c r="BM49" i="2" s="1" a="1"/>
  <c r="BM49" i="2" s="1"/>
  <c r="BC66" i="2" a="1"/>
  <c r="BC66" i="2" s="1"/>
  <c r="BO13" i="2" a="1"/>
  <c r="BO13" i="2" s="1"/>
  <c r="BM12" i="2" a="1"/>
  <c r="BM12" i="2" s="1"/>
  <c r="BC102" i="2" a="1"/>
  <c r="BC102" i="2" s="1"/>
  <c r="BZ100" i="2" s="1" a="1"/>
  <c r="BZ100" i="2" s="1"/>
  <c r="BE89" i="2" a="1"/>
  <c r="BE89" i="2" s="1"/>
  <c r="BO58" i="2" a="1"/>
  <c r="BO58" i="2" s="1"/>
  <c r="BM60" i="2" a="1"/>
  <c r="BM60" i="2" s="1"/>
  <c r="BC40" i="2" a="1"/>
  <c r="BC40" i="2" s="1"/>
  <c r="BC78" i="2" a="1"/>
  <c r="BC78" i="2" s="1"/>
  <c r="BC67" i="2" a="1"/>
  <c r="BC67" i="2" s="1"/>
  <c r="BE107" i="2" a="1"/>
  <c r="BE107" i="2" s="1"/>
  <c r="BM75" i="2" a="1"/>
  <c r="BM75" i="2" s="1"/>
  <c r="BO76" i="2" a="1"/>
  <c r="BO76" i="2" s="1"/>
  <c r="BC77" i="2" a="1"/>
  <c r="BC77" i="2" s="1"/>
  <c r="BE13" i="2" a="1"/>
  <c r="BE13" i="2" s="1"/>
  <c r="BL41" i="2" s="1" a="1"/>
  <c r="BL41" i="2" s="1"/>
  <c r="BC59" i="2" a="1"/>
  <c r="BC59" i="2" s="1"/>
  <c r="BC75" i="2" a="1"/>
  <c r="BC75" i="2" s="1"/>
  <c r="BZ73" i="2" s="1" a="1"/>
  <c r="BZ73" i="2" s="1"/>
  <c r="BE103" i="2" a="1"/>
  <c r="BE103" i="2" s="1"/>
  <c r="BC39" i="2" a="1"/>
  <c r="BC39" i="2" s="1"/>
  <c r="BZ37" i="2" s="1" a="1"/>
  <c r="BZ37" i="2" s="1"/>
  <c r="BE96" i="2" a="1"/>
  <c r="BE96" i="2" s="1"/>
  <c r="BE50" i="2" a="1"/>
  <c r="BE50" i="2" s="1"/>
  <c r="BO50" i="2" s="1" a="1"/>
  <c r="BO50" i="2" s="1"/>
  <c r="BE70" i="2" a="1"/>
  <c r="BE70" i="2" s="1"/>
  <c r="BC14" i="2" a="1"/>
  <c r="BC14" i="2" s="1"/>
  <c r="BZ10" i="2" s="1" a="1"/>
  <c r="BZ10" i="2" s="1"/>
  <c r="BC57" i="2" a="1"/>
  <c r="BC57" i="2" s="1"/>
  <c r="BC105" i="2" a="1"/>
  <c r="BC105" i="2" s="1"/>
  <c r="BC84" i="2" a="1"/>
  <c r="BC84" i="2" s="1"/>
  <c r="BZ82" i="2" s="1" a="1"/>
  <c r="BZ82" i="2" s="1"/>
  <c r="BZ98" i="2" a="1"/>
  <c r="BZ98" i="2" s="1"/>
  <c r="BY98" i="2" s="1" a="1"/>
  <c r="BY98" i="2" s="1"/>
  <c r="BZ93" i="2" a="1"/>
  <c r="BZ93" i="2" s="1"/>
  <c r="BZ94" i="2" a="1"/>
  <c r="BZ94" i="2" s="1"/>
  <c r="BY94" i="2" s="1" a="1"/>
  <c r="BY94" i="2" s="1"/>
  <c r="BZ95" i="2" a="1"/>
  <c r="BZ95" i="2" s="1"/>
  <c r="BY95" i="2" s="1" a="1"/>
  <c r="BY95" i="2" s="1"/>
  <c r="CC93" i="2" a="1"/>
  <c r="CC93" i="2" s="1"/>
  <c r="CC94" i="2" a="1"/>
  <c r="CC94" i="2" s="1"/>
  <c r="CC98" i="2" a="1"/>
  <c r="CC98" i="2" s="1"/>
  <c r="CC96" i="2" a="1"/>
  <c r="CC96" i="2" s="1"/>
  <c r="CC95" i="2" a="1"/>
  <c r="CC95" i="2" s="1"/>
  <c r="BZ96" i="2" a="1"/>
  <c r="BZ96" i="2" s="1"/>
  <c r="BZ97" i="2" a="1"/>
  <c r="BZ97" i="2" s="1"/>
  <c r="BY97" i="2" s="1" a="1"/>
  <c r="BY97" i="2" s="1"/>
  <c r="CC97" i="2" a="1"/>
  <c r="CC97" i="2" s="1"/>
  <c r="BC42" i="2" a="1"/>
  <c r="BC42" i="2" s="1"/>
  <c r="BM24" i="2" a="1"/>
  <c r="BM24" i="2" s="1"/>
  <c r="BO23" i="2" a="1"/>
  <c r="BO23" i="2" s="1"/>
  <c r="BC68" i="2" a="1"/>
  <c r="BC68" i="2" s="1"/>
  <c r="BM39" i="2" a="1"/>
  <c r="BM39" i="2" s="1"/>
  <c r="BM21" i="2" a="1"/>
  <c r="BM21" i="2" s="1"/>
  <c r="BO22" i="2" a="1"/>
  <c r="BO22" i="2" s="1"/>
  <c r="BE24" i="2" a="1"/>
  <c r="BE24" i="2" s="1"/>
  <c r="BQ104" i="2" a="1"/>
  <c r="BQ104" i="2" s="1"/>
  <c r="BC86" i="2" a="1"/>
  <c r="BC86" i="2" s="1"/>
  <c r="BE98" i="2" a="1"/>
  <c r="BE98" i="2" s="1"/>
  <c r="BM96" i="2" a="1"/>
  <c r="BM96" i="2" s="1"/>
  <c r="BE52" i="2" a="1"/>
  <c r="BE52" i="2" s="1"/>
  <c r="BC69" i="2" a="1"/>
  <c r="BC69" i="2" s="1"/>
  <c r="BE66" i="2" a="1"/>
  <c r="BE66" i="2" s="1"/>
  <c r="BM102" i="2" a="1"/>
  <c r="BM102" i="2" s="1"/>
  <c r="BO104" i="2" a="1"/>
  <c r="BO104" i="2" s="1"/>
  <c r="BE88" i="2" a="1"/>
  <c r="BE88" i="2" s="1"/>
  <c r="BM84" i="2" s="1" a="1"/>
  <c r="BM84" i="2" s="1"/>
  <c r="BM86" i="2" a="1"/>
  <c r="BM86" i="2" s="1"/>
  <c r="BM78" i="2" a="1"/>
  <c r="BM78" i="2" s="1"/>
  <c r="BO77" i="2" a="1"/>
  <c r="BO77" i="2" s="1"/>
  <c r="BC51" i="2" a="1"/>
  <c r="BC51" i="2" s="1"/>
  <c r="BC32" i="2" a="1"/>
  <c r="BC32" i="2" s="1"/>
  <c r="BE69" i="2" a="1"/>
  <c r="BE69" i="2" s="1"/>
  <c r="BQ24" i="2" a="1"/>
  <c r="BQ24" i="2" s="1"/>
  <c r="BO85" i="2" a="1"/>
  <c r="BO85" i="2" s="1"/>
  <c r="BN93" i="2" a="1"/>
  <c r="BN93" i="2" s="1"/>
  <c r="BN96" i="2" a="1"/>
  <c r="BN96" i="2" s="1"/>
  <c r="BC48" i="2" a="1"/>
  <c r="BC48" i="2" s="1"/>
  <c r="BZ46" i="2" s="1" a="1"/>
  <c r="BZ46" i="2" s="1"/>
  <c r="BZ34" i="2" a="1"/>
  <c r="BZ34" i="2" s="1"/>
  <c r="BY34" i="2" s="1" a="1"/>
  <c r="BY34" i="2" s="1"/>
  <c r="CI33" i="2" s="1" a="1"/>
  <c r="CI33" i="2" s="1"/>
  <c r="CC30" i="2" a="1"/>
  <c r="CC30" i="2" s="1"/>
  <c r="CC34" i="2" a="1"/>
  <c r="CC34" i="2" s="1"/>
  <c r="BZ33" i="2" a="1"/>
  <c r="BZ33" i="2" s="1"/>
  <c r="BZ35" i="2" a="1"/>
  <c r="BZ35" i="2" s="1"/>
  <c r="CC32" i="2" a="1"/>
  <c r="CC32" i="2" s="1"/>
  <c r="CC31" i="2" a="1"/>
  <c r="CC31" i="2" s="1"/>
  <c r="BZ30" i="2" a="1"/>
  <c r="BZ30" i="2" s="1"/>
  <c r="BY30" i="2" s="1" a="1"/>
  <c r="BY30" i="2" s="1"/>
  <c r="BZ32" i="2" a="1"/>
  <c r="BZ32" i="2" s="1"/>
  <c r="CC35" i="2" a="1"/>
  <c r="CC35" i="2" s="1"/>
  <c r="BZ31" i="2" a="1"/>
  <c r="BZ31" i="2" s="1"/>
  <c r="BY31" i="2" s="1" a="1"/>
  <c r="BY31" i="2" s="1"/>
  <c r="CC33" i="2" a="1"/>
  <c r="CC33" i="2" s="1"/>
  <c r="BN30" i="2" a="1"/>
  <c r="BN30" i="2" s="1"/>
  <c r="BN31" i="2" a="1"/>
  <c r="BN31" i="2" s="1"/>
  <c r="BC22" i="2" a="1"/>
  <c r="BC22" i="2" s="1"/>
  <c r="BC60" i="2" a="1"/>
  <c r="BC60" i="2" s="1"/>
  <c r="BQ31" i="2" a="1"/>
  <c r="BQ31" i="2" s="1"/>
  <c r="BC87" i="2" a="1"/>
  <c r="BC87" i="2" s="1"/>
  <c r="BE95" i="2" a="1"/>
  <c r="BE95" i="2" s="1"/>
  <c r="BO95" i="2" s="1" a="1"/>
  <c r="BO95" i="2" s="1"/>
  <c r="BE49" i="2" a="1"/>
  <c r="BE49" i="2" s="1"/>
  <c r="BE31" i="2" a="1"/>
  <c r="BE31" i="2" s="1"/>
  <c r="BE16" i="2" a="1"/>
  <c r="BE16" i="2" s="1"/>
  <c r="BQ102" i="2" s="1" a="1"/>
  <c r="BQ102" i="2" s="1"/>
  <c r="CC15" i="2" l="1" a="1"/>
  <c r="CC15" i="2" s="1"/>
  <c r="BZ14" i="2" a="1"/>
  <c r="BZ14" i="2" s="1"/>
  <c r="CC13" i="2" a="1"/>
  <c r="CC13" i="2" s="1"/>
  <c r="BZ13" i="2" a="1"/>
  <c r="BZ13" i="2" s="1"/>
  <c r="BY13" i="2" s="1" a="1"/>
  <c r="BY13" i="2" s="1"/>
  <c r="CI14" i="2" s="1" a="1"/>
  <c r="CI14" i="2" s="1"/>
  <c r="CC17" i="2" a="1"/>
  <c r="CC17" i="2" s="1"/>
  <c r="BZ16" i="2" a="1"/>
  <c r="BZ16" i="2" s="1"/>
  <c r="BY16" i="2" s="1" a="1"/>
  <c r="BY16" i="2" s="1"/>
  <c r="CC12" i="2" a="1"/>
  <c r="CC12" i="2" s="1"/>
  <c r="CC14" i="2" a="1"/>
  <c r="CC14" i="2" s="1"/>
  <c r="BZ17" i="2" a="1"/>
  <c r="BZ17" i="2" s="1"/>
  <c r="CC16" i="2" a="1"/>
  <c r="CC16" i="2" s="1"/>
  <c r="BZ12" i="2" a="1"/>
  <c r="BZ12" i="2" s="1"/>
  <c r="BZ15" i="2" a="1"/>
  <c r="BZ15" i="2" s="1"/>
  <c r="BY15" i="2" s="1" a="1"/>
  <c r="BY15" i="2" s="1"/>
  <c r="BO32" i="2" a="1"/>
  <c r="BO32" i="2" s="1"/>
  <c r="BM33" i="2" a="1"/>
  <c r="BM33" i="2" s="1"/>
  <c r="BQ23" i="2" a="1"/>
  <c r="BQ23" i="2" s="1"/>
  <c r="BP23" i="2" s="1" a="1"/>
  <c r="BP23" i="2" s="1"/>
  <c r="BS23" i="2" s="1" a="1"/>
  <c r="BS23" i="2" s="1"/>
  <c r="BO51" i="2" a="1"/>
  <c r="BO51" i="2" s="1"/>
  <c r="BM50" i="2" a="1"/>
  <c r="BM50" i="2" s="1"/>
  <c r="BQ76" i="2" a="1"/>
  <c r="BQ76" i="2" s="1"/>
  <c r="BQ21" i="2" a="1"/>
  <c r="BQ21" i="2" s="1"/>
  <c r="BR49" i="2" a="1"/>
  <c r="BR49" i="2" s="1"/>
  <c r="BR13" i="2" a="1"/>
  <c r="BR13" i="2" s="1"/>
  <c r="BQ33" i="2" a="1"/>
  <c r="BQ33" i="2" s="1"/>
  <c r="BZ44" i="2" a="1"/>
  <c r="BZ44" i="2" s="1"/>
  <c r="BY44" i="2" s="1" a="1"/>
  <c r="BY44" i="2" s="1"/>
  <c r="CC40" i="2" a="1"/>
  <c r="CC40" i="2" s="1"/>
  <c r="BZ42" i="2" a="1"/>
  <c r="BZ42" i="2" s="1"/>
  <c r="BY42" i="2" s="1" a="1"/>
  <c r="BY42" i="2" s="1"/>
  <c r="BZ43" i="2" a="1"/>
  <c r="BZ43" i="2" s="1"/>
  <c r="BY43" i="2" s="1" a="1"/>
  <c r="BY43" i="2" s="1"/>
  <c r="CI42" i="2" s="1" a="1"/>
  <c r="CI42" i="2" s="1"/>
  <c r="CC42" i="2" a="1"/>
  <c r="CC42" i="2" s="1"/>
  <c r="CC39" i="2" a="1"/>
  <c r="CC39" i="2" s="1"/>
  <c r="BZ41" i="2" a="1"/>
  <c r="BZ41" i="2" s="1"/>
  <c r="BY41" i="2" s="1" a="1"/>
  <c r="BY41" i="2" s="1"/>
  <c r="CI41" i="2" s="1" a="1"/>
  <c r="CI41" i="2" s="1"/>
  <c r="CC41" i="2" a="1"/>
  <c r="CC41" i="2" s="1"/>
  <c r="BZ39" i="2" a="1"/>
  <c r="BZ39" i="2" s="1"/>
  <c r="CC43" i="2" a="1"/>
  <c r="CC43" i="2" s="1"/>
  <c r="BZ40" i="2" a="1"/>
  <c r="BZ40" i="2" s="1"/>
  <c r="CC44" i="2" a="1"/>
  <c r="CC44" i="2" s="1"/>
  <c r="BL67" i="2" a="1"/>
  <c r="BL67" i="2" s="1"/>
  <c r="BT67" i="2" s="1" a="1"/>
  <c r="BT67" i="2" s="1"/>
  <c r="BR58" i="2" a="1"/>
  <c r="BR58" i="2" s="1"/>
  <c r="BR75" i="2" a="1"/>
  <c r="BR75" i="2" s="1"/>
  <c r="BQ69" i="2" a="1"/>
  <c r="BQ69" i="2" s="1"/>
  <c r="BP69" i="2" s="1" a="1"/>
  <c r="BP69" i="2" s="1"/>
  <c r="BQ75" i="2" a="1"/>
  <c r="BQ75" i="2" s="1"/>
  <c r="CI24" i="2" a="1"/>
  <c r="CI24" i="2" s="1"/>
  <c r="BL49" i="2" a="1"/>
  <c r="BL49" i="2" s="1"/>
  <c r="CC52" i="2" a="1"/>
  <c r="CC52" i="2" s="1"/>
  <c r="CC50" i="2" a="1"/>
  <c r="CC50" i="2" s="1"/>
  <c r="BZ51" i="2" a="1"/>
  <c r="BZ51" i="2" s="1"/>
  <c r="CC49" i="2" a="1"/>
  <c r="CC49" i="2" s="1"/>
  <c r="BZ53" i="2" a="1"/>
  <c r="BZ53" i="2" s="1"/>
  <c r="BZ49" i="2" a="1"/>
  <c r="BZ49" i="2" s="1"/>
  <c r="BY49" i="2" s="1" a="1"/>
  <c r="BY49" i="2" s="1"/>
  <c r="CC48" i="2" a="1"/>
  <c r="CC48" i="2" s="1"/>
  <c r="CC53" i="2" a="1"/>
  <c r="CC53" i="2" s="1"/>
  <c r="BZ50" i="2" a="1"/>
  <c r="BZ50" i="2" s="1"/>
  <c r="BY50" i="2" s="1" a="1"/>
  <c r="BY50" i="2" s="1"/>
  <c r="CI50" i="2" s="1" a="1"/>
  <c r="CI50" i="2" s="1"/>
  <c r="BZ52" i="2" a="1"/>
  <c r="BZ52" i="2" s="1"/>
  <c r="BY52" i="2" s="1" a="1"/>
  <c r="BY52" i="2" s="1"/>
  <c r="CC51" i="2" a="1"/>
  <c r="CC51" i="2" s="1"/>
  <c r="BZ48" i="2" a="1"/>
  <c r="BZ48" i="2" s="1"/>
  <c r="BR68" i="2" a="1"/>
  <c r="BR68" i="2" s="1"/>
  <c r="BO87" i="2" a="1"/>
  <c r="BO87" i="2" s="1"/>
  <c r="BQ5" i="2" a="1"/>
  <c r="BQ5" i="2" s="1"/>
  <c r="BQ94" i="2" a="1"/>
  <c r="BQ94" i="2" s="1"/>
  <c r="BR31" i="2" a="1"/>
  <c r="BR31" i="2" s="1"/>
  <c r="BP31" i="2" s="1" a="1"/>
  <c r="BP31" i="2" s="1"/>
  <c r="BS31" i="2" s="1" a="1"/>
  <c r="BS31" i="2" s="1"/>
  <c r="BO105" i="2" a="1"/>
  <c r="BO105" i="2" s="1"/>
  <c r="BM104" i="2" a="1"/>
  <c r="BM104" i="2" s="1"/>
  <c r="BL32" i="2" a="1"/>
  <c r="BL32" i="2" s="1"/>
  <c r="BT32" i="2" s="1" a="1"/>
  <c r="BT32" i="2" s="1"/>
  <c r="BQ40" i="2" a="1"/>
  <c r="BQ40" i="2" s="1"/>
  <c r="BQ50" i="2" a="1"/>
  <c r="BQ50" i="2" s="1"/>
  <c r="BR66" i="2" a="1"/>
  <c r="BR66" i="2" s="1"/>
  <c r="BR41" i="2" a="1"/>
  <c r="BR41" i="2" s="1"/>
  <c r="BY26" i="2" a="1"/>
  <c r="BY26" i="2" s="1"/>
  <c r="BR6" i="2" a="1"/>
  <c r="BR6" i="2" s="1"/>
  <c r="BR69" i="2" a="1"/>
  <c r="BR69" i="2" s="1"/>
  <c r="BR50" i="2" a="1"/>
  <c r="BR50" i="2" s="1"/>
  <c r="BQ12" i="2" a="1"/>
  <c r="BQ12" i="2" s="1"/>
  <c r="BP12" i="2" s="1" a="1"/>
  <c r="BP12" i="2" s="1"/>
  <c r="BL105" i="2" a="1"/>
  <c r="BL105" i="2" s="1"/>
  <c r="BT105" i="2" s="1" a="1"/>
  <c r="BT105" i="2" s="1"/>
  <c r="BR39" i="2" a="1"/>
  <c r="BR39" i="2" s="1"/>
  <c r="BY32" i="2" a="1"/>
  <c r="BY32" i="2" s="1"/>
  <c r="CH33" i="2" s="1" a="1"/>
  <c r="CH33" i="2" s="1"/>
  <c r="BR33" i="2" a="1"/>
  <c r="BR33" i="2" s="1"/>
  <c r="BN49" i="2" a="1"/>
  <c r="BN49" i="2" s="1"/>
  <c r="BN50" i="2" a="1"/>
  <c r="BN50" i="2" s="1"/>
  <c r="BL24" i="2" a="1"/>
  <c r="BL24" i="2" s="1"/>
  <c r="BT24" i="2" s="1" a="1"/>
  <c r="BT24" i="2" s="1"/>
  <c r="BY93" i="2" a="1"/>
  <c r="BY93" i="2" s="1"/>
  <c r="BR32" i="2" a="1"/>
  <c r="BR32" i="2" s="1"/>
  <c r="BR59" i="2" a="1"/>
  <c r="BR59" i="2" s="1"/>
  <c r="BL5" i="2" a="1"/>
  <c r="BL5" i="2" s="1"/>
  <c r="BR21" i="2" a="1"/>
  <c r="BR21" i="2" s="1"/>
  <c r="BL31" i="2" a="1"/>
  <c r="BL31" i="2" s="1"/>
  <c r="BT31" i="2" s="1" a="1"/>
  <c r="BT31" i="2" s="1"/>
  <c r="BY7" i="2" a="1"/>
  <c r="BY7" i="2" s="1"/>
  <c r="CI6" i="2" s="1" a="1"/>
  <c r="CI6" i="2" s="1"/>
  <c r="BM93" i="2" a="1"/>
  <c r="BM93" i="2" s="1"/>
  <c r="BO94" i="2" a="1"/>
  <c r="BO94" i="2" s="1"/>
  <c r="BQ68" i="2" a="1"/>
  <c r="BQ68" i="2" s="1"/>
  <c r="BP68" i="2" s="1" a="1"/>
  <c r="BP68" i="2" s="1"/>
  <c r="BS68" i="2" s="1" a="1"/>
  <c r="BS68" i="2" s="1"/>
  <c r="BL6" i="2" a="1"/>
  <c r="BL6" i="2" s="1"/>
  <c r="BL102" i="2" a="1"/>
  <c r="BL102" i="2" s="1"/>
  <c r="BT102" i="2" s="1" a="1"/>
  <c r="BT102" i="2" s="1"/>
  <c r="BL75" i="2" a="1"/>
  <c r="BL75" i="2" s="1"/>
  <c r="BT75" i="2" s="1" a="1"/>
  <c r="BT75" i="2" s="1"/>
  <c r="CH95" i="2" a="1"/>
  <c r="CH95" i="2" s="1"/>
  <c r="CH94" i="2" a="1"/>
  <c r="CH94" i="2" s="1"/>
  <c r="BL86" i="2" a="1"/>
  <c r="BL86" i="2" s="1"/>
  <c r="BR102" i="2" a="1"/>
  <c r="BR102" i="2" s="1"/>
  <c r="BP102" i="2" s="1" a="1"/>
  <c r="BP102" i="2" s="1"/>
  <c r="BS102" i="2" s="1" a="1"/>
  <c r="BS102" i="2" s="1"/>
  <c r="BL76" i="2" a="1"/>
  <c r="BL76" i="2" s="1"/>
  <c r="BR12" i="2" a="1"/>
  <c r="BR12" i="2" s="1"/>
  <c r="CI4" i="2" a="1"/>
  <c r="CI4" i="2" s="1"/>
  <c r="BM66" i="2" a="1"/>
  <c r="BM66" i="2" s="1"/>
  <c r="BO67" i="2" a="1"/>
  <c r="BO67" i="2" s="1"/>
  <c r="BL22" i="2" a="1"/>
  <c r="BL22" i="2" s="1"/>
  <c r="BT22" i="2" s="1" a="1"/>
  <c r="BT22" i="2" s="1"/>
  <c r="BQ87" i="2" a="1"/>
  <c r="BQ87" i="2" s="1"/>
  <c r="BP87" i="2" s="1" a="1"/>
  <c r="BP87" i="2" s="1"/>
  <c r="BS87" i="2" s="1" a="1"/>
  <c r="BS87" i="2" s="1"/>
  <c r="BL30" i="2" a="1"/>
  <c r="BL30" i="2" s="1"/>
  <c r="BT30" i="2" s="1" a="1"/>
  <c r="BT30" i="2" s="1"/>
  <c r="BQ39" i="2" a="1"/>
  <c r="BQ39" i="2" s="1"/>
  <c r="BP39" i="2" s="1" a="1"/>
  <c r="BP39" i="2" s="1"/>
  <c r="BS39" i="2" s="1" a="1"/>
  <c r="BS39" i="2" s="1"/>
  <c r="CC89" i="2" a="1"/>
  <c r="CC89" i="2" s="1"/>
  <c r="BZ85" i="2" a="1"/>
  <c r="BZ85" i="2" s="1"/>
  <c r="BY85" i="2" s="1" a="1"/>
  <c r="BY85" i="2" s="1"/>
  <c r="CC86" i="2" a="1"/>
  <c r="CC86" i="2" s="1"/>
  <c r="CC88" i="2" a="1"/>
  <c r="CC88" i="2" s="1"/>
  <c r="BZ88" i="2" a="1"/>
  <c r="BZ88" i="2" s="1"/>
  <c r="BY88" i="2" s="1" a="1"/>
  <c r="BY88" i="2" s="1"/>
  <c r="CC85" i="2" a="1"/>
  <c r="CC85" i="2" s="1"/>
  <c r="BZ89" i="2" a="1"/>
  <c r="BZ89" i="2" s="1"/>
  <c r="CC87" i="2" a="1"/>
  <c r="CC87" i="2" s="1"/>
  <c r="BZ87" i="2" a="1"/>
  <c r="BZ87" i="2" s="1"/>
  <c r="BY87" i="2" s="1" a="1"/>
  <c r="BY87" i="2" s="1"/>
  <c r="CC84" i="2" a="1"/>
  <c r="CC84" i="2" s="1"/>
  <c r="BZ84" i="2" a="1"/>
  <c r="BZ84" i="2" s="1"/>
  <c r="BY84" i="2" s="1" a="1"/>
  <c r="BY84" i="2" s="1"/>
  <c r="CI85" i="2" s="1" a="1"/>
  <c r="CI85" i="2" s="1"/>
  <c r="BZ86" i="2" a="1"/>
  <c r="BZ86" i="2" s="1"/>
  <c r="BY86" i="2" s="1" a="1"/>
  <c r="BY86" i="2" s="1"/>
  <c r="CI86" i="2" s="1" a="1"/>
  <c r="CI86" i="2" s="1"/>
  <c r="BZ55" i="2" a="1"/>
  <c r="BZ55" i="2" s="1"/>
  <c r="BR84" i="2" a="1"/>
  <c r="BR84" i="2" s="1"/>
  <c r="BO14" i="2" a="1"/>
  <c r="BO14" i="2" s="1"/>
  <c r="BM15" i="2" a="1"/>
  <c r="BM15" i="2" s="1"/>
  <c r="BR95" i="2" a="1"/>
  <c r="BR95" i="2" s="1"/>
  <c r="BL42" i="2" a="1"/>
  <c r="BL42" i="2" s="1"/>
  <c r="BL84" i="2" a="1"/>
  <c r="BL84" i="2" s="1"/>
  <c r="BT84" i="2" s="1" a="1"/>
  <c r="BT84" i="2" s="1"/>
  <c r="BL40" i="2" a="1"/>
  <c r="BL40" i="2" s="1"/>
  <c r="BT40" i="2" s="1" a="1"/>
  <c r="BT40" i="2" s="1"/>
  <c r="BQ57" i="2" a="1"/>
  <c r="BQ57" i="2" s="1"/>
  <c r="BQ59" i="2" a="1"/>
  <c r="BQ59" i="2" s="1"/>
  <c r="BP59" i="2" s="1" a="1"/>
  <c r="BP59" i="2" s="1"/>
  <c r="BS59" i="2" s="1" a="1"/>
  <c r="BS59" i="2" s="1"/>
  <c r="BL12" i="2" a="1"/>
  <c r="BL12" i="2" s="1"/>
  <c r="BT12" i="2" s="1" a="1"/>
  <c r="BT12" i="2" s="1"/>
  <c r="BQ60" i="2" a="1"/>
  <c r="BQ60" i="2" s="1"/>
  <c r="BL4" i="2" a="1"/>
  <c r="BL4" i="2" s="1"/>
  <c r="BT4" i="2" s="1" a="1"/>
  <c r="BT4" i="2" s="1"/>
  <c r="BQ22" i="2" a="1"/>
  <c r="BQ22" i="2" s="1"/>
  <c r="BQ103" i="2" a="1"/>
  <c r="BQ103" i="2" s="1"/>
  <c r="BQ6" i="2" a="1"/>
  <c r="BQ6" i="2" s="1"/>
  <c r="BP6" i="2" s="1" a="1"/>
  <c r="BP6" i="2" s="1"/>
  <c r="BS6" i="2" s="1" a="1"/>
  <c r="BS6" i="2" s="1"/>
  <c r="BL69" i="2" a="1"/>
  <c r="BL69" i="2" s="1"/>
  <c r="BL50" i="2" a="1"/>
  <c r="BL50" i="2" s="1"/>
  <c r="BL57" i="2" a="1"/>
  <c r="BL57" i="2" s="1"/>
  <c r="BR76" i="2" a="1"/>
  <c r="BR76" i="2" s="1"/>
  <c r="BR104" i="2" a="1"/>
  <c r="BR104" i="2" s="1"/>
  <c r="BQ49" i="2" a="1"/>
  <c r="BQ49" i="2" s="1"/>
  <c r="BP49" i="2" s="1" a="1"/>
  <c r="BP49" i="2" s="1"/>
  <c r="BR103" i="2" a="1"/>
  <c r="BR103" i="2" s="1"/>
  <c r="BQ3" i="2" a="1"/>
  <c r="BQ3" i="2" s="1"/>
  <c r="BP3" i="2" s="1" a="1"/>
  <c r="BP3" i="2" s="1"/>
  <c r="BS3" i="2" s="1" a="1"/>
  <c r="BS3" i="2" s="1"/>
  <c r="BL39" i="2" a="1"/>
  <c r="BL39" i="2" s="1"/>
  <c r="BT39" i="2" s="1" a="1"/>
  <c r="BT39" i="2" s="1"/>
  <c r="BL96" i="2" a="1"/>
  <c r="BL96" i="2" s="1"/>
  <c r="BT96" i="2" s="1" a="1"/>
  <c r="BT96" i="2" s="1"/>
  <c r="BQ86" i="2" a="1"/>
  <c r="BQ86" i="2" s="1"/>
  <c r="BL78" i="2" a="1"/>
  <c r="BL78" i="2" s="1"/>
  <c r="BQ95" i="2" a="1"/>
  <c r="BQ95" i="2" s="1"/>
  <c r="BP95" i="2" s="1" a="1"/>
  <c r="BP95" i="2" s="1"/>
  <c r="BL23" i="2" a="1"/>
  <c r="BL23" i="2" s="1"/>
  <c r="BT23" i="2" s="1" a="1"/>
  <c r="BT23" i="2" s="1"/>
  <c r="BR48" i="2" a="1"/>
  <c r="BR48" i="2" s="1"/>
  <c r="BN85" i="2" a="1"/>
  <c r="BN85" i="2" s="1"/>
  <c r="BN86" i="2" a="1"/>
  <c r="BN86" i="2" s="1"/>
  <c r="BR77" i="2" a="1"/>
  <c r="BR77" i="2" s="1"/>
  <c r="BR94" i="2" a="1"/>
  <c r="BR94" i="2" s="1"/>
  <c r="BP104" i="2" a="1"/>
  <c r="BP104" i="2" s="1"/>
  <c r="BR87" i="2" a="1"/>
  <c r="BR87" i="2" s="1"/>
  <c r="BL94" i="2" a="1"/>
  <c r="BL94" i="2" s="1"/>
  <c r="BL48" i="2" a="1"/>
  <c r="BL48" i="2" s="1"/>
  <c r="BT48" i="2" s="1" a="1"/>
  <c r="BT48" i="2" s="1"/>
  <c r="BR23" i="2" a="1"/>
  <c r="BR23" i="2" s="1"/>
  <c r="BR42" i="2" a="1"/>
  <c r="BR42" i="2" s="1"/>
  <c r="CH30" i="2" a="1"/>
  <c r="CH30" i="2" s="1"/>
  <c r="CH31" i="2" a="1"/>
  <c r="CH31" i="2" s="1"/>
  <c r="BR51" i="2" a="1"/>
  <c r="BR51" i="2" s="1"/>
  <c r="BL59" i="2" a="1"/>
  <c r="BL59" i="2" s="1"/>
  <c r="BT59" i="2" s="1" a="1"/>
  <c r="BT59" i="2" s="1"/>
  <c r="BN94" i="2" a="1"/>
  <c r="BN94" i="2" s="1"/>
  <c r="BN95" i="2" a="1"/>
  <c r="BN95" i="2" s="1"/>
  <c r="BS95" i="2" s="1" a="1"/>
  <c r="BS95" i="2" s="1"/>
  <c r="BR15" i="2" a="1"/>
  <c r="BR15" i="2" s="1"/>
  <c r="BL21" i="2" a="1"/>
  <c r="BL21" i="2" s="1"/>
  <c r="BT21" i="2" s="1" a="1"/>
  <c r="BT21" i="2" s="1"/>
  <c r="BZ105" i="2" a="1"/>
  <c r="BZ105" i="2" s="1"/>
  <c r="BY105" i="2" s="1" a="1"/>
  <c r="BY105" i="2" s="1"/>
  <c r="CC103" i="2" a="1"/>
  <c r="CC103" i="2" s="1"/>
  <c r="CC105" i="2" a="1"/>
  <c r="CC105" i="2" s="1"/>
  <c r="BZ106" i="2" a="1"/>
  <c r="BZ106" i="2" s="1"/>
  <c r="BZ107" i="2" a="1"/>
  <c r="BZ107" i="2" s="1"/>
  <c r="BZ103" i="2" a="1"/>
  <c r="BZ103" i="2" s="1"/>
  <c r="BZ104" i="2" a="1"/>
  <c r="BZ104" i="2" s="1"/>
  <c r="CC104" i="2" a="1"/>
  <c r="CC104" i="2" s="1"/>
  <c r="BZ102" i="2" a="1"/>
  <c r="BZ102" i="2" s="1"/>
  <c r="CC107" i="2" a="1"/>
  <c r="CC107" i="2" s="1"/>
  <c r="CC102" i="2" a="1"/>
  <c r="CC102" i="2" s="1"/>
  <c r="CC106" i="2" a="1"/>
  <c r="CC106" i="2" s="1"/>
  <c r="BZ64" i="2" a="1"/>
  <c r="BZ64" i="2" s="1"/>
  <c r="BR14" i="2" a="1"/>
  <c r="BR14" i="2" s="1"/>
  <c r="BY22" i="2" a="1"/>
  <c r="BY22" i="2" s="1"/>
  <c r="CI23" i="2" s="1" a="1"/>
  <c r="CI23" i="2" s="1"/>
  <c r="BR40" i="2" a="1"/>
  <c r="BR40" i="2" s="1"/>
  <c r="BQ78" i="2" a="1"/>
  <c r="BQ78" i="2" s="1"/>
  <c r="BO68" i="2" a="1"/>
  <c r="BO68" i="2" s="1"/>
  <c r="BM69" i="2" a="1"/>
  <c r="BM69" i="2" s="1"/>
  <c r="CI95" i="2" a="1"/>
  <c r="CI95" i="2" s="1"/>
  <c r="BL13" i="2" a="1"/>
  <c r="BL13" i="2" s="1"/>
  <c r="CH93" i="2" a="1"/>
  <c r="CH93" i="2" s="1"/>
  <c r="CH96" i="2" a="1"/>
  <c r="CH96" i="2" s="1"/>
  <c r="BL33" i="2" a="1"/>
  <c r="BL33" i="2" s="1"/>
  <c r="BT33" i="2" s="1" a="1"/>
  <c r="BT33" i="2" s="1"/>
  <c r="BY35" i="2" a="1"/>
  <c r="BY35" i="2" s="1"/>
  <c r="BQ58" i="2" a="1"/>
  <c r="BQ58" i="2" s="1"/>
  <c r="BQ30" i="2" a="1"/>
  <c r="BQ30" i="2" s="1"/>
  <c r="BL87" i="2" a="1"/>
  <c r="BL87" i="2" s="1"/>
  <c r="BT87" i="2" s="1" a="1"/>
  <c r="BT87" i="2" s="1"/>
  <c r="BY96" i="2" a="1"/>
  <c r="BY96" i="2" s="1"/>
  <c r="BL66" i="2" a="1"/>
  <c r="BL66" i="2" s="1"/>
  <c r="BN66" i="2" a="1"/>
  <c r="BN66" i="2" s="1"/>
  <c r="BN69" i="2" a="1"/>
  <c r="BN69" i="2" s="1"/>
  <c r="BR24" i="2" a="1"/>
  <c r="BR24" i="2" s="1"/>
  <c r="BP24" i="2" s="1" a="1"/>
  <c r="BP24" i="2" s="1"/>
  <c r="BS24" i="2" s="1" a="1"/>
  <c r="BS24" i="2" s="1"/>
  <c r="BR57" i="2" a="1"/>
  <c r="BR57" i="2" s="1"/>
  <c r="BR30" i="2" a="1"/>
  <c r="BR30" i="2" s="1"/>
  <c r="BL104" i="2" a="1"/>
  <c r="BL104" i="2" s="1"/>
  <c r="BT104" i="2" s="1" a="1"/>
  <c r="BT104" i="2" s="1"/>
  <c r="BQ42" i="2" a="1"/>
  <c r="BQ42" i="2" s="1"/>
  <c r="BP42" i="2" s="1" a="1"/>
  <c r="BP42" i="2" s="1"/>
  <c r="BS42" i="2" s="1" a="1"/>
  <c r="BS42" i="2" s="1"/>
  <c r="BZ79" i="2" a="1"/>
  <c r="BZ79" i="2" s="1"/>
  <c r="CC77" i="2" a="1"/>
  <c r="CC77" i="2" s="1"/>
  <c r="BZ78" i="2" a="1"/>
  <c r="BZ78" i="2" s="1"/>
  <c r="BZ76" i="2" a="1"/>
  <c r="BZ76" i="2" s="1"/>
  <c r="BY76" i="2" s="1" a="1"/>
  <c r="BY76" i="2" s="1"/>
  <c r="CC76" i="2" a="1"/>
  <c r="CC76" i="2" s="1"/>
  <c r="CC80" i="2" a="1"/>
  <c r="CC80" i="2" s="1"/>
  <c r="CC78" i="2" a="1"/>
  <c r="CC78" i="2" s="1"/>
  <c r="CC79" i="2" a="1"/>
  <c r="CC79" i="2" s="1"/>
  <c r="CC75" i="2" a="1"/>
  <c r="CC75" i="2" s="1"/>
  <c r="BZ80" i="2" a="1"/>
  <c r="BZ80" i="2" s="1"/>
  <c r="BY80" i="2" s="1" a="1"/>
  <c r="BY80" i="2" s="1"/>
  <c r="BZ75" i="2" a="1"/>
  <c r="BZ75" i="2" s="1"/>
  <c r="BZ77" i="2" a="1"/>
  <c r="BZ77" i="2" s="1"/>
  <c r="BY77" i="2" s="1" a="1"/>
  <c r="BY77" i="2" s="1"/>
  <c r="BQ77" i="2" a="1"/>
  <c r="BQ77" i="2" s="1"/>
  <c r="BL93" i="2" a="1"/>
  <c r="BL93" i="2" s="1"/>
  <c r="BT93" i="2" s="1" a="1"/>
  <c r="BT93" i="2" s="1"/>
  <c r="BM22" i="2" a="1"/>
  <c r="BM22" i="2" s="1"/>
  <c r="BO24" i="2" a="1"/>
  <c r="BO24" i="2" s="1"/>
  <c r="BQ4" i="2" a="1"/>
  <c r="BQ4" i="2" s="1"/>
  <c r="BQ85" i="2" a="1"/>
  <c r="BQ85" i="2" s="1"/>
  <c r="BQ41" i="2" a="1"/>
  <c r="BQ41" i="2" s="1"/>
  <c r="BP41" i="2" s="1" a="1"/>
  <c r="BP41" i="2" s="1"/>
  <c r="BS41" i="2" s="1" a="1"/>
  <c r="BS41" i="2" s="1"/>
  <c r="BR93" i="2" a="1"/>
  <c r="BR93" i="2" s="1"/>
  <c r="BS49" i="2" a="1"/>
  <c r="BS49" i="2" s="1"/>
  <c r="BQ67" i="2" a="1"/>
  <c r="BQ67" i="2" s="1"/>
  <c r="BP67" i="2" s="1" a="1"/>
  <c r="BP67" i="2" s="1"/>
  <c r="BS67" i="2" s="1" a="1"/>
  <c r="BS67" i="2" s="1"/>
  <c r="BQ13" i="2" a="1"/>
  <c r="BQ13" i="2" s="1"/>
  <c r="BP13" i="2" s="1" a="1"/>
  <c r="BP13" i="2" s="1"/>
  <c r="BS13" i="2" s="1" a="1"/>
  <c r="BS13" i="2" s="1"/>
  <c r="BL95" i="2" a="1"/>
  <c r="BL95" i="2" s="1"/>
  <c r="BR96" i="2" a="1"/>
  <c r="BR96" i="2" s="1"/>
  <c r="BL58" i="2" a="1"/>
  <c r="BL58" i="2" s="1"/>
  <c r="BQ32" i="2" a="1"/>
  <c r="BQ32" i="2" s="1"/>
  <c r="BP32" i="2" s="1" a="1"/>
  <c r="BP32" i="2" s="1"/>
  <c r="BS32" i="2" s="1" a="1"/>
  <c r="BS32" i="2" s="1"/>
  <c r="BR22" i="2" a="1"/>
  <c r="BR22" i="2" s="1"/>
  <c r="BQ105" i="2" a="1"/>
  <c r="BQ105" i="2" s="1"/>
  <c r="BQ96" i="2" a="1"/>
  <c r="BQ96" i="2" s="1"/>
  <c r="BP96" i="2" s="1" a="1"/>
  <c r="BP96" i="2" s="1"/>
  <c r="BS96" i="2" s="1" a="1"/>
  <c r="BS96" i="2" s="1"/>
  <c r="BR60" i="2" a="1"/>
  <c r="BR60" i="2" s="1"/>
  <c r="BN12" i="2" a="1"/>
  <c r="BN12" i="2" s="1"/>
  <c r="BS12" i="2" s="1" a="1"/>
  <c r="BS12" i="2" s="1"/>
  <c r="BN15" i="2" a="1"/>
  <c r="BN15" i="2" s="1"/>
  <c r="BR3" i="2" a="1"/>
  <c r="BR3" i="2" s="1"/>
  <c r="BR67" i="2" a="1"/>
  <c r="BR67" i="2" s="1"/>
  <c r="BY33" i="2" a="1"/>
  <c r="BY33" i="2" s="1"/>
  <c r="CI32" i="2" s="1" a="1"/>
  <c r="CI32" i="2" s="1"/>
  <c r="BQ66" i="2" a="1"/>
  <c r="BQ66" i="2" s="1"/>
  <c r="BP66" i="2" s="1" a="1"/>
  <c r="BP66" i="2" s="1"/>
  <c r="BL60" i="2" a="1"/>
  <c r="BL60" i="2" s="1"/>
  <c r="BT60" i="2" s="1" a="1"/>
  <c r="BT60" i="2" s="1"/>
  <c r="BQ84" i="2" a="1"/>
  <c r="BQ84" i="2" s="1"/>
  <c r="BP84" i="2" s="1" a="1"/>
  <c r="BP84" i="2" s="1"/>
  <c r="BS84" i="2" s="1" a="1"/>
  <c r="BS84" i="2" s="1"/>
  <c r="BL3" i="2" a="1"/>
  <c r="BL3" i="2" s="1"/>
  <c r="BT3" i="2" s="1" a="1"/>
  <c r="BT3" i="2" s="1"/>
  <c r="BR86" i="2" a="1"/>
  <c r="BR86" i="2" s="1"/>
  <c r="BR4" i="2" a="1"/>
  <c r="BR4" i="2" s="1"/>
  <c r="BQ51" i="2" a="1"/>
  <c r="BQ51" i="2" s="1"/>
  <c r="BP51" i="2" s="1" a="1"/>
  <c r="BP51" i="2" s="1"/>
  <c r="BS51" i="2" s="1" a="1"/>
  <c r="BS51" i="2" s="1"/>
  <c r="BQ48" i="2" a="1"/>
  <c r="BQ48" i="2" s="1"/>
  <c r="BP48" i="2" s="1" a="1"/>
  <c r="BP48" i="2" s="1"/>
  <c r="BN103" i="2" a="1"/>
  <c r="BN103" i="2" s="1"/>
  <c r="BN104" i="2" a="1"/>
  <c r="BN104" i="2" s="1"/>
  <c r="BL77" i="2" a="1"/>
  <c r="BL77" i="2" s="1"/>
  <c r="BT77" i="2" s="1" a="1"/>
  <c r="BT77" i="2" s="1"/>
  <c r="BL103" i="2" a="1"/>
  <c r="BL103" i="2" s="1"/>
  <c r="BT103" i="2" s="1" a="1"/>
  <c r="BT103" i="2" s="1"/>
  <c r="BO49" i="2" a="1"/>
  <c r="BO49" i="2" s="1"/>
  <c r="BM48" i="2" a="1"/>
  <c r="BM48" i="2" s="1"/>
  <c r="BL15" i="2" a="1"/>
  <c r="BL15" i="2" s="1"/>
  <c r="BT15" i="2" s="1" a="1"/>
  <c r="BT15" i="2" s="1"/>
  <c r="BY4" i="2" a="1"/>
  <c r="BY4" i="2" s="1"/>
  <c r="BR105" i="2" a="1"/>
  <c r="BR105" i="2" s="1"/>
  <c r="BR5" i="2" a="1"/>
  <c r="BR5" i="2" s="1"/>
  <c r="BQ15" i="2" a="1"/>
  <c r="BQ15" i="2" s="1"/>
  <c r="BQ93" i="2" a="1"/>
  <c r="BQ93" i="2" s="1"/>
  <c r="BR78" i="2" a="1"/>
  <c r="BR78" i="2" s="1"/>
  <c r="BL68" i="2" a="1"/>
  <c r="BL68" i="2" s="1"/>
  <c r="BT68" i="2" s="1" a="1"/>
  <c r="BT68" i="2" s="1"/>
  <c r="BL51" i="2" a="1"/>
  <c r="BL51" i="2" s="1"/>
  <c r="BT51" i="2" s="1" a="1"/>
  <c r="BT51" i="2" s="1"/>
  <c r="BL14" i="2" a="1"/>
  <c r="BL14" i="2" s="1"/>
  <c r="BQ14" i="2" a="1"/>
  <c r="BQ14" i="2" s="1"/>
  <c r="BP14" i="2" s="1" a="1"/>
  <c r="BP14" i="2" s="1"/>
  <c r="BS14" i="2" s="1" a="1"/>
  <c r="BS14" i="2" s="1"/>
  <c r="BL85" i="2" a="1"/>
  <c r="BL85" i="2" s="1"/>
  <c r="BR85" i="2" a="1"/>
  <c r="BR85" i="2" s="1"/>
  <c r="BV39" i="2" l="1" a="1"/>
  <c r="BV39" i="2" s="1"/>
  <c r="BT42" i="2" s="1" a="1"/>
  <c r="BT42" i="2" s="1"/>
  <c r="BP60" i="2" a="1"/>
  <c r="BP60" i="2" s="1"/>
  <c r="BS60" i="2" s="1" a="1"/>
  <c r="BS60" i="2" s="1"/>
  <c r="BP93" i="2" a="1"/>
  <c r="BP93" i="2" s="1"/>
  <c r="BZ66" i="2" a="1"/>
  <c r="BZ66" i="2" s="1"/>
  <c r="BY66" i="2" s="1" a="1"/>
  <c r="BY66" i="2" s="1"/>
  <c r="BZ68" i="2" a="1"/>
  <c r="BZ68" i="2" s="1"/>
  <c r="BY68" i="2" s="1" a="1"/>
  <c r="BY68" i="2" s="1"/>
  <c r="CC68" i="2" a="1"/>
  <c r="CC68" i="2" s="1"/>
  <c r="CC70" i="2" a="1"/>
  <c r="CC70" i="2" s="1"/>
  <c r="CC69" i="2" a="1"/>
  <c r="CC69" i="2" s="1"/>
  <c r="CC71" i="2" a="1"/>
  <c r="CC71" i="2" s="1"/>
  <c r="BZ71" i="2" a="1"/>
  <c r="BZ71" i="2" s="1"/>
  <c r="BY71" i="2" s="1" a="1"/>
  <c r="BY71" i="2" s="1"/>
  <c r="BZ67" i="2" a="1"/>
  <c r="BZ67" i="2" s="1"/>
  <c r="BY67" i="2" s="1" a="1"/>
  <c r="BY67" i="2" s="1"/>
  <c r="CI68" i="2" s="1" a="1"/>
  <c r="CI68" i="2" s="1"/>
  <c r="BZ70" i="2" a="1"/>
  <c r="BZ70" i="2" s="1"/>
  <c r="BY70" i="2" s="1" a="1"/>
  <c r="BY70" i="2" s="1"/>
  <c r="CC67" i="2" a="1"/>
  <c r="CC67" i="2" s="1"/>
  <c r="BZ69" i="2" a="1"/>
  <c r="BZ69" i="2" s="1"/>
  <c r="CC66" i="2" a="1"/>
  <c r="CC66" i="2" s="1"/>
  <c r="BP22" i="2" a="1"/>
  <c r="BP22" i="2" s="1"/>
  <c r="CI87" i="2" a="1"/>
  <c r="CI87" i="2" s="1"/>
  <c r="BP50" i="2" a="1"/>
  <c r="BP50" i="2" s="1"/>
  <c r="CH49" i="2" a="1"/>
  <c r="CH49" i="2" s="1"/>
  <c r="CH50" i="2" a="1"/>
  <c r="CH50" i="2" s="1"/>
  <c r="BP75" i="2" a="1"/>
  <c r="BP75" i="2" s="1"/>
  <c r="BS75" i="2" s="1" a="1"/>
  <c r="BS75" i="2" s="1"/>
  <c r="BP76" i="2" a="1"/>
  <c r="BP76" i="2" s="1"/>
  <c r="BS76" i="2" s="1" a="1"/>
  <c r="BS76" i="2" s="1"/>
  <c r="BY17" i="2" a="1"/>
  <c r="BY17" i="2" s="1"/>
  <c r="BS104" i="2" a="1"/>
  <c r="BS104" i="2" s="1"/>
  <c r="BP105" i="2" a="1"/>
  <c r="BP105" i="2" s="1"/>
  <c r="BS105" i="2" s="1" a="1"/>
  <c r="BS105" i="2" s="1"/>
  <c r="BS94" i="2" a="1"/>
  <c r="BS94" i="2" s="1"/>
  <c r="BP15" i="2" a="1"/>
  <c r="BP15" i="2" s="1"/>
  <c r="BY75" i="2" a="1"/>
  <c r="BY75" i="2" s="1"/>
  <c r="CI76" i="2" s="1" a="1"/>
  <c r="CI76" i="2" s="1"/>
  <c r="CC59" i="2" a="1"/>
  <c r="CC59" i="2" s="1"/>
  <c r="BZ57" i="2" a="1"/>
  <c r="BZ57" i="2" s="1"/>
  <c r="BY57" i="2" s="1" a="1"/>
  <c r="BY57" i="2" s="1"/>
  <c r="CC57" i="2" a="1"/>
  <c r="CC57" i="2" s="1"/>
  <c r="BZ61" i="2" a="1"/>
  <c r="BZ61" i="2" s="1"/>
  <c r="BY61" i="2" s="1" a="1"/>
  <c r="BY61" i="2" s="1"/>
  <c r="BZ60" i="2" a="1"/>
  <c r="BZ60" i="2" s="1"/>
  <c r="BY60" i="2" s="1" a="1"/>
  <c r="BY60" i="2" s="1"/>
  <c r="CI58" i="2" s="1" a="1"/>
  <c r="CI58" i="2" s="1"/>
  <c r="CC62" i="2" a="1"/>
  <c r="CC62" i="2" s="1"/>
  <c r="CC60" i="2" a="1"/>
  <c r="CC60" i="2" s="1"/>
  <c r="BZ58" i="2" a="1"/>
  <c r="BZ58" i="2" s="1"/>
  <c r="BY58" i="2" s="1" a="1"/>
  <c r="BY58" i="2" s="1"/>
  <c r="CI60" i="2" s="1" a="1"/>
  <c r="CI60" i="2" s="1"/>
  <c r="CC58" i="2" a="1"/>
  <c r="CC58" i="2" s="1"/>
  <c r="BZ59" i="2" a="1"/>
  <c r="BZ59" i="2" s="1"/>
  <c r="BY59" i="2" s="1" a="1"/>
  <c r="BY59" i="2" s="1"/>
  <c r="BZ62" i="2" a="1"/>
  <c r="BZ62" i="2" s="1"/>
  <c r="CC61" i="2" a="1"/>
  <c r="CC61" i="2" s="1"/>
  <c r="BP40" i="2" a="1"/>
  <c r="BP40" i="2" s="1"/>
  <c r="BS40" i="2" s="1" a="1"/>
  <c r="BS40" i="2" s="1"/>
  <c r="BV40" i="2" s="1" a="1"/>
  <c r="BV40" i="2" s="1"/>
  <c r="BS50" i="2" a="1"/>
  <c r="BS50" i="2" s="1"/>
  <c r="BV4" i="2" a="1"/>
  <c r="BV4" i="2" s="1"/>
  <c r="BY53" i="2" a="1"/>
  <c r="BY53" i="2" s="1"/>
  <c r="CH6" i="2" a="1"/>
  <c r="CH6" i="2" s="1"/>
  <c r="CH5" i="2" a="1"/>
  <c r="CH5" i="2" s="1"/>
  <c r="BP57" i="2" a="1"/>
  <c r="BP57" i="2" s="1"/>
  <c r="BS57" i="2" s="1" a="1"/>
  <c r="BS57" i="2" s="1"/>
  <c r="BP85" i="2" a="1"/>
  <c r="BP85" i="2" s="1"/>
  <c r="BS69" i="2" a="1"/>
  <c r="BS69" i="2" s="1"/>
  <c r="BY104" i="2" a="1"/>
  <c r="BY104" i="2" s="1"/>
  <c r="CI104" i="2" s="1" a="1"/>
  <c r="CI104" i="2" s="1"/>
  <c r="BS85" i="2" a="1"/>
  <c r="BS85" i="2" s="1"/>
  <c r="BP94" i="2" a="1"/>
  <c r="BP94" i="2" s="1"/>
  <c r="BP33" i="2" a="1"/>
  <c r="BP33" i="2" s="1"/>
  <c r="BS48" i="2" a="1"/>
  <c r="BS48" i="2" s="1"/>
  <c r="BP4" i="2" a="1"/>
  <c r="BP4" i="2" s="1"/>
  <c r="BS4" i="2" s="1" a="1"/>
  <c r="BS4" i="2" s="1"/>
  <c r="BV6" i="2" s="1" a="1"/>
  <c r="BV6" i="2" s="1"/>
  <c r="BY103" i="2" a="1"/>
  <c r="BY103" i="2" s="1"/>
  <c r="BY89" i="2" a="1"/>
  <c r="BY89" i="2" s="1"/>
  <c r="CI94" i="2" a="1"/>
  <c r="CI94" i="2" s="1"/>
  <c r="BP5" i="2" a="1"/>
  <c r="BP5" i="2" s="1"/>
  <c r="BS5" i="2" s="1" a="1"/>
  <c r="BS5" i="2" s="1"/>
  <c r="BY51" i="2" a="1"/>
  <c r="BY51" i="2" s="1"/>
  <c r="CI51" i="2" s="1" a="1"/>
  <c r="CI51" i="2" s="1"/>
  <c r="BY40" i="2" a="1"/>
  <c r="BY40" i="2" s="1"/>
  <c r="BY14" i="2" a="1"/>
  <c r="BY14" i="2" s="1"/>
  <c r="CH15" i="2" a="1"/>
  <c r="CH15" i="2" s="1"/>
  <c r="CH12" i="2" a="1"/>
  <c r="CH12" i="2" s="1"/>
  <c r="CI77" i="2" a="1"/>
  <c r="CI77" i="2" s="1"/>
  <c r="BP78" i="2" a="1"/>
  <c r="BP78" i="2" s="1"/>
  <c r="BS78" i="2" s="1" a="1"/>
  <c r="BS78" i="2" s="1"/>
  <c r="BY107" i="2" a="1"/>
  <c r="BY107" i="2" s="1"/>
  <c r="BS66" i="2" a="1"/>
  <c r="BS66" i="2" s="1"/>
  <c r="BY102" i="2" a="1"/>
  <c r="BY102" i="2" s="1"/>
  <c r="CH102" i="2" s="1" a="1"/>
  <c r="CH102" i="2" s="1"/>
  <c r="BS22" i="2" a="1"/>
  <c r="BS22" i="2" s="1"/>
  <c r="BY78" i="2" a="1"/>
  <c r="BY78" i="2" s="1"/>
  <c r="BY106" i="2" a="1"/>
  <c r="BY106" i="2" s="1"/>
  <c r="BY39" i="2" a="1"/>
  <c r="BY39" i="2" s="1"/>
  <c r="CI40" i="2" s="1" a="1"/>
  <c r="CI40" i="2" s="1"/>
  <c r="BP30" i="2" a="1"/>
  <c r="BP30" i="2" s="1"/>
  <c r="BS30" i="2" s="1" a="1"/>
  <c r="BS30" i="2" s="1"/>
  <c r="BS15" i="2" a="1"/>
  <c r="BS15" i="2" s="1"/>
  <c r="BV14" i="2" s="1" a="1"/>
  <c r="BV14" i="2" s="1"/>
  <c r="BY48" i="2" a="1"/>
  <c r="BY48" i="2" s="1"/>
  <c r="CI49" i="2" s="1" a="1"/>
  <c r="CI49" i="2" s="1"/>
  <c r="BY12" i="2" a="1"/>
  <c r="BY12" i="2" s="1"/>
  <c r="BS33" i="2" a="1"/>
  <c r="BS33" i="2" s="1"/>
  <c r="BP77" i="2" a="1"/>
  <c r="BP77" i="2" s="1"/>
  <c r="BS77" i="2" s="1" a="1"/>
  <c r="BS77" i="2" s="1"/>
  <c r="BY79" i="2" a="1"/>
  <c r="BY79" i="2" s="1"/>
  <c r="CI78" i="2" s="1" a="1"/>
  <c r="CI78" i="2" s="1"/>
  <c r="BP58" i="2" a="1"/>
  <c r="BP58" i="2" s="1"/>
  <c r="BS58" i="2" s="1" a="1"/>
  <c r="BS58" i="2" s="1"/>
  <c r="BP86" i="2" a="1"/>
  <c r="BP86" i="2" s="1"/>
  <c r="BS86" i="2" s="1" a="1"/>
  <c r="BS86" i="2" s="1"/>
  <c r="BP103" i="2" a="1"/>
  <c r="BP103" i="2" s="1"/>
  <c r="BS103" i="2" s="1" a="1"/>
  <c r="BS103" i="2" s="1"/>
  <c r="BS93" i="2" a="1"/>
  <c r="BS93" i="2" s="1"/>
  <c r="BP21" i="2" a="1"/>
  <c r="BP21" i="2" s="1"/>
  <c r="BS21" i="2" s="1" a="1"/>
  <c r="BS21" i="2" s="1"/>
  <c r="BV105" i="2" l="1" a="1"/>
  <c r="BV105" i="2" s="1"/>
  <c r="BV103" i="2" a="1"/>
  <c r="BV103" i="2" s="1"/>
  <c r="BV102" i="2" a="1"/>
  <c r="BV102" i="2" s="1"/>
  <c r="BV104" i="2" a="1"/>
  <c r="BV104" i="2" s="1"/>
  <c r="BV86" i="2" a="1"/>
  <c r="BV86" i="2" s="1"/>
  <c r="BT94" i="2" a="1"/>
  <c r="BT94" i="2" s="1"/>
  <c r="CL32" i="2" a="1"/>
  <c r="CL32" i="2" s="1"/>
  <c r="BV59" i="2" a="1"/>
  <c r="BV59" i="2" s="1"/>
  <c r="BV58" i="2" a="1"/>
  <c r="BV58" i="2" s="1"/>
  <c r="BV60" i="2" a="1"/>
  <c r="BV60" i="2" s="1"/>
  <c r="BV57" i="2" a="1"/>
  <c r="BV57" i="2" s="1"/>
  <c r="BT58" i="2" s="1" a="1"/>
  <c r="BT58" i="2" s="1"/>
  <c r="BV5" i="2" a="1"/>
  <c r="BV5" i="2" s="1"/>
  <c r="CH13" i="2" a="1"/>
  <c r="CH13" i="2" s="1"/>
  <c r="CH14" i="2" a="1"/>
  <c r="CH14" i="2" s="1"/>
  <c r="CL49" i="2" a="1"/>
  <c r="CL49" i="2" s="1"/>
  <c r="BY69" i="2" a="1"/>
  <c r="BY69" i="2" s="1"/>
  <c r="BV23" i="2" a="1"/>
  <c r="BV23" i="2" s="1"/>
  <c r="BV22" i="2" a="1"/>
  <c r="BV22" i="2" s="1"/>
  <c r="BV24" i="2" a="1"/>
  <c r="BV24" i="2" s="1"/>
  <c r="BV21" i="2" a="1"/>
  <c r="BV21" i="2" s="1"/>
  <c r="BV96" i="2" a="1"/>
  <c r="BV96" i="2" s="1"/>
  <c r="BV93" i="2" a="1"/>
  <c r="BV93" i="2" s="1"/>
  <c r="BT95" i="2" s="1" a="1"/>
  <c r="BT95" i="2" s="1"/>
  <c r="BV95" i="2" a="1"/>
  <c r="BV95" i="2" s="1"/>
  <c r="BV94" i="2" a="1"/>
  <c r="BV94" i="2" s="1"/>
  <c r="CF32" i="2" a="1"/>
  <c r="CF32" i="2" s="1"/>
  <c r="CN32" i="2" s="1" a="1"/>
  <c r="CN32" i="2" s="1"/>
  <c r="CI105" i="2" a="1"/>
  <c r="CI105" i="2" s="1"/>
  <c r="BV3" i="2" a="1"/>
  <c r="BV3" i="2" s="1"/>
  <c r="BT41" i="2" a="1"/>
  <c r="BT41" i="2" s="1"/>
  <c r="BV42" i="2" a="1"/>
  <c r="BV42" i="2" s="1"/>
  <c r="BV75" i="2" a="1"/>
  <c r="BV75" i="2" s="1"/>
  <c r="BV77" i="2" a="1"/>
  <c r="BV77" i="2" s="1"/>
  <c r="BV76" i="2" a="1"/>
  <c r="BV76" i="2" s="1"/>
  <c r="BV78" i="2" a="1"/>
  <c r="BV78" i="2" s="1"/>
  <c r="CL85" i="2" a="1"/>
  <c r="CL85" i="2" s="1"/>
  <c r="BV41" i="2" a="1"/>
  <c r="BV41" i="2" s="1"/>
  <c r="CH78" i="2" a="1"/>
  <c r="CH78" i="2" s="1"/>
  <c r="CH76" i="2" a="1"/>
  <c r="CH76" i="2" s="1"/>
  <c r="BV12" i="2" a="1"/>
  <c r="BV12" i="2" s="1"/>
  <c r="CH66" i="2" a="1"/>
  <c r="CH66" i="2" s="1"/>
  <c r="CH69" i="2" a="1"/>
  <c r="CH69" i="2" s="1"/>
  <c r="CI13" i="2" a="1"/>
  <c r="CI13" i="2" s="1"/>
  <c r="CL31" i="2" a="1"/>
  <c r="CL31" i="2" s="1"/>
  <c r="CF49" i="2" a="1"/>
  <c r="CF49" i="2" s="1"/>
  <c r="CN49" i="2" s="1" a="1"/>
  <c r="CN49" i="2" s="1"/>
  <c r="CF13" i="2" a="1"/>
  <c r="CF13" i="2" s="1"/>
  <c r="CN13" i="2" s="1" a="1"/>
  <c r="CN13" i="2" s="1"/>
  <c r="CK78" i="2" a="1"/>
  <c r="CK78" i="2" s="1"/>
  <c r="CK87" i="2" a="1"/>
  <c r="CK87" i="2" s="1"/>
  <c r="CK68" i="2" a="1"/>
  <c r="CK68" i="2" s="1"/>
  <c r="CF60" i="2" a="1"/>
  <c r="CF60" i="2" s="1"/>
  <c r="CN60" i="2" s="1" a="1"/>
  <c r="CN60" i="2" s="1"/>
  <c r="CH58" i="2" a="1"/>
  <c r="CH58" i="2" s="1"/>
  <c r="CH57" i="2" a="1"/>
  <c r="CH57" i="2" s="1"/>
  <c r="BV15" i="2" a="1"/>
  <c r="BV15" i="2" s="1"/>
  <c r="CL84" i="2" a="1"/>
  <c r="CL84" i="2" s="1"/>
  <c r="CF24" i="2" a="1"/>
  <c r="CF24" i="2" s="1"/>
  <c r="CN24" i="2" s="1" a="1"/>
  <c r="CN24" i="2" s="1"/>
  <c r="CK13" i="2" a="1"/>
  <c r="CK13" i="2" s="1"/>
  <c r="BV51" i="2" a="1"/>
  <c r="BV51" i="2" s="1"/>
  <c r="BV49" i="2" a="1"/>
  <c r="BV49" i="2" s="1"/>
  <c r="BV50" i="2" a="1"/>
  <c r="BV50" i="2" s="1"/>
  <c r="BV48" i="2" a="1"/>
  <c r="BV48" i="2" s="1"/>
  <c r="BT49" i="2" s="1" a="1"/>
  <c r="BT49" i="2" s="1"/>
  <c r="BV13" i="2" a="1"/>
  <c r="BV13" i="2" s="1"/>
  <c r="BV87" i="2" a="1"/>
  <c r="BV87" i="2" s="1"/>
  <c r="CH103" i="2" a="1"/>
  <c r="CH103" i="2" s="1"/>
  <c r="CH104" i="2" a="1"/>
  <c r="CH104" i="2" s="1"/>
  <c r="CF103" i="2" a="1"/>
  <c r="CF103" i="2" s="1"/>
  <c r="CN103" i="2" s="1" a="1"/>
  <c r="CN103" i="2" s="1"/>
  <c r="CK21" i="2" a="1"/>
  <c r="CK21" i="2" s="1"/>
  <c r="CH86" i="2" a="1"/>
  <c r="CH86" i="2" s="1"/>
  <c r="CH85" i="2" a="1"/>
  <c r="CH85" i="2" s="1"/>
  <c r="BV85" i="2" a="1"/>
  <c r="BV85" i="2" s="1"/>
  <c r="CF6" i="2" a="1"/>
  <c r="CF6" i="2" s="1"/>
  <c r="CN6" i="2" s="1" a="1"/>
  <c r="CN6" i="2" s="1"/>
  <c r="CK22" i="2" a="1"/>
  <c r="CK22" i="2" s="1"/>
  <c r="BV32" i="2" a="1"/>
  <c r="BV32" i="2" s="1"/>
  <c r="BV30" i="2" a="1"/>
  <c r="BV30" i="2" s="1"/>
  <c r="BV31" i="2" a="1"/>
  <c r="BV31" i="2" s="1"/>
  <c r="BV33" i="2" a="1"/>
  <c r="BV33" i="2" s="1"/>
  <c r="BT85" i="2" a="1"/>
  <c r="BT85" i="2" s="1"/>
  <c r="BV69" i="2" a="1"/>
  <c r="BV69" i="2" s="1"/>
  <c r="BV66" i="2" a="1"/>
  <c r="BV66" i="2" s="1"/>
  <c r="BV67" i="2" a="1"/>
  <c r="BV67" i="2" s="1"/>
  <c r="BV68" i="2" a="1"/>
  <c r="BV68" i="2" s="1"/>
  <c r="CL42" i="2" a="1"/>
  <c r="CL42" i="2" s="1"/>
  <c r="CK69" i="2" a="1"/>
  <c r="CK69" i="2" s="1"/>
  <c r="BY62" i="2" a="1"/>
  <c r="BY62" i="2" s="1"/>
  <c r="CF66" i="2" s="1" a="1"/>
  <c r="CF66" i="2" s="1"/>
  <c r="CN66" i="2" s="1" a="1"/>
  <c r="CN66" i="2" s="1"/>
  <c r="CL39" i="2" a="1"/>
  <c r="CL39" i="2" s="1"/>
  <c r="BV84" i="2" a="1"/>
  <c r="BV84" i="2" s="1"/>
  <c r="BT86" i="2" s="1" a="1"/>
  <c r="BT86" i="2" s="1"/>
  <c r="CL15" i="2" a="1"/>
  <c r="CL15" i="2" s="1"/>
  <c r="CK48" i="2" a="1"/>
  <c r="CK48" i="2" s="1"/>
  <c r="CI57" i="2" a="1"/>
  <c r="CI57" i="2" s="1"/>
  <c r="CI67" i="2" a="1"/>
  <c r="CI67" i="2" s="1"/>
  <c r="CH42" i="2" a="1"/>
  <c r="CH42" i="2" s="1"/>
  <c r="CH41" i="2" a="1"/>
  <c r="CH41" i="2" s="1"/>
  <c r="CL95" i="2" a="1"/>
  <c r="CL95" i="2" s="1"/>
  <c r="CL51" i="2" a="1"/>
  <c r="CL51" i="2" s="1"/>
  <c r="CK84" i="2" a="1"/>
  <c r="CK84" i="2" s="1"/>
  <c r="CJ84" i="2" s="1" a="1"/>
  <c r="CJ84" i="2" s="1"/>
  <c r="CM84" i="2" s="1" a="1"/>
  <c r="CM84" i="2" s="1"/>
  <c r="CF33" i="2" a="1"/>
  <c r="CF33" i="2" s="1"/>
  <c r="CN33" i="2" s="1" a="1"/>
  <c r="CN33" i="2" s="1"/>
  <c r="CF105" i="2" a="1"/>
  <c r="CF105" i="2" s="1"/>
  <c r="CN105" i="2" s="1" a="1"/>
  <c r="CN105" i="2" s="1"/>
  <c r="CL59" i="2" a="1"/>
  <c r="CL59" i="2" s="1"/>
  <c r="CK85" i="2" a="1"/>
  <c r="CK85" i="2" s="1"/>
  <c r="CL69" i="2" a="1"/>
  <c r="CL69" i="2" s="1"/>
  <c r="CL103" i="2" a="1"/>
  <c r="CL103" i="2" s="1"/>
  <c r="CF87" i="2" l="1" a="1"/>
  <c r="CF87" i="2" s="1"/>
  <c r="CN87" i="2" s="1" a="1"/>
  <c r="CN87" i="2" s="1"/>
  <c r="CL5" i="2" a="1"/>
  <c r="CL5" i="2" s="1"/>
  <c r="CF22" i="2" a="1"/>
  <c r="CF22" i="2" s="1"/>
  <c r="CN22" i="2" s="1" a="1"/>
  <c r="CN22" i="2" s="1"/>
  <c r="CL86" i="2" a="1"/>
  <c r="CL86" i="2" s="1"/>
  <c r="CF68" i="2" a="1"/>
  <c r="CF68" i="2" s="1"/>
  <c r="CN68" i="2" s="1" a="1"/>
  <c r="CN68" i="2" s="1"/>
  <c r="CF39" i="2" a="1"/>
  <c r="CF39" i="2" s="1"/>
  <c r="CN39" i="2" s="1" a="1"/>
  <c r="CN39" i="2" s="1"/>
  <c r="AQ24" i="2" a="1"/>
  <c r="AQ24" i="2" s="1"/>
  <c r="V24" i="2" a="1"/>
  <c r="V24" i="2" s="1"/>
  <c r="CK42" i="2" a="1"/>
  <c r="CK42" i="2" s="1"/>
  <c r="CJ42" i="2" s="1" a="1"/>
  <c r="CJ42" i="2" s="1"/>
  <c r="CF5" i="2" a="1"/>
  <c r="CF5" i="2" s="1"/>
  <c r="CN5" i="2" s="1" a="1"/>
  <c r="CN5" i="2" s="1"/>
  <c r="CF4" i="2" a="1"/>
  <c r="CF4" i="2" s="1"/>
  <c r="CN4" i="2" s="1" a="1"/>
  <c r="CN4" i="2" s="1"/>
  <c r="CK6" i="2" a="1"/>
  <c r="CK6" i="2" s="1"/>
  <c r="BT66" i="2" a="1"/>
  <c r="BT66" i="2" s="1"/>
  <c r="BT69" i="2" a="1"/>
  <c r="BT69" i="2" s="1"/>
  <c r="CL93" i="2" a="1"/>
  <c r="CL93" i="2" s="1"/>
  <c r="CL23" i="2" a="1"/>
  <c r="CL23" i="2" s="1"/>
  <c r="CF14" i="2" a="1"/>
  <c r="CF14" i="2" s="1"/>
  <c r="CN14" i="2" s="1" a="1"/>
  <c r="CN14" i="2" s="1"/>
  <c r="CK5" i="2" a="1"/>
  <c r="CK5" i="2" s="1"/>
  <c r="CJ5" i="2" s="1" a="1"/>
  <c r="CJ5" i="2" s="1"/>
  <c r="CM5" i="2" s="1" a="1"/>
  <c r="CM5" i="2" s="1"/>
  <c r="CF15" i="2" a="1"/>
  <c r="CF15" i="2" s="1"/>
  <c r="CL57" i="2" a="1"/>
  <c r="CL57" i="2" s="1"/>
  <c r="CK50" i="2" a="1"/>
  <c r="CK50" i="2" s="1"/>
  <c r="CF77" i="2" a="1"/>
  <c r="CF77" i="2" s="1"/>
  <c r="CN77" i="2" s="1" a="1"/>
  <c r="CN77" i="2" s="1"/>
  <c r="CF51" i="2" a="1"/>
  <c r="CF51" i="2" s="1"/>
  <c r="CN51" i="2" s="1" a="1"/>
  <c r="CN51" i="2" s="1"/>
  <c r="CF42" i="2" a="1"/>
  <c r="CF42" i="2" s="1"/>
  <c r="CN42" i="2" s="1" a="1"/>
  <c r="CN42" i="2" s="1"/>
  <c r="V60" i="2" a="1"/>
  <c r="V60" i="2" s="1"/>
  <c r="AQ60" i="2" a="1"/>
  <c r="AQ60" i="2" s="1"/>
  <c r="V103" i="2" a="1"/>
  <c r="V103" i="2" s="1"/>
  <c r="AQ103" i="2" a="1"/>
  <c r="AQ103" i="2" s="1"/>
  <c r="CL78" i="2" a="1"/>
  <c r="CL78" i="2" s="1"/>
  <c r="CJ78" i="2" s="1" a="1"/>
  <c r="CJ78" i="2" s="1"/>
  <c r="CM78" i="2" s="1" a="1"/>
  <c r="CM78" i="2" s="1"/>
  <c r="CL13" i="2" a="1"/>
  <c r="CL13" i="2" s="1"/>
  <c r="CL76" i="2" a="1"/>
  <c r="CL76" i="2" s="1"/>
  <c r="BT57" i="2" a="1"/>
  <c r="BT57" i="2" s="1"/>
  <c r="CL105" i="2" a="1"/>
  <c r="CL105" i="2" s="1"/>
  <c r="CL48" i="2" a="1"/>
  <c r="CL48" i="2" s="1"/>
  <c r="CJ48" i="2" s="1" a="1"/>
  <c r="CJ48" i="2" s="1"/>
  <c r="CM48" i="2" s="1" a="1"/>
  <c r="CM48" i="2" s="1"/>
  <c r="CF96" i="2" a="1"/>
  <c r="CF96" i="2" s="1"/>
  <c r="CK15" i="2" a="1"/>
  <c r="CK15" i="2" s="1"/>
  <c r="CJ15" i="2" s="1" a="1"/>
  <c r="CJ15" i="2" s="1"/>
  <c r="CM15" i="2" s="1" a="1"/>
  <c r="CM15" i="2" s="1"/>
  <c r="CK59" i="2" a="1"/>
  <c r="CK59" i="2" s="1"/>
  <c r="CJ59" i="2" s="1" a="1"/>
  <c r="CJ59" i="2" s="1"/>
  <c r="CM59" i="2" s="1" a="1"/>
  <c r="CM59" i="2" s="1"/>
  <c r="CK31" i="2" a="1"/>
  <c r="CK31" i="2" s="1"/>
  <c r="CJ31" i="2" s="1" a="1"/>
  <c r="CJ31" i="2" s="1"/>
  <c r="CM31" i="2" s="1" a="1"/>
  <c r="CM31" i="2" s="1"/>
  <c r="CL96" i="2" a="1"/>
  <c r="CL96" i="2" s="1"/>
  <c r="CK40" i="2" a="1"/>
  <c r="CK40" i="2" s="1"/>
  <c r="CF41" i="2" a="1"/>
  <c r="CF41" i="2" s="1"/>
  <c r="CN41" i="2" s="1" a="1"/>
  <c r="CN41" i="2" s="1"/>
  <c r="CF57" i="2" a="1"/>
  <c r="CF57" i="2" s="1"/>
  <c r="CN57" i="2" s="1" a="1"/>
  <c r="CN57" i="2" s="1"/>
  <c r="CF12" i="2" a="1"/>
  <c r="CF12" i="2" s="1"/>
  <c r="CK24" i="2" a="1"/>
  <c r="CK24" i="2" s="1"/>
  <c r="CK103" i="2" a="1"/>
  <c r="CK103" i="2" s="1"/>
  <c r="CJ103" i="2" s="1" a="1"/>
  <c r="CJ103" i="2" s="1"/>
  <c r="CM103" i="2" s="1" a="1"/>
  <c r="CM103" i="2" s="1"/>
  <c r="CK94" i="2" a="1"/>
  <c r="CK94" i="2" s="1"/>
  <c r="CK57" i="2" a="1"/>
  <c r="CK57" i="2" s="1"/>
  <c r="CJ57" i="2" s="1" a="1"/>
  <c r="CJ57" i="2" s="1"/>
  <c r="CK33" i="2" a="1"/>
  <c r="CK33" i="2" s="1"/>
  <c r="CL30" i="2" a="1"/>
  <c r="CL30" i="2" s="1"/>
  <c r="CL104" i="2" a="1"/>
  <c r="CL104" i="2" s="1"/>
  <c r="CL14" i="2" a="1"/>
  <c r="CL14" i="2" s="1"/>
  <c r="CK58" i="2" a="1"/>
  <c r="CK58" i="2" s="1"/>
  <c r="CF85" i="2" a="1"/>
  <c r="CF85" i="2" s="1"/>
  <c r="CN85" i="2" s="1" a="1"/>
  <c r="CN85" i="2" s="1"/>
  <c r="V85" i="2" s="1" a="1"/>
  <c r="V85" i="2" s="1"/>
  <c r="CF30" i="2" a="1"/>
  <c r="CF30" i="2" s="1"/>
  <c r="CN30" i="2" s="1" a="1"/>
  <c r="CN30" i="2" s="1"/>
  <c r="CL41" i="2" a="1"/>
  <c r="CL41" i="2" s="1"/>
  <c r="CF75" i="2" a="1"/>
  <c r="CF75" i="2" s="1"/>
  <c r="CN75" i="2" s="1" a="1"/>
  <c r="CN75" i="2" s="1"/>
  <c r="CK3" i="2" a="1"/>
  <c r="CK3" i="2" s="1"/>
  <c r="CK105" i="2" a="1"/>
  <c r="CK105" i="2" s="1"/>
  <c r="CJ105" i="2" s="1" a="1"/>
  <c r="CJ105" i="2" s="1"/>
  <c r="CM105" i="2" s="1" a="1"/>
  <c r="CM105" i="2" s="1"/>
  <c r="CK77" i="2" a="1"/>
  <c r="CK77" i="2" s="1"/>
  <c r="CJ85" i="2" a="1"/>
  <c r="CJ85" i="2" s="1"/>
  <c r="CL6" i="2" a="1"/>
  <c r="CL6" i="2" s="1"/>
  <c r="CL102" i="2" a="1"/>
  <c r="CL102" i="2" s="1"/>
  <c r="CL60" i="2" a="1"/>
  <c r="CL60" i="2" s="1"/>
  <c r="BT13" i="2" a="1"/>
  <c r="BT13" i="2" s="1"/>
  <c r="BT14" i="2" a="1"/>
  <c r="BT14" i="2" s="1"/>
  <c r="BT76" i="2" a="1"/>
  <c r="BT76" i="2" s="1"/>
  <c r="BT78" i="2" a="1"/>
  <c r="BT78" i="2" s="1"/>
  <c r="CL77" i="2" a="1"/>
  <c r="CL77" i="2" s="1"/>
  <c r="CL50" i="2" a="1"/>
  <c r="CL50" i="2" s="1"/>
  <c r="CF93" i="2" a="1"/>
  <c r="CF93" i="2" s="1"/>
  <c r="CL33" i="2" a="1"/>
  <c r="CL33" i="2" s="1"/>
  <c r="CM57" i="2" a="1"/>
  <c r="CM57" i="2" s="1"/>
  <c r="CL21" i="2" a="1"/>
  <c r="CL21" i="2" s="1"/>
  <c r="CJ21" i="2" s="1" a="1"/>
  <c r="CJ21" i="2" s="1"/>
  <c r="CM21" i="2" s="1" a="1"/>
  <c r="CM21" i="2" s="1"/>
  <c r="CK86" i="2" a="1"/>
  <c r="CK86" i="2" s="1"/>
  <c r="CJ86" i="2" s="1" a="1"/>
  <c r="CJ86" i="2" s="1"/>
  <c r="CM86" i="2" s="1" a="1"/>
  <c r="CM86" i="2" s="1"/>
  <c r="CF23" i="2" a="1"/>
  <c r="CF23" i="2" s="1"/>
  <c r="CN23" i="2" s="1" a="1"/>
  <c r="CN23" i="2" s="1"/>
  <c r="CK75" i="2" a="1"/>
  <c r="CK75" i="2" s="1"/>
  <c r="CJ75" i="2" s="1" a="1"/>
  <c r="CJ75" i="2" s="1"/>
  <c r="CM75" i="2" s="1" a="1"/>
  <c r="CM75" i="2" s="1"/>
  <c r="CF102" i="2" a="1"/>
  <c r="CF102" i="2" s="1"/>
  <c r="CN102" i="2" s="1" a="1"/>
  <c r="CN102" i="2" s="1"/>
  <c r="CL75" i="2" a="1"/>
  <c r="CL75" i="2" s="1"/>
  <c r="CJ13" i="2" a="1"/>
  <c r="CJ13" i="2" s="1"/>
  <c r="AQ41" i="2" a="1"/>
  <c r="AQ41" i="2" s="1"/>
  <c r="V41" i="2" a="1"/>
  <c r="V41" i="2" s="1"/>
  <c r="CL66" i="2" a="1"/>
  <c r="CL66" i="2" s="1"/>
  <c r="CK41" i="2" a="1"/>
  <c r="CK41" i="2" s="1"/>
  <c r="CJ41" i="2" s="1" a="1"/>
  <c r="CJ41" i="2" s="1"/>
  <c r="CM41" i="2" s="1" a="1"/>
  <c r="CM41" i="2" s="1"/>
  <c r="CK39" i="2" a="1"/>
  <c r="CK39" i="2" s="1"/>
  <c r="CJ39" i="2" s="1" a="1"/>
  <c r="CJ39" i="2" s="1"/>
  <c r="CM39" i="2" s="1" a="1"/>
  <c r="CM39" i="2" s="1"/>
  <c r="CK66" i="2" a="1"/>
  <c r="CK66" i="2" s="1"/>
  <c r="CK76" i="2" a="1"/>
  <c r="CK76" i="2" s="1"/>
  <c r="CJ76" i="2" s="1" a="1"/>
  <c r="CJ76" i="2" s="1"/>
  <c r="CM76" i="2" s="1" a="1"/>
  <c r="CM76" i="2" s="1"/>
  <c r="CL68" i="2" a="1"/>
  <c r="CL68" i="2" s="1"/>
  <c r="CJ68" i="2" s="1" a="1"/>
  <c r="CJ68" i="2" s="1"/>
  <c r="CM68" i="2" s="1" a="1"/>
  <c r="CM68" i="2" s="1"/>
  <c r="CF67" i="2" a="1"/>
  <c r="CF67" i="2" s="1"/>
  <c r="CN67" i="2" s="1" a="1"/>
  <c r="CN67" i="2" s="1"/>
  <c r="CK32" i="2" a="1"/>
  <c r="CK32" i="2" s="1"/>
  <c r="CJ32" i="2" s="1" a="1"/>
  <c r="CJ32" i="2" s="1"/>
  <c r="CM32" i="2" s="1" a="1"/>
  <c r="CM32" i="2" s="1"/>
  <c r="BT50" i="2" a="1"/>
  <c r="BT50" i="2" s="1"/>
  <c r="CM85" i="2" a="1"/>
  <c r="CM85" i="2" s="1"/>
  <c r="CP87" i="2" s="1" a="1"/>
  <c r="CP87" i="2" s="1"/>
  <c r="AQ32" i="2" a="1"/>
  <c r="AQ32" i="2" s="1"/>
  <c r="V32" i="2" a="1"/>
  <c r="V32" i="2" s="1"/>
  <c r="AQ105" i="2" a="1"/>
  <c r="AQ105" i="2" s="1"/>
  <c r="V105" i="2" a="1"/>
  <c r="V105" i="2" s="1"/>
  <c r="CL22" i="2" a="1"/>
  <c r="CL22" i="2" s="1"/>
  <c r="CJ22" i="2" s="1" a="1"/>
  <c r="CJ22" i="2" s="1"/>
  <c r="CM22" i="2" s="1" a="1"/>
  <c r="CM22" i="2" s="1"/>
  <c r="CL12" i="2" a="1"/>
  <c r="CL12" i="2" s="1"/>
  <c r="CK12" i="2" a="1"/>
  <c r="CK12" i="2" s="1"/>
  <c r="CL4" i="2" a="1"/>
  <c r="CL4" i="2" s="1"/>
  <c r="CK30" i="2" a="1"/>
  <c r="CK30" i="2" s="1"/>
  <c r="CJ30" i="2" s="1" a="1"/>
  <c r="CJ30" i="2" s="1"/>
  <c r="CM30" i="2" s="1" a="1"/>
  <c r="CM30" i="2" s="1"/>
  <c r="CK93" i="2" a="1"/>
  <c r="CK93" i="2" s="1"/>
  <c r="CJ93" i="2" s="1" a="1"/>
  <c r="CJ93" i="2" s="1"/>
  <c r="CM93" i="2" s="1" a="1"/>
  <c r="CM93" i="2" s="1"/>
  <c r="CL40" i="2" a="1"/>
  <c r="CL40" i="2" s="1"/>
  <c r="CF50" i="2" a="1"/>
  <c r="CF50" i="2" s="1"/>
  <c r="CN50" i="2" s="1" a="1"/>
  <c r="CN50" i="2" s="1"/>
  <c r="CK23" i="2" a="1"/>
  <c r="CK23" i="2" s="1"/>
  <c r="CJ23" i="2" s="1" a="1"/>
  <c r="CJ23" i="2" s="1"/>
  <c r="CM23" i="2" s="1" a="1"/>
  <c r="CM23" i="2" s="1"/>
  <c r="CF84" i="2" a="1"/>
  <c r="CF84" i="2" s="1"/>
  <c r="CN84" i="2" s="1" a="1"/>
  <c r="CN84" i="2" s="1"/>
  <c r="CK14" i="2" a="1"/>
  <c r="CK14" i="2" s="1"/>
  <c r="CJ14" i="2" s="1" a="1"/>
  <c r="CJ14" i="2" s="1"/>
  <c r="CM14" i="2" s="1" a="1"/>
  <c r="CM14" i="2" s="1"/>
  <c r="CK4" i="2" a="1"/>
  <c r="CK4" i="2" s="1"/>
  <c r="CK104" i="2" a="1"/>
  <c r="CK104" i="2" s="1"/>
  <c r="CJ104" i="2" s="1" a="1"/>
  <c r="CJ104" i="2" s="1"/>
  <c r="CM104" i="2" s="1" a="1"/>
  <c r="CM104" i="2" s="1"/>
  <c r="CK49" i="2" a="1"/>
  <c r="CK49" i="2" s="1"/>
  <c r="CJ49" i="2" s="1" a="1"/>
  <c r="CJ49" i="2" s="1"/>
  <c r="CM49" i="2" s="1" a="1"/>
  <c r="CM49" i="2" s="1"/>
  <c r="CL24" i="2" a="1"/>
  <c r="CL24" i="2" s="1"/>
  <c r="CM13" i="2" a="1"/>
  <c r="CM13" i="2" s="1"/>
  <c r="CF48" i="2" a="1"/>
  <c r="CF48" i="2" s="1"/>
  <c r="CN48" i="2" s="1" a="1"/>
  <c r="CN48" i="2" s="1"/>
  <c r="CM42" i="2" a="1"/>
  <c r="CM42" i="2" s="1"/>
  <c r="CF76" i="2" a="1"/>
  <c r="CF76" i="2" s="1"/>
  <c r="CN76" i="2" s="1" a="1"/>
  <c r="CN76" i="2" s="1"/>
  <c r="CK51" i="2" a="1"/>
  <c r="CK51" i="2" s="1"/>
  <c r="CJ51" i="2" s="1" a="1"/>
  <c r="CJ51" i="2" s="1"/>
  <c r="CM51" i="2" s="1" a="1"/>
  <c r="CM51" i="2" s="1"/>
  <c r="CF94" i="2" a="1"/>
  <c r="CF94" i="2" s="1"/>
  <c r="CN94" i="2" s="1" a="1"/>
  <c r="CN94" i="2" s="1"/>
  <c r="V94" i="2" s="1" a="1"/>
  <c r="V94" i="2" s="1"/>
  <c r="CK96" i="2" a="1"/>
  <c r="CK96" i="2" s="1"/>
  <c r="CJ96" i="2" s="1" a="1"/>
  <c r="CJ96" i="2" s="1"/>
  <c r="CM96" i="2" s="1" a="1"/>
  <c r="CM96" i="2" s="1"/>
  <c r="CF78" i="2" a="1"/>
  <c r="CF78" i="2" s="1"/>
  <c r="CN78" i="2" s="1" a="1"/>
  <c r="CN78" i="2" s="1"/>
  <c r="CF58" i="2" a="1"/>
  <c r="CF58" i="2" s="1"/>
  <c r="CN58" i="2" s="1" a="1"/>
  <c r="CN58" i="2" s="1"/>
  <c r="V58" i="2" s="1" a="1"/>
  <c r="V58" i="2" s="1"/>
  <c r="CF86" i="2" a="1"/>
  <c r="CF86" i="2" s="1"/>
  <c r="CN86" i="2" s="1" a="1"/>
  <c r="CN86" i="2" s="1"/>
  <c r="V86" i="2" s="1" a="1"/>
  <c r="V86" i="2" s="1"/>
  <c r="CL67" i="2" a="1"/>
  <c r="CL67" i="2" s="1"/>
  <c r="CF3" i="2" a="1"/>
  <c r="CF3" i="2" s="1"/>
  <c r="CN3" i="2" s="1" a="1"/>
  <c r="CN3" i="2" s="1"/>
  <c r="CL87" i="2" a="1"/>
  <c r="CL87" i="2" s="1"/>
  <c r="CJ87" i="2" s="1" a="1"/>
  <c r="CJ87" i="2" s="1"/>
  <c r="CM87" i="2" s="1" a="1"/>
  <c r="CM87" i="2" s="1"/>
  <c r="CK67" i="2" a="1"/>
  <c r="CK67" i="2" s="1"/>
  <c r="CF21" i="2" a="1"/>
  <c r="CF21" i="2" s="1"/>
  <c r="CN21" i="2" s="1" a="1"/>
  <c r="CN21" i="2" s="1"/>
  <c r="CL3" i="2" a="1"/>
  <c r="CL3" i="2" s="1"/>
  <c r="CL58" i="2" a="1"/>
  <c r="CL58" i="2" s="1"/>
  <c r="CK102" i="2" a="1"/>
  <c r="CK102" i="2" s="1"/>
  <c r="CJ102" i="2" s="1" a="1"/>
  <c r="CJ102" i="2" s="1"/>
  <c r="CM102" i="2" s="1" a="1"/>
  <c r="CM102" i="2" s="1"/>
  <c r="BT6" i="2" a="1"/>
  <c r="BT6" i="2" s="1"/>
  <c r="BT5" i="2" a="1"/>
  <c r="BT5" i="2" s="1"/>
  <c r="CK60" i="2" a="1"/>
  <c r="CK60" i="2" s="1"/>
  <c r="CJ60" i="2" s="1" a="1"/>
  <c r="CJ60" i="2" s="1"/>
  <c r="CM60" i="2" s="1" a="1"/>
  <c r="CM60" i="2" s="1"/>
  <c r="CF69" i="2" a="1"/>
  <c r="CF69" i="2" s="1"/>
  <c r="CN69" i="2" s="1" a="1"/>
  <c r="CN69" i="2" s="1"/>
  <c r="V33" i="2" a="1"/>
  <c r="V33" i="2" s="1"/>
  <c r="AQ33" i="2" a="1"/>
  <c r="AQ33" i="2" s="1"/>
  <c r="CJ69" i="2" a="1"/>
  <c r="CJ69" i="2" s="1"/>
  <c r="CM69" i="2" s="1" a="1"/>
  <c r="CM69" i="2" s="1"/>
  <c r="CF95" i="2" a="1"/>
  <c r="CF95" i="2" s="1"/>
  <c r="CN95" i="2" s="1" a="1"/>
  <c r="CN95" i="2" s="1"/>
  <c r="AQ95" i="2" s="1" a="1"/>
  <c r="AQ95" i="2" s="1"/>
  <c r="V49" i="2" a="1"/>
  <c r="V49" i="2" s="1"/>
  <c r="AQ49" i="2" a="1"/>
  <c r="AQ49" i="2" s="1"/>
  <c r="CK95" i="2" a="1"/>
  <c r="CK95" i="2" s="1"/>
  <c r="CJ95" i="2" s="1" a="1"/>
  <c r="CJ95" i="2" s="1"/>
  <c r="CM95" i="2" s="1" a="1"/>
  <c r="CM95" i="2" s="1"/>
  <c r="CF40" i="2" a="1"/>
  <c r="CF40" i="2" s="1"/>
  <c r="CN40" i="2" s="1" a="1"/>
  <c r="CN40" i="2" s="1"/>
  <c r="CF59" i="2" a="1"/>
  <c r="CF59" i="2" s="1"/>
  <c r="CN59" i="2" s="1" a="1"/>
  <c r="CN59" i="2" s="1"/>
  <c r="CF104" i="2" a="1"/>
  <c r="CF104" i="2" s="1"/>
  <c r="CN104" i="2" s="1" a="1"/>
  <c r="CN104" i="2" s="1"/>
  <c r="CF31" i="2" a="1"/>
  <c r="CF31" i="2" s="1"/>
  <c r="CN31" i="2" s="1" a="1"/>
  <c r="CN31" i="2" s="1"/>
  <c r="CL94" i="2" a="1"/>
  <c r="CL94" i="2" s="1"/>
  <c r="CP51" i="2" l="1" a="1"/>
  <c r="CP51" i="2" s="1"/>
  <c r="CP50" i="2" a="1"/>
  <c r="CP50" i="2" s="1"/>
  <c r="CP49" i="2" a="1"/>
  <c r="CP49" i="2" s="1"/>
  <c r="CP85" i="2" a="1"/>
  <c r="CP85" i="2" s="1"/>
  <c r="AQ69" i="2" a="1"/>
  <c r="AQ69" i="2" s="1"/>
  <c r="V69" i="2" a="1"/>
  <c r="V69" i="2" s="1"/>
  <c r="V22" i="2" a="1"/>
  <c r="V22" i="2" s="1"/>
  <c r="AQ22" i="2" a="1"/>
  <c r="AQ22" i="2" s="1"/>
  <c r="V6" i="2" a="1"/>
  <c r="V6" i="2" s="1"/>
  <c r="AQ6" i="2" a="1"/>
  <c r="AQ6" i="2" s="1"/>
  <c r="CJ4" i="2" a="1"/>
  <c r="CJ4" i="2" s="1"/>
  <c r="CM4" i="2" s="1" a="1"/>
  <c r="CM4" i="2" s="1"/>
  <c r="CJ66" i="2" a="1"/>
  <c r="CJ66" i="2" s="1"/>
  <c r="CM66" i="2" s="1" a="1"/>
  <c r="CM66" i="2" s="1"/>
  <c r="V23" i="2" a="1"/>
  <c r="V23" i="2" s="1"/>
  <c r="AQ23" i="2" a="1"/>
  <c r="AQ23" i="2" s="1"/>
  <c r="AR23" i="2" s="1" a="1"/>
  <c r="AR23" i="2" s="1"/>
  <c r="CJ58" i="2" a="1"/>
  <c r="CJ58" i="2" s="1"/>
  <c r="CM58" i="2" s="1" a="1"/>
  <c r="CM58" i="2" s="1"/>
  <c r="CP59" i="2" s="1" a="1"/>
  <c r="CP59" i="2" s="1"/>
  <c r="AQ85" i="2" a="1"/>
  <c r="AQ85" i="2" s="1"/>
  <c r="CP86" i="2" a="1"/>
  <c r="CP86" i="2" s="1"/>
  <c r="AQ66" i="2" a="1"/>
  <c r="AQ66" i="2" s="1"/>
  <c r="V66" i="2" a="1"/>
  <c r="V66" i="2" s="1"/>
  <c r="AQ40" i="2" a="1"/>
  <c r="AQ40" i="2" s="1"/>
  <c r="V40" i="2" a="1"/>
  <c r="V40" i="2" s="1"/>
  <c r="AQ5" i="2" a="1"/>
  <c r="AQ5" i="2" s="1"/>
  <c r="AR5" i="2" s="1" a="1"/>
  <c r="AR5" i="2" s="1"/>
  <c r="V5" i="2" a="1"/>
  <c r="V5" i="2" s="1"/>
  <c r="CP39" i="2" a="1"/>
  <c r="CP39" i="2" s="1"/>
  <c r="V57" i="2" a="1"/>
  <c r="V57" i="2" s="1"/>
  <c r="AQ57" i="2" a="1"/>
  <c r="AQ57" i="2" s="1"/>
  <c r="AR57" i="2" s="1" a="1"/>
  <c r="AR57" i="2" s="1"/>
  <c r="AQ42" i="2" a="1"/>
  <c r="AQ42" i="2" s="1"/>
  <c r="AR41" i="2" s="1" a="1"/>
  <c r="AR41" i="2" s="1"/>
  <c r="V42" i="2" a="1"/>
  <c r="V42" i="2" s="1"/>
  <c r="CJ6" i="2" a="1"/>
  <c r="CJ6" i="2" s="1"/>
  <c r="CM6" i="2" s="1" a="1"/>
  <c r="CM6" i="2" s="1"/>
  <c r="AQ84" i="2" a="1"/>
  <c r="AQ84" i="2" s="1"/>
  <c r="AR84" i="2" s="1" a="1"/>
  <c r="AR84" i="2" s="1"/>
  <c r="V84" i="2" a="1"/>
  <c r="V84" i="2" s="1"/>
  <c r="AQ51" i="2" a="1"/>
  <c r="AQ51" i="2" s="1"/>
  <c r="AR49" i="2" s="1" a="1"/>
  <c r="AR49" i="2" s="1"/>
  <c r="V51" i="2" a="1"/>
  <c r="V51" i="2" s="1"/>
  <c r="AQ4" i="2" a="1"/>
  <c r="AQ4" i="2" s="1"/>
  <c r="V4" i="2" a="1"/>
  <c r="V4" i="2" s="1"/>
  <c r="AQ87" i="2" a="1"/>
  <c r="AQ87" i="2" s="1"/>
  <c r="V87" i="2" a="1"/>
  <c r="V87" i="2" s="1"/>
  <c r="AR32" i="2" a="1"/>
  <c r="AR32" i="2" s="1"/>
  <c r="CP57" i="2" a="1"/>
  <c r="CP57" i="2" s="1"/>
  <c r="CP58" i="2" a="1"/>
  <c r="CP58" i="2" s="1"/>
  <c r="CP60" i="2" a="1"/>
  <c r="CP60" i="2" s="1"/>
  <c r="AQ77" i="2" a="1"/>
  <c r="AQ77" i="2" s="1"/>
  <c r="AR77" i="2" s="1" a="1"/>
  <c r="AR77" i="2" s="1"/>
  <c r="V77" i="2" a="1"/>
  <c r="V77" i="2" s="1"/>
  <c r="CJ40" i="2" a="1"/>
  <c r="CJ40" i="2" s="1"/>
  <c r="CM40" i="2" s="1" a="1"/>
  <c r="CM40" i="2" s="1"/>
  <c r="CP40" i="2" s="1" a="1"/>
  <c r="CP40" i="2" s="1"/>
  <c r="CJ50" i="2" a="1"/>
  <c r="CJ50" i="2" s="1"/>
  <c r="CM50" i="2" s="1" a="1"/>
  <c r="CM50" i="2" s="1"/>
  <c r="CP48" i="2" s="1" a="1"/>
  <c r="CP48" i="2" s="1"/>
  <c r="CP77" i="2" a="1"/>
  <c r="CP77" i="2" s="1"/>
  <c r="CP78" i="2" a="1"/>
  <c r="CP78" i="2" s="1"/>
  <c r="CP75" i="2" a="1"/>
  <c r="CP75" i="2" s="1"/>
  <c r="V13" i="2" a="1"/>
  <c r="V13" i="2" s="1"/>
  <c r="AQ13" i="2" a="1"/>
  <c r="AQ13" i="2" s="1"/>
  <c r="AQ21" i="2" a="1"/>
  <c r="AQ21" i="2" s="1"/>
  <c r="AR21" i="2" s="1" a="1"/>
  <c r="AR21" i="2" s="1"/>
  <c r="V21" i="2" a="1"/>
  <c r="V21" i="2" s="1"/>
  <c r="CJ67" i="2" a="1"/>
  <c r="CJ67" i="2" s="1"/>
  <c r="CM67" i="2" s="1" a="1"/>
  <c r="CM67" i="2" s="1"/>
  <c r="V50" i="2" a="1"/>
  <c r="V50" i="2" s="1"/>
  <c r="AQ50" i="2" a="1"/>
  <c r="AQ50" i="2" s="1"/>
  <c r="CJ77" i="2" a="1"/>
  <c r="CJ77" i="2" s="1"/>
  <c r="CM77" i="2" s="1" a="1"/>
  <c r="CM77" i="2" s="1"/>
  <c r="CP76" i="2" s="1" a="1"/>
  <c r="CP76" i="2" s="1"/>
  <c r="CJ33" i="2" a="1"/>
  <c r="CJ33" i="2" s="1"/>
  <c r="CM33" i="2" s="1" a="1"/>
  <c r="CM33" i="2" s="1"/>
  <c r="CP33" i="2" s="1" a="1"/>
  <c r="CP33" i="2" s="1"/>
  <c r="AR103" i="2" a="1"/>
  <c r="AR103" i="2" s="1"/>
  <c r="CP104" i="2" a="1"/>
  <c r="CP104" i="2" s="1"/>
  <c r="CP102" i="2" a="1"/>
  <c r="CP102" i="2" s="1"/>
  <c r="CP105" i="2" a="1"/>
  <c r="CP105" i="2" s="1"/>
  <c r="CP103" i="2" a="1"/>
  <c r="CP103" i="2" s="1"/>
  <c r="AQ94" i="2" a="1"/>
  <c r="AQ94" i="2" s="1"/>
  <c r="CP93" i="2" a="1"/>
  <c r="CP93" i="2" s="1"/>
  <c r="CN93" i="2" s="1" a="1"/>
  <c r="CN93" i="2" s="1"/>
  <c r="CP96" i="2" a="1"/>
  <c r="CP96" i="2" s="1"/>
  <c r="V48" i="2" a="1"/>
  <c r="V48" i="2" s="1"/>
  <c r="AQ48" i="2" a="1"/>
  <c r="AQ48" i="2" s="1"/>
  <c r="CP31" i="2" a="1"/>
  <c r="CP31" i="2" s="1"/>
  <c r="CP30" i="2" a="1"/>
  <c r="CP30" i="2" s="1"/>
  <c r="CJ3" i="2" a="1"/>
  <c r="CJ3" i="2" s="1"/>
  <c r="CM3" i="2" s="1" a="1"/>
  <c r="CM3" i="2" s="1"/>
  <c r="CJ94" i="2" a="1"/>
  <c r="CJ94" i="2" s="1"/>
  <c r="CM94" i="2" s="1" a="1"/>
  <c r="CM94" i="2" s="1"/>
  <c r="CP94" i="2" s="1" a="1"/>
  <c r="CP94" i="2" s="1"/>
  <c r="V39" i="2" a="1"/>
  <c r="V39" i="2" s="1"/>
  <c r="AQ39" i="2" a="1"/>
  <c r="AQ39" i="2" s="1"/>
  <c r="AQ58" i="2" a="1"/>
  <c r="AQ58" i="2" s="1"/>
  <c r="V31" i="2" a="1"/>
  <c r="V31" i="2" s="1"/>
  <c r="AQ31" i="2" a="1"/>
  <c r="AQ31" i="2" s="1"/>
  <c r="AR31" i="2" s="1" a="1"/>
  <c r="AR31" i="2" s="1"/>
  <c r="AQ67" i="2" a="1"/>
  <c r="AQ67" i="2" s="1"/>
  <c r="AR67" i="2" s="1" a="1"/>
  <c r="AR67" i="2" s="1"/>
  <c r="V67" i="2" a="1"/>
  <c r="V67" i="2" s="1"/>
  <c r="V78" i="2" a="1"/>
  <c r="V78" i="2" s="1"/>
  <c r="AQ78" i="2" a="1"/>
  <c r="AQ78" i="2" s="1"/>
  <c r="V75" i="2" a="1"/>
  <c r="V75" i="2" s="1"/>
  <c r="AQ75" i="2" a="1"/>
  <c r="AQ75" i="2" s="1"/>
  <c r="AR75" i="2" s="1" a="1"/>
  <c r="AR75" i="2" s="1"/>
  <c r="V68" i="2" a="1"/>
  <c r="V68" i="2" s="1"/>
  <c r="AQ68" i="2" a="1"/>
  <c r="AQ68" i="2" s="1"/>
  <c r="AR68" i="2" s="1" a="1"/>
  <c r="AR68" i="2" s="1"/>
  <c r="AQ3" i="2" a="1"/>
  <c r="AQ3" i="2" s="1"/>
  <c r="V3" i="2" a="1"/>
  <c r="V3" i="2" s="1"/>
  <c r="AQ104" i="2" a="1"/>
  <c r="AQ104" i="2" s="1"/>
  <c r="AR104" i="2" s="1" a="1"/>
  <c r="AR104" i="2" s="1"/>
  <c r="V104" i="2" a="1"/>
  <c r="V104" i="2" s="1"/>
  <c r="V95" i="2" a="1"/>
  <c r="V95" i="2" s="1"/>
  <c r="CJ12" i="2" a="1"/>
  <c r="CJ12" i="2" s="1"/>
  <c r="CM12" i="2" s="1" a="1"/>
  <c r="CM12" i="2" s="1"/>
  <c r="V76" i="2" a="1"/>
  <c r="V76" i="2" s="1"/>
  <c r="AQ76" i="2" a="1"/>
  <c r="AQ76" i="2" s="1"/>
  <c r="CJ24" i="2" a="1"/>
  <c r="CJ24" i="2" s="1"/>
  <c r="CM24" i="2" s="1" a="1"/>
  <c r="CM24" i="2" s="1"/>
  <c r="CP23" i="2" s="1" a="1"/>
  <c r="CP23" i="2" s="1"/>
  <c r="CN96" i="2" a="1"/>
  <c r="CN96" i="2" s="1"/>
  <c r="CP84" i="2" a="1"/>
  <c r="CP84" i="2" s="1"/>
  <c r="AQ86" i="2" a="1"/>
  <c r="AQ86" i="2" s="1"/>
  <c r="V59" i="2" a="1"/>
  <c r="V59" i="2" s="1"/>
  <c r="AQ59" i="2" a="1"/>
  <c r="AQ59" i="2" s="1"/>
  <c r="AR59" i="2" s="1" a="1"/>
  <c r="AR59" i="2" s="1"/>
  <c r="AQ102" i="2" a="1"/>
  <c r="AQ102" i="2" s="1"/>
  <c r="AR102" i="2" s="1" a="1"/>
  <c r="AR102" i="2" s="1"/>
  <c r="V102" i="2" a="1"/>
  <c r="V102" i="2" s="1"/>
  <c r="V14" i="2" a="1"/>
  <c r="V14" i="2" s="1"/>
  <c r="AQ14" i="2" a="1"/>
  <c r="AQ14" i="2" s="1"/>
  <c r="V30" i="2" a="1"/>
  <c r="V30" i="2" s="1"/>
  <c r="AQ30" i="2" a="1"/>
  <c r="AQ30" i="2" s="1"/>
  <c r="AR30" i="2" s="1" a="1"/>
  <c r="AR30" i="2" s="1"/>
  <c r="AQ93" i="2" l="1" a="1"/>
  <c r="AQ93" i="2" s="1"/>
  <c r="AR93" i="2" s="1" a="1"/>
  <c r="AR93" i="2" s="1"/>
  <c r="V93" i="2" a="1"/>
  <c r="V93" i="2" s="1"/>
  <c r="AR76" i="2" a="1"/>
  <c r="AR76" i="2" s="1"/>
  <c r="AL66" i="2" a="1"/>
  <c r="AL66" i="2" s="1"/>
  <c r="Z66" i="2" s="1" a="1"/>
  <c r="Z66" i="2" s="1"/>
  <c r="AL68" i="2" a="1"/>
  <c r="AL68" i="2" s="1"/>
  <c r="Z68" i="2" s="1" a="1"/>
  <c r="Z68" i="2" s="1"/>
  <c r="AL67" i="2" a="1"/>
  <c r="AL67" i="2" s="1"/>
  <c r="Z67" i="2" s="1" a="1"/>
  <c r="Z67" i="2" s="1"/>
  <c r="AL69" i="2" a="1"/>
  <c r="AL69" i="2" s="1"/>
  <c r="Z69" i="2" s="1" a="1"/>
  <c r="Z69" i="2" s="1"/>
  <c r="AL60" i="2" a="1"/>
  <c r="AL60" i="2" s="1"/>
  <c r="Z60" i="2" s="1" a="1"/>
  <c r="Z60" i="2" s="1"/>
  <c r="AL58" i="2" a="1"/>
  <c r="AL58" i="2" s="1"/>
  <c r="Z58" i="2" s="1" a="1"/>
  <c r="Z58" i="2" s="1"/>
  <c r="AL57" i="2" a="1"/>
  <c r="AL57" i="2" s="1"/>
  <c r="Z57" i="2" s="1" a="1"/>
  <c r="Z57" i="2" s="1"/>
  <c r="AL59" i="2" a="1"/>
  <c r="AL59" i="2" s="1"/>
  <c r="Z59" i="2" s="1" a="1"/>
  <c r="Z59" i="2" s="1"/>
  <c r="CP5" i="2" a="1"/>
  <c r="CP5" i="2" s="1"/>
  <c r="CP6" i="2" a="1"/>
  <c r="CP6" i="2" s="1"/>
  <c r="CP4" i="2" a="1"/>
  <c r="CP4" i="2" s="1"/>
  <c r="CP3" i="2" a="1"/>
  <c r="CP3" i="2" s="1"/>
  <c r="AR85" i="2" a="1"/>
  <c r="AR85" i="2" s="1"/>
  <c r="CP21" i="2" a="1"/>
  <c r="CP21" i="2" s="1"/>
  <c r="AR94" i="2" a="1"/>
  <c r="AR94" i="2" s="1"/>
  <c r="AR58" i="2" a="1"/>
  <c r="AR58" i="2" s="1"/>
  <c r="AR3" i="2" a="1"/>
  <c r="AR3" i="2" s="1"/>
  <c r="AR39" i="2" a="1"/>
  <c r="AR39" i="2" s="1"/>
  <c r="CP95" i="2" a="1"/>
  <c r="CP95" i="2" s="1"/>
  <c r="CP41" i="2" a="1"/>
  <c r="CP41" i="2" s="1"/>
  <c r="CP22" i="2" a="1"/>
  <c r="CP22" i="2" s="1"/>
  <c r="AL75" i="2" a="1"/>
  <c r="AL75" i="2" s="1"/>
  <c r="Z75" i="2" s="1" a="1"/>
  <c r="Z75" i="2" s="1"/>
  <c r="AL78" i="2" a="1"/>
  <c r="AL78" i="2" s="1"/>
  <c r="Z78" i="2" s="1" a="1"/>
  <c r="Z78" i="2" s="1"/>
  <c r="AL76" i="2" a="1"/>
  <c r="AL76" i="2" s="1"/>
  <c r="Z76" i="2" s="1" a="1"/>
  <c r="Z76" i="2" s="1"/>
  <c r="AL77" i="2" a="1"/>
  <c r="AL77" i="2" s="1"/>
  <c r="Z77" i="2" s="1" a="1"/>
  <c r="Z77" i="2" s="1"/>
  <c r="AL87" i="2" a="1"/>
  <c r="AL87" i="2" s="1"/>
  <c r="Z87" i="2" s="1" a="1"/>
  <c r="Z87" i="2" s="1"/>
  <c r="AL84" i="2" a="1"/>
  <c r="AL84" i="2" s="1"/>
  <c r="Z84" i="2" s="1" a="1"/>
  <c r="Z84" i="2" s="1"/>
  <c r="AL86" i="2" a="1"/>
  <c r="AL86" i="2" s="1"/>
  <c r="Z86" i="2" s="1" a="1"/>
  <c r="Z86" i="2" s="1"/>
  <c r="AL85" i="2" a="1"/>
  <c r="AL85" i="2" s="1"/>
  <c r="Z85" i="2" s="1" a="1"/>
  <c r="Z85" i="2" s="1"/>
  <c r="AR48" i="2" a="1"/>
  <c r="AR48" i="2" s="1"/>
  <c r="AL48" i="2" a="1"/>
  <c r="AL48" i="2" s="1"/>
  <c r="Z48" i="2" s="1" a="1"/>
  <c r="Z48" i="2" s="1"/>
  <c r="AL51" i="2" a="1"/>
  <c r="AL51" i="2" s="1"/>
  <c r="Z51" i="2" s="1" a="1"/>
  <c r="Z51" i="2" s="1"/>
  <c r="AL50" i="2" a="1"/>
  <c r="AL50" i="2" s="1"/>
  <c r="Z50" i="2" s="1" a="1"/>
  <c r="Z50" i="2" s="1"/>
  <c r="AL49" i="2" a="1"/>
  <c r="AL49" i="2" s="1"/>
  <c r="Z49" i="2" s="1" a="1"/>
  <c r="Z49" i="2" s="1"/>
  <c r="AL42" i="2" a="1"/>
  <c r="AL42" i="2" s="1"/>
  <c r="Z42" i="2" s="1" a="1"/>
  <c r="Z42" i="2" s="1"/>
  <c r="AL39" i="2" a="1"/>
  <c r="AL39" i="2" s="1"/>
  <c r="Z39" i="2" s="1" a="1"/>
  <c r="Z39" i="2" s="1"/>
  <c r="AL41" i="2" a="1"/>
  <c r="AL41" i="2" s="1"/>
  <c r="Z41" i="2" s="1" a="1"/>
  <c r="Z41" i="2" s="1"/>
  <c r="AL40" i="2" a="1"/>
  <c r="AL40" i="2" s="1"/>
  <c r="Z40" i="2" s="1" a="1"/>
  <c r="Z40" i="2" s="1"/>
  <c r="AR50" i="2" a="1"/>
  <c r="AR50" i="2" s="1"/>
  <c r="AR4" i="2" a="1"/>
  <c r="AR4" i="2" s="1"/>
  <c r="CP42" i="2" a="1"/>
  <c r="CP42" i="2" s="1"/>
  <c r="CP24" i="2" a="1"/>
  <c r="CP24" i="2" s="1"/>
  <c r="AL103" i="2" a="1"/>
  <c r="AL103" i="2" s="1"/>
  <c r="Z103" i="2" s="1" a="1"/>
  <c r="Z103" i="2" s="1"/>
  <c r="AL104" i="2" a="1"/>
  <c r="AL104" i="2" s="1"/>
  <c r="Z104" i="2" s="1" a="1"/>
  <c r="Z104" i="2" s="1"/>
  <c r="AL105" i="2" a="1"/>
  <c r="AL105" i="2" s="1"/>
  <c r="Z105" i="2" s="1" a="1"/>
  <c r="Z105" i="2" s="1"/>
  <c r="AL102" i="2" a="1"/>
  <c r="AL102" i="2" s="1"/>
  <c r="Z102" i="2" s="1" a="1"/>
  <c r="Z102" i="2" s="1"/>
  <c r="AR66" i="2" a="1"/>
  <c r="AR66" i="2" s="1"/>
  <c r="AL4" i="2" a="1"/>
  <c r="AL4" i="2" s="1"/>
  <c r="Z4" i="2" s="1" a="1"/>
  <c r="Z4" i="2" s="1"/>
  <c r="AL5" i="2" a="1"/>
  <c r="AL5" i="2" s="1"/>
  <c r="Z5" i="2" s="1" a="1"/>
  <c r="Z5" i="2" s="1"/>
  <c r="AL3" i="2" a="1"/>
  <c r="AL3" i="2" s="1"/>
  <c r="Z3" i="2" s="1" a="1"/>
  <c r="Z3" i="2" s="1"/>
  <c r="AL6" i="2" a="1"/>
  <c r="AL6" i="2" s="1"/>
  <c r="Z6" i="2" s="1" a="1"/>
  <c r="Z6" i="2" s="1"/>
  <c r="AR86" i="2" a="1"/>
  <c r="AR86" i="2" s="1"/>
  <c r="AQ96" i="2" a="1"/>
  <c r="AQ96" i="2" s="1"/>
  <c r="AR95" i="2" s="1" a="1"/>
  <c r="AR95" i="2" s="1"/>
  <c r="V96" i="2" a="1"/>
  <c r="V96" i="2" s="1"/>
  <c r="CP69" i="2" a="1"/>
  <c r="CP69" i="2" s="1"/>
  <c r="CP67" i="2" a="1"/>
  <c r="CP67" i="2" s="1"/>
  <c r="CP68" i="2" a="1"/>
  <c r="CP68" i="2" s="1"/>
  <c r="CP66" i="2" a="1"/>
  <c r="CP66" i="2" s="1"/>
  <c r="AL23" i="2" a="1"/>
  <c r="AL23" i="2" s="1"/>
  <c r="Z23" i="2" s="1" a="1"/>
  <c r="Z23" i="2" s="1"/>
  <c r="AL22" i="2" a="1"/>
  <c r="AL22" i="2" s="1"/>
  <c r="Z22" i="2" s="1" a="1"/>
  <c r="Z22" i="2" s="1"/>
  <c r="AL24" i="2" a="1"/>
  <c r="AL24" i="2" s="1"/>
  <c r="Z24" i="2" s="1" a="1"/>
  <c r="Z24" i="2" s="1"/>
  <c r="AL21" i="2" a="1"/>
  <c r="AL21" i="2" s="1"/>
  <c r="Z21" i="2" s="1" a="1"/>
  <c r="Z21" i="2" s="1"/>
  <c r="AL33" i="2" a="1"/>
  <c r="AL33" i="2" s="1"/>
  <c r="Z33" i="2" s="1" a="1"/>
  <c r="Z33" i="2" s="1"/>
  <c r="AL30" i="2" a="1"/>
  <c r="AL30" i="2" s="1"/>
  <c r="Z30" i="2" s="1" a="1"/>
  <c r="Z30" i="2" s="1"/>
  <c r="AL31" i="2" a="1"/>
  <c r="AL31" i="2" s="1"/>
  <c r="Z31" i="2" s="1" a="1"/>
  <c r="Z31" i="2" s="1"/>
  <c r="AL32" i="2" a="1"/>
  <c r="AL32" i="2" s="1"/>
  <c r="Z32" i="2" s="1" a="1"/>
  <c r="Z32" i="2" s="1"/>
  <c r="CP32" i="2" a="1"/>
  <c r="CP32" i="2" s="1"/>
  <c r="CP14" i="2" a="1"/>
  <c r="CP14" i="2" s="1"/>
  <c r="CP12" i="2" a="1"/>
  <c r="CP12" i="2" s="1"/>
  <c r="CP15" i="2" a="1"/>
  <c r="CP15" i="2" s="1"/>
  <c r="CP13" i="2" a="1"/>
  <c r="CP13" i="2" s="1"/>
  <c r="AR40" i="2" a="1"/>
  <c r="AR40" i="2" s="1"/>
  <c r="AR22" i="2" a="1"/>
  <c r="AR22" i="2" s="1"/>
  <c r="AD40" i="2" l="1" a="1"/>
  <c r="AD40" i="2" s="1"/>
  <c r="AC40" i="2" a="1"/>
  <c r="AC40" i="2" s="1"/>
  <c r="AF40" i="2" a="1"/>
  <c r="AF40" i="2" s="1"/>
  <c r="AE40" i="2" a="1"/>
  <c r="AE40" i="2" s="1"/>
  <c r="AB40" i="2" a="1"/>
  <c r="AB40" i="2" s="1"/>
  <c r="AA40" i="2" s="1" a="1"/>
  <c r="AA40" i="2" s="1"/>
  <c r="AH40" i="2" a="1"/>
  <c r="AH40" i="2" s="1"/>
  <c r="AM40" i="2" s="1" a="1"/>
  <c r="AM40" i="2" s="1"/>
  <c r="AG40" i="2" a="1"/>
  <c r="AG40" i="2" s="1"/>
  <c r="B25" i="3" a="1"/>
  <c r="B25" i="3" s="1"/>
  <c r="AD24" i="2" a="1"/>
  <c r="AD24" i="2" s="1"/>
  <c r="AC24" i="2" a="1"/>
  <c r="AC24" i="2" s="1"/>
  <c r="AB24" i="2" a="1"/>
  <c r="AB24" i="2" s="1"/>
  <c r="AH24" i="2" a="1"/>
  <c r="AH24" i="2" s="1"/>
  <c r="AM24" i="2" s="1" a="1"/>
  <c r="AM24" i="2" s="1"/>
  <c r="AG24" i="2" a="1"/>
  <c r="AG24" i="2" s="1"/>
  <c r="AF24" i="2" a="1"/>
  <c r="AF24" i="2" s="1"/>
  <c r="AE24" i="2" a="1"/>
  <c r="AE24" i="2" s="1"/>
  <c r="AG76" i="2" a="1"/>
  <c r="AG76" i="2" s="1"/>
  <c r="AF76" i="2" a="1"/>
  <c r="AF76" i="2" s="1"/>
  <c r="AE76" i="2" a="1"/>
  <c r="AE76" i="2" s="1"/>
  <c r="AD76" i="2" a="1"/>
  <c r="AD76" i="2" s="1"/>
  <c r="AH76" i="2" a="1"/>
  <c r="AH76" i="2" s="1"/>
  <c r="AM76" i="2" s="1" a="1"/>
  <c r="AM76" i="2" s="1"/>
  <c r="AC76" i="2" a="1"/>
  <c r="AC76" i="2" s="1"/>
  <c r="AB76" i="2" a="1"/>
  <c r="AB76" i="2" s="1"/>
  <c r="AA76" i="2" s="1" a="1"/>
  <c r="AA76" i="2" s="1"/>
  <c r="E25" i="3" a="1"/>
  <c r="E25" i="3" s="1"/>
  <c r="AH103" i="2" a="1"/>
  <c r="AH103" i="2" s="1"/>
  <c r="AM103" i="2" s="1" a="1"/>
  <c r="AM103" i="2" s="1"/>
  <c r="AG103" i="2" a="1"/>
  <c r="AG103" i="2" s="1"/>
  <c r="AF103" i="2" a="1"/>
  <c r="AF103" i="2" s="1"/>
  <c r="AE103" i="2" a="1"/>
  <c r="AE103" i="2" s="1"/>
  <c r="AB103" i="2" a="1"/>
  <c r="AB103" i="2" s="1"/>
  <c r="AC103" i="2" a="1"/>
  <c r="AC103" i="2" s="1"/>
  <c r="AD103" i="2" a="1"/>
  <c r="AD103" i="2" s="1"/>
  <c r="K13" i="3" a="1"/>
  <c r="K13" i="3" s="1"/>
  <c r="AC48" i="2" a="1"/>
  <c r="AC48" i="2" s="1"/>
  <c r="AB48" i="2" a="1"/>
  <c r="AB48" i="2" s="1"/>
  <c r="AG48" i="2" a="1"/>
  <c r="AG48" i="2" s="1"/>
  <c r="AF48" i="2" a="1"/>
  <c r="AF48" i="2" s="1"/>
  <c r="AE48" i="2" a="1"/>
  <c r="AE48" i="2" s="1"/>
  <c r="AD48" i="2" a="1"/>
  <c r="AD48" i="2" s="1"/>
  <c r="AH48" i="2" a="1"/>
  <c r="AH48" i="2" s="1"/>
  <c r="AM48" i="2" s="1" a="1"/>
  <c r="AM48" i="2" s="1"/>
  <c r="B13" i="3" a="1"/>
  <c r="B13" i="3" s="1"/>
  <c r="AD57" i="2" a="1"/>
  <c r="AD57" i="2" s="1"/>
  <c r="AB57" i="2" a="1"/>
  <c r="AB57" i="2" s="1"/>
  <c r="AA57" i="2" s="1" a="1"/>
  <c r="AA57" i="2" s="1"/>
  <c r="AG57" i="2" a="1"/>
  <c r="AG57" i="2" s="1"/>
  <c r="AF57" i="2" a="1"/>
  <c r="AF57" i="2" s="1"/>
  <c r="AE57" i="2" a="1"/>
  <c r="AE57" i="2" s="1"/>
  <c r="AC57" i="2" a="1"/>
  <c r="AC57" i="2" s="1"/>
  <c r="AH57" i="2" a="1"/>
  <c r="AH57" i="2" s="1"/>
  <c r="AM57" i="2" s="1" a="1"/>
  <c r="AM57" i="2" s="1"/>
  <c r="H9" i="3" a="1"/>
  <c r="H9" i="3" s="1"/>
  <c r="AE68" i="2" a="1"/>
  <c r="AE68" i="2" s="1"/>
  <c r="AU9" i="8" s="1" a="1"/>
  <c r="AU9" i="8" s="1"/>
  <c r="AD68" i="2" a="1"/>
  <c r="AD68" i="2" s="1"/>
  <c r="AT9" i="8" s="1" a="1"/>
  <c r="AT9" i="8" s="1"/>
  <c r="AC68" i="2" a="1"/>
  <c r="AC68" i="2" s="1"/>
  <c r="AS9" i="8" s="1" a="1"/>
  <c r="AS9" i="8" s="1"/>
  <c r="AB68" i="2" a="1"/>
  <c r="AB68" i="2" s="1"/>
  <c r="AF68" i="2" a="1"/>
  <c r="AF68" i="2" s="1"/>
  <c r="AV9" i="8" s="1" a="1"/>
  <c r="AV9" i="8" s="1"/>
  <c r="AG68" i="2" a="1"/>
  <c r="AG68" i="2" s="1"/>
  <c r="AW9" i="8" s="1" a="1"/>
  <c r="AW9" i="8" s="1"/>
  <c r="AH68" i="2" a="1"/>
  <c r="AH68" i="2" s="1"/>
  <c r="AM68" i="2" s="1" a="1"/>
  <c r="AM68" i="2" s="1"/>
  <c r="AP9" i="8" a="1"/>
  <c r="AP9" i="8" s="1"/>
  <c r="CV9" i="2" s="1" a="1"/>
  <c r="CV9" i="2" s="1"/>
  <c r="AH77" i="2" a="1"/>
  <c r="AH77" i="2" s="1"/>
  <c r="AM77" i="2" s="1" a="1"/>
  <c r="AM77" i="2" s="1"/>
  <c r="AG77" i="2" a="1"/>
  <c r="AG77" i="2" s="1"/>
  <c r="AW10" i="8" s="1" a="1"/>
  <c r="AW10" i="8" s="1"/>
  <c r="AF77" i="2" a="1"/>
  <c r="AF77" i="2" s="1"/>
  <c r="AV10" i="8" s="1" a="1"/>
  <c r="AV10" i="8" s="1"/>
  <c r="AE77" i="2" a="1"/>
  <c r="AE77" i="2" s="1"/>
  <c r="AU10" i="8" s="1" a="1"/>
  <c r="AU10" i="8" s="1"/>
  <c r="AC77" i="2" a="1"/>
  <c r="AC77" i="2" s="1"/>
  <c r="AS10" i="8" s="1" a="1"/>
  <c r="AS10" i="8" s="1"/>
  <c r="AD77" i="2" a="1"/>
  <c r="AD77" i="2" s="1"/>
  <c r="AT10" i="8" s="1" a="1"/>
  <c r="AT10" i="8" s="1"/>
  <c r="AB77" i="2" a="1"/>
  <c r="AB77" i="2" s="1"/>
  <c r="AP10" i="8" a="1"/>
  <c r="AP10" i="8" s="1"/>
  <c r="CV10" i="2" s="1" a="1"/>
  <c r="CV10" i="2" s="1"/>
  <c r="AC22" i="2" a="1"/>
  <c r="AC22" i="2" s="1"/>
  <c r="AH22" i="2" a="1"/>
  <c r="AH22" i="2" s="1"/>
  <c r="AM22" i="2" s="1" a="1"/>
  <c r="AM22" i="2" s="1"/>
  <c r="AB22" i="2" a="1"/>
  <c r="AB22" i="2" s="1"/>
  <c r="AG22" i="2" a="1"/>
  <c r="AG22" i="2" s="1"/>
  <c r="AF22" i="2" a="1"/>
  <c r="AF22" i="2" s="1"/>
  <c r="AE22" i="2" a="1"/>
  <c r="AE22" i="2" s="1"/>
  <c r="AD22" i="2" a="1"/>
  <c r="AD22" i="2" s="1"/>
  <c r="E13" i="3" a="1"/>
  <c r="E13" i="3" s="1"/>
  <c r="AB49" i="2" a="1"/>
  <c r="AB49" i="2" s="1"/>
  <c r="AH49" i="2" a="1"/>
  <c r="AH49" i="2" s="1"/>
  <c r="AM49" i="2" s="1" a="1"/>
  <c r="AM49" i="2" s="1"/>
  <c r="AF49" i="2" a="1"/>
  <c r="AF49" i="2" s="1"/>
  <c r="AD49" i="2" a="1"/>
  <c r="AD49" i="2" s="1"/>
  <c r="AC49" i="2" a="1"/>
  <c r="AC49" i="2" s="1"/>
  <c r="AG49" i="2" a="1"/>
  <c r="AG49" i="2" s="1"/>
  <c r="AE49" i="2" a="1"/>
  <c r="AE49" i="2" s="1"/>
  <c r="E17" i="3" a="1"/>
  <c r="E17" i="3" s="1"/>
  <c r="AC50" i="2" a="1"/>
  <c r="AC50" i="2" s="1"/>
  <c r="AS7" i="8" s="1" a="1"/>
  <c r="AS7" i="8" s="1"/>
  <c r="AB50" i="2" a="1"/>
  <c r="AB50" i="2" s="1"/>
  <c r="AH50" i="2" a="1"/>
  <c r="AH50" i="2" s="1"/>
  <c r="AM50" i="2" s="1" a="1"/>
  <c r="AM50" i="2" s="1"/>
  <c r="AG50" i="2" a="1"/>
  <c r="AG50" i="2" s="1"/>
  <c r="AW7" i="8" s="1" a="1"/>
  <c r="AW7" i="8" s="1"/>
  <c r="AF50" i="2" a="1"/>
  <c r="AF50" i="2" s="1"/>
  <c r="AV7" i="8" s="1" a="1"/>
  <c r="AV7" i="8" s="1"/>
  <c r="AE50" i="2" a="1"/>
  <c r="AE50" i="2" s="1"/>
  <c r="AU7" i="8" s="1" a="1"/>
  <c r="AU7" i="8" s="1"/>
  <c r="AD50" i="2" a="1"/>
  <c r="AD50" i="2" s="1"/>
  <c r="AT7" i="8" s="1" a="1"/>
  <c r="AT7" i="8" s="1"/>
  <c r="AP7" i="8" a="1"/>
  <c r="AP7" i="8" s="1"/>
  <c r="CV7" i="2" s="1" a="1"/>
  <c r="CV7" i="2" s="1"/>
  <c r="AC104" i="2" a="1"/>
  <c r="AC104" i="2" s="1"/>
  <c r="AS13" i="8" s="1" a="1"/>
  <c r="AS13" i="8" s="1"/>
  <c r="AB104" i="2" a="1"/>
  <c r="AB104" i="2" s="1"/>
  <c r="AH104" i="2" a="1"/>
  <c r="AH104" i="2" s="1"/>
  <c r="AM104" i="2" s="1" a="1"/>
  <c r="AM104" i="2" s="1"/>
  <c r="AG104" i="2" a="1"/>
  <c r="AG104" i="2" s="1"/>
  <c r="AW13" i="8" s="1" a="1"/>
  <c r="AW13" i="8" s="1"/>
  <c r="AD104" i="2" a="1"/>
  <c r="AD104" i="2" s="1"/>
  <c r="AT13" i="8" s="1" a="1"/>
  <c r="AT13" i="8" s="1"/>
  <c r="AF104" i="2" a="1"/>
  <c r="AF104" i="2" s="1"/>
  <c r="AV13" i="8" s="1" a="1"/>
  <c r="AV13" i="8" s="1"/>
  <c r="AE104" i="2" a="1"/>
  <c r="AE104" i="2" s="1"/>
  <c r="AU13" i="8" s="1" a="1"/>
  <c r="AU13" i="8" s="1"/>
  <c r="AP13" i="8" a="1"/>
  <c r="AP13" i="8" s="1"/>
  <c r="CV13" i="2" s="1" a="1"/>
  <c r="CV13" i="2" s="1"/>
  <c r="AG59" i="2" a="1"/>
  <c r="AG59" i="2" s="1"/>
  <c r="AW8" i="8" s="1" a="1"/>
  <c r="AW8" i="8" s="1"/>
  <c r="AC59" i="2" a="1"/>
  <c r="AC59" i="2" s="1"/>
  <c r="AS8" i="8" s="1" a="1"/>
  <c r="AS8" i="8" s="1"/>
  <c r="AD59" i="2" a="1"/>
  <c r="AD59" i="2" s="1"/>
  <c r="AT8" i="8" s="1" a="1"/>
  <c r="AT8" i="8" s="1"/>
  <c r="AB59" i="2" a="1"/>
  <c r="AB59" i="2" s="1"/>
  <c r="AH59" i="2" a="1"/>
  <c r="AH59" i="2" s="1"/>
  <c r="AM59" i="2" s="1" a="1"/>
  <c r="AM59" i="2" s="1"/>
  <c r="AF59" i="2" a="1"/>
  <c r="AF59" i="2" s="1"/>
  <c r="AV8" i="8" s="1" a="1"/>
  <c r="AV8" i="8" s="1"/>
  <c r="AE59" i="2" a="1"/>
  <c r="AE59" i="2" s="1"/>
  <c r="AU8" i="8" s="1" a="1"/>
  <c r="AU8" i="8" s="1"/>
  <c r="AP8" i="8" a="1"/>
  <c r="AP8" i="8" s="1"/>
  <c r="CV8" i="2" s="1" a="1"/>
  <c r="CV8" i="2" s="1"/>
  <c r="AE32" i="2" a="1"/>
  <c r="AE32" i="2" s="1"/>
  <c r="AU5" i="8" s="1" a="1"/>
  <c r="AU5" i="8" s="1"/>
  <c r="AH32" i="2" a="1"/>
  <c r="AH32" i="2" s="1"/>
  <c r="AM32" i="2" s="1" a="1"/>
  <c r="AM32" i="2" s="1"/>
  <c r="AG32" i="2" a="1"/>
  <c r="AG32" i="2" s="1"/>
  <c r="AW5" i="8" s="1" a="1"/>
  <c r="AW5" i="8" s="1"/>
  <c r="AF32" i="2" a="1"/>
  <c r="AF32" i="2" s="1"/>
  <c r="AV5" i="8" s="1" a="1"/>
  <c r="AV5" i="8" s="1"/>
  <c r="AD32" i="2" a="1"/>
  <c r="AD32" i="2" s="1"/>
  <c r="AT5" i="8" s="1" a="1"/>
  <c r="AT5" i="8" s="1"/>
  <c r="AC32" i="2" a="1"/>
  <c r="AC32" i="2" s="1"/>
  <c r="AS5" i="8" s="1" a="1"/>
  <c r="AS5" i="8" s="1"/>
  <c r="AB32" i="2" a="1"/>
  <c r="AB32" i="2" s="1"/>
  <c r="AP5" i="8" a="1"/>
  <c r="AP5" i="8" s="1"/>
  <c r="CV5" i="2" s="1" a="1"/>
  <c r="CV5" i="2" s="1"/>
  <c r="AD58" i="2" a="1"/>
  <c r="AD58" i="2" s="1"/>
  <c r="AB58" i="2" a="1"/>
  <c r="AB58" i="2" s="1"/>
  <c r="AG58" i="2" a="1"/>
  <c r="AG58" i="2" s="1"/>
  <c r="AH58" i="2" a="1"/>
  <c r="AH58" i="2" s="1"/>
  <c r="AM58" i="2" s="1" a="1"/>
  <c r="AM58" i="2" s="1"/>
  <c r="AF58" i="2" a="1"/>
  <c r="AF58" i="2" s="1"/>
  <c r="AE58" i="2" a="1"/>
  <c r="AE58" i="2" s="1"/>
  <c r="AC58" i="2" a="1"/>
  <c r="AC58" i="2" s="1"/>
  <c r="K33" i="3" a="1"/>
  <c r="K33" i="3" s="1"/>
  <c r="AD21" i="2" a="1"/>
  <c r="AD21" i="2" s="1"/>
  <c r="AB21" i="2" a="1"/>
  <c r="AB21" i="2" s="1"/>
  <c r="AH21" i="2" a="1"/>
  <c r="AH21" i="2" s="1"/>
  <c r="AM21" i="2" s="1" a="1"/>
  <c r="AM21" i="2" s="1"/>
  <c r="AG21" i="2" a="1"/>
  <c r="AG21" i="2" s="1"/>
  <c r="AF21" i="2" a="1"/>
  <c r="AF21" i="2" s="1"/>
  <c r="AE21" i="2" a="1"/>
  <c r="AE21" i="2" s="1"/>
  <c r="AC21" i="2" a="1"/>
  <c r="AC21" i="2" s="1"/>
  <c r="B17" i="3" a="1"/>
  <c r="B17" i="3" s="1"/>
  <c r="AB41" i="2" a="1"/>
  <c r="AB41" i="2" s="1"/>
  <c r="AE41" i="2" a="1"/>
  <c r="AE41" i="2" s="1"/>
  <c r="AU6" i="8" s="1" a="1"/>
  <c r="AU6" i="8" s="1"/>
  <c r="AD41" i="2" a="1"/>
  <c r="AD41" i="2" s="1"/>
  <c r="AT6" i="8" s="1" a="1"/>
  <c r="AT6" i="8" s="1"/>
  <c r="AH41" i="2" a="1"/>
  <c r="AH41" i="2" s="1"/>
  <c r="AM41" i="2" s="1" a="1"/>
  <c r="AM41" i="2" s="1"/>
  <c r="AG41" i="2" a="1"/>
  <c r="AG41" i="2" s="1"/>
  <c r="AW6" i="8" s="1" a="1"/>
  <c r="AW6" i="8" s="1"/>
  <c r="AF41" i="2" a="1"/>
  <c r="AF41" i="2" s="1"/>
  <c r="AV6" i="8" s="1" a="1"/>
  <c r="AV6" i="8" s="1"/>
  <c r="AC41" i="2" a="1"/>
  <c r="AC41" i="2" s="1"/>
  <c r="AS6" i="8" s="1" a="1"/>
  <c r="AS6" i="8" s="1"/>
  <c r="AP6" i="8" a="1"/>
  <c r="AP6" i="8" s="1"/>
  <c r="CV6" i="2" s="1" a="1"/>
  <c r="CV6" i="2" s="1"/>
  <c r="AH4" i="2" a="1"/>
  <c r="AH4" i="2" s="1"/>
  <c r="AM4" i="2" s="1" a="1"/>
  <c r="AM4" i="2" s="1"/>
  <c r="AB4" i="2" a="1"/>
  <c r="AB4" i="2" s="1"/>
  <c r="AG4" i="2" a="1"/>
  <c r="AG4" i="2" s="1"/>
  <c r="AF4" i="2" a="1"/>
  <c r="AF4" i="2" s="1"/>
  <c r="AE4" i="2" a="1"/>
  <c r="AE4" i="2" s="1"/>
  <c r="AD4" i="2" a="1"/>
  <c r="AD4" i="2" s="1"/>
  <c r="AC4" i="2" a="1"/>
  <c r="AC4" i="2" s="1"/>
  <c r="B5" i="3" a="1"/>
  <c r="B5" i="3" s="1"/>
  <c r="AG51" i="2" a="1"/>
  <c r="AG51" i="2" s="1"/>
  <c r="AC51" i="2" a="1"/>
  <c r="AC51" i="2" s="1"/>
  <c r="AB51" i="2" a="1"/>
  <c r="AB51" i="2" s="1"/>
  <c r="AD51" i="2" a="1"/>
  <c r="AD51" i="2" s="1"/>
  <c r="AF51" i="2" a="1"/>
  <c r="AF51" i="2" s="1"/>
  <c r="AE51" i="2" a="1"/>
  <c r="AE51" i="2" s="1"/>
  <c r="AH51" i="2" a="1"/>
  <c r="AH51" i="2" s="1"/>
  <c r="AM51" i="2" s="1" a="1"/>
  <c r="AM51" i="2" s="1"/>
  <c r="AE85" i="2" a="1"/>
  <c r="AE85" i="2" s="1"/>
  <c r="AD85" i="2" a="1"/>
  <c r="AD85" i="2" s="1"/>
  <c r="AC85" i="2" a="1"/>
  <c r="AC85" i="2" s="1"/>
  <c r="AB85" i="2" a="1"/>
  <c r="AB85" i="2" s="1"/>
  <c r="AA85" i="2" s="1" a="1"/>
  <c r="AA85" i="2" s="1"/>
  <c r="AH85" i="2" a="1"/>
  <c r="AH85" i="2" s="1"/>
  <c r="AM85" i="2" s="1" a="1"/>
  <c r="AM85" i="2" s="1"/>
  <c r="AG85" i="2" a="1"/>
  <c r="AG85" i="2" s="1"/>
  <c r="AF85" i="2" a="1"/>
  <c r="AF85" i="2" s="1"/>
  <c r="K17" i="3" a="1"/>
  <c r="K17" i="3" s="1"/>
  <c r="AH60" i="2" a="1"/>
  <c r="AH60" i="2" s="1"/>
  <c r="AM60" i="2" s="1" a="1"/>
  <c r="AM60" i="2" s="1"/>
  <c r="AG60" i="2" a="1"/>
  <c r="AG60" i="2" s="1"/>
  <c r="AC60" i="2" a="1"/>
  <c r="AC60" i="2" s="1"/>
  <c r="AE60" i="2" a="1"/>
  <c r="AE60" i="2" s="1"/>
  <c r="AD60" i="2" a="1"/>
  <c r="AD60" i="2" s="1"/>
  <c r="AF60" i="2" a="1"/>
  <c r="AF60" i="2" s="1"/>
  <c r="AB60" i="2" a="1"/>
  <c r="AB60" i="2" s="1"/>
  <c r="AA60" i="2" s="1" a="1"/>
  <c r="AA60" i="2" s="1"/>
  <c r="AC87" i="2" a="1"/>
  <c r="AC87" i="2" s="1"/>
  <c r="AH87" i="2" a="1"/>
  <c r="AH87" i="2" s="1"/>
  <c r="AM87" i="2" s="1" a="1"/>
  <c r="AM87" i="2" s="1"/>
  <c r="AB87" i="2" a="1"/>
  <c r="AB87" i="2" s="1"/>
  <c r="AG87" i="2" a="1"/>
  <c r="AG87" i="2" s="1"/>
  <c r="AF87" i="2" a="1"/>
  <c r="AF87" i="2" s="1"/>
  <c r="AE87" i="2" a="1"/>
  <c r="AE87" i="2" s="1"/>
  <c r="AD87" i="2" a="1"/>
  <c r="AD87" i="2" s="1"/>
  <c r="AG5" i="2" a="1"/>
  <c r="AG5" i="2" s="1"/>
  <c r="AW2" i="8" s="1" a="1"/>
  <c r="AW2" i="8" s="1"/>
  <c r="AF5" i="2" a="1"/>
  <c r="AF5" i="2" s="1"/>
  <c r="AV2" i="8" s="1" a="1"/>
  <c r="AV2" i="8" s="1"/>
  <c r="AB5" i="2" a="1"/>
  <c r="AB5" i="2" s="1"/>
  <c r="AH5" i="2" a="1"/>
  <c r="AH5" i="2" s="1"/>
  <c r="AM5" i="2" s="1" a="1"/>
  <c r="AM5" i="2" s="1"/>
  <c r="AE5" i="2" a="1"/>
  <c r="AE5" i="2" s="1"/>
  <c r="AU2" i="8" s="1" a="1"/>
  <c r="AU2" i="8" s="1"/>
  <c r="AD5" i="2" a="1"/>
  <c r="AD5" i="2" s="1"/>
  <c r="AT2" i="8" s="1" a="1"/>
  <c r="AT2" i="8" s="1"/>
  <c r="AC5" i="2" a="1"/>
  <c r="AC5" i="2" s="1"/>
  <c r="AS2" i="8" s="1" a="1"/>
  <c r="AS2" i="8" s="1"/>
  <c r="AP2" i="8" a="1"/>
  <c r="AP2" i="8" s="1"/>
  <c r="CV2" i="2" s="1" a="1"/>
  <c r="CV2" i="2" s="1"/>
  <c r="AC39" i="2" a="1"/>
  <c r="AC39" i="2" s="1"/>
  <c r="AB39" i="2" a="1"/>
  <c r="AB39" i="2" s="1"/>
  <c r="AA39" i="2" s="1" a="1"/>
  <c r="AA39" i="2" s="1"/>
  <c r="AH39" i="2" a="1"/>
  <c r="AH39" i="2" s="1"/>
  <c r="AM39" i="2" s="1" a="1"/>
  <c r="AM39" i="2" s="1"/>
  <c r="AF39" i="2" a="1"/>
  <c r="AF39" i="2" s="1"/>
  <c r="AE39" i="2" a="1"/>
  <c r="AE39" i="2" s="1"/>
  <c r="AD39" i="2" a="1"/>
  <c r="AD39" i="2" s="1"/>
  <c r="AG39" i="2" a="1"/>
  <c r="AG39" i="2" s="1"/>
  <c r="B9" i="3" a="1"/>
  <c r="B9" i="3" s="1"/>
  <c r="AF102" i="2" a="1"/>
  <c r="AF102" i="2" s="1"/>
  <c r="AE102" i="2" a="1"/>
  <c r="AE102" i="2" s="1"/>
  <c r="AD102" i="2" a="1"/>
  <c r="AD102" i="2" s="1"/>
  <c r="AC102" i="2" a="1"/>
  <c r="AC102" i="2" s="1"/>
  <c r="AB102" i="2" a="1"/>
  <c r="AB102" i="2" s="1"/>
  <c r="AG102" i="2" a="1"/>
  <c r="AG102" i="2" s="1"/>
  <c r="AH102" i="2" a="1"/>
  <c r="AH102" i="2" s="1"/>
  <c r="AM102" i="2" s="1" a="1"/>
  <c r="AM102" i="2" s="1"/>
  <c r="B33" i="3" a="1"/>
  <c r="B33" i="3" s="1"/>
  <c r="AC105" i="2" a="1"/>
  <c r="AC105" i="2" s="1"/>
  <c r="AB105" i="2" a="1"/>
  <c r="AB105" i="2" s="1"/>
  <c r="AH105" i="2" a="1"/>
  <c r="AH105" i="2" s="1"/>
  <c r="AM105" i="2" s="1" a="1"/>
  <c r="AM105" i="2" s="1"/>
  <c r="AG105" i="2" a="1"/>
  <c r="AG105" i="2" s="1"/>
  <c r="AD105" i="2" a="1"/>
  <c r="AD105" i="2" s="1"/>
  <c r="AF105" i="2" a="1"/>
  <c r="AF105" i="2" s="1"/>
  <c r="AE105" i="2" a="1"/>
  <c r="AE105" i="2" s="1"/>
  <c r="AD31" i="2" a="1"/>
  <c r="AD31" i="2" s="1"/>
  <c r="AC31" i="2" a="1"/>
  <c r="AC31" i="2" s="1"/>
  <c r="AH31" i="2" a="1"/>
  <c r="AH31" i="2" s="1"/>
  <c r="AM31" i="2" s="1" a="1"/>
  <c r="AM31" i="2" s="1"/>
  <c r="AG31" i="2" a="1"/>
  <c r="AG31" i="2" s="1"/>
  <c r="AE31" i="2" a="1"/>
  <c r="AE31" i="2" s="1"/>
  <c r="AF31" i="2" a="1"/>
  <c r="AF31" i="2" s="1"/>
  <c r="AB31" i="2" a="1"/>
  <c r="AB31" i="2" s="1"/>
  <c r="AA31" i="2" s="1" a="1"/>
  <c r="AA31" i="2" s="1"/>
  <c r="H33" i="3" a="1"/>
  <c r="H33" i="3" s="1"/>
  <c r="AC30" i="2" a="1"/>
  <c r="AC30" i="2" s="1"/>
  <c r="AH30" i="2" a="1"/>
  <c r="AH30" i="2" s="1"/>
  <c r="AM30" i="2" s="1" a="1"/>
  <c r="AM30" i="2" s="1"/>
  <c r="AB30" i="2" a="1"/>
  <c r="AB30" i="2" s="1"/>
  <c r="AF30" i="2" a="1"/>
  <c r="AF30" i="2" s="1"/>
  <c r="AE30" i="2" a="1"/>
  <c r="AE30" i="2" s="1"/>
  <c r="AG30" i="2" a="1"/>
  <c r="AG30" i="2" s="1"/>
  <c r="AD30" i="2" a="1"/>
  <c r="AD30" i="2" s="1"/>
  <c r="H5" i="3" a="1"/>
  <c r="H5" i="3" s="1"/>
  <c r="AH86" i="2" a="1"/>
  <c r="AH86" i="2" s="1"/>
  <c r="AM86" i="2" s="1" a="1"/>
  <c r="AM86" i="2" s="1"/>
  <c r="AB86" i="2" a="1"/>
  <c r="AB86" i="2" s="1"/>
  <c r="AG86" i="2" a="1"/>
  <c r="AG86" i="2" s="1"/>
  <c r="AW11" i="8" s="1" a="1"/>
  <c r="AW11" i="8" s="1"/>
  <c r="AF86" i="2" a="1"/>
  <c r="AF86" i="2" s="1"/>
  <c r="AV11" i="8" s="1" a="1"/>
  <c r="AV11" i="8" s="1"/>
  <c r="AE86" i="2" a="1"/>
  <c r="AE86" i="2" s="1"/>
  <c r="AU11" i="8" s="1" a="1"/>
  <c r="AU11" i="8" s="1"/>
  <c r="AC86" i="2" a="1"/>
  <c r="AC86" i="2" s="1"/>
  <c r="AS11" i="8" s="1" a="1"/>
  <c r="AS11" i="8" s="1"/>
  <c r="AD86" i="2" a="1"/>
  <c r="AD86" i="2" s="1"/>
  <c r="AT11" i="8" s="1" a="1"/>
  <c r="AT11" i="8" s="1"/>
  <c r="AP11" i="8" a="1"/>
  <c r="AP11" i="8" s="1"/>
  <c r="CV11" i="2" s="1" a="1"/>
  <c r="CV11" i="2" s="1"/>
  <c r="AE69" i="2" a="1"/>
  <c r="AE69" i="2" s="1"/>
  <c r="AD69" i="2" a="1"/>
  <c r="AD69" i="2" s="1"/>
  <c r="AC69" i="2" a="1"/>
  <c r="AC69" i="2" s="1"/>
  <c r="AB69" i="2" a="1"/>
  <c r="AB69" i="2" s="1"/>
  <c r="AF69" i="2" a="1"/>
  <c r="AF69" i="2" s="1"/>
  <c r="AH69" i="2" a="1"/>
  <c r="AH69" i="2" s="1"/>
  <c r="AM69" i="2" s="1" a="1"/>
  <c r="AM69" i="2" s="1"/>
  <c r="AG69" i="2" a="1"/>
  <c r="AG69" i="2" s="1"/>
  <c r="AE33" i="2" a="1"/>
  <c r="AE33" i="2" s="1"/>
  <c r="AH33" i="2" a="1"/>
  <c r="AH33" i="2" s="1"/>
  <c r="AM33" i="2" s="1" a="1"/>
  <c r="AM33" i="2" s="1"/>
  <c r="AG33" i="2" a="1"/>
  <c r="AG33" i="2" s="1"/>
  <c r="AF33" i="2" a="1"/>
  <c r="AF33" i="2" s="1"/>
  <c r="AD33" i="2" a="1"/>
  <c r="AD33" i="2" s="1"/>
  <c r="AC33" i="2" a="1"/>
  <c r="AC33" i="2" s="1"/>
  <c r="AB33" i="2" a="1"/>
  <c r="AB33" i="2" s="1"/>
  <c r="AA33" i="2" s="1" a="1"/>
  <c r="AA33" i="2" s="1"/>
  <c r="AE6" i="2" a="1"/>
  <c r="AE6" i="2" s="1"/>
  <c r="AD6" i="2" a="1"/>
  <c r="AD6" i="2" s="1"/>
  <c r="AC6" i="2" a="1"/>
  <c r="AC6" i="2" s="1"/>
  <c r="AB6" i="2" a="1"/>
  <c r="AB6" i="2" s="1"/>
  <c r="AA6" i="2" s="1" a="1"/>
  <c r="AA6" i="2" s="1"/>
  <c r="AH6" i="2" a="1"/>
  <c r="AH6" i="2" s="1"/>
  <c r="AM6" i="2" s="1" a="1"/>
  <c r="AM6" i="2" s="1"/>
  <c r="AG6" i="2" a="1"/>
  <c r="AG6" i="2" s="1"/>
  <c r="AF6" i="2" a="1"/>
  <c r="AF6" i="2" s="1"/>
  <c r="AD84" i="2" a="1"/>
  <c r="AD84" i="2" s="1"/>
  <c r="AC84" i="2" a="1"/>
  <c r="AC84" i="2" s="1"/>
  <c r="AB84" i="2" a="1"/>
  <c r="AB84" i="2" s="1"/>
  <c r="AG84" i="2" a="1"/>
  <c r="AG84" i="2" s="1"/>
  <c r="AF84" i="2" a="1"/>
  <c r="AF84" i="2" s="1"/>
  <c r="AE84" i="2" a="1"/>
  <c r="AE84" i="2" s="1"/>
  <c r="AH84" i="2" a="1"/>
  <c r="AH84" i="2" s="1"/>
  <c r="AM84" i="2" s="1" a="1"/>
  <c r="AM84" i="2" s="1"/>
  <c r="H25" i="3" a="1"/>
  <c r="H25" i="3" s="1"/>
  <c r="AD67" i="2" a="1"/>
  <c r="AD67" i="2" s="1"/>
  <c r="AC67" i="2" a="1"/>
  <c r="AC67" i="2" s="1"/>
  <c r="AB67" i="2" a="1"/>
  <c r="AB67" i="2" s="1"/>
  <c r="AE67" i="2" a="1"/>
  <c r="AE67" i="2" s="1"/>
  <c r="AH67" i="2" a="1"/>
  <c r="AH67" i="2" s="1"/>
  <c r="AM67" i="2" s="1" a="1"/>
  <c r="AM67" i="2" s="1"/>
  <c r="AG67" i="2" a="1"/>
  <c r="AG67" i="2" s="1"/>
  <c r="AF67" i="2" a="1"/>
  <c r="AF67" i="2" s="1"/>
  <c r="K25" i="3" a="1"/>
  <c r="K25" i="3" s="1"/>
  <c r="AD3" i="2" a="1"/>
  <c r="AD3" i="2" s="1"/>
  <c r="AC3" i="2" a="1"/>
  <c r="AC3" i="2" s="1"/>
  <c r="AB3" i="2" a="1"/>
  <c r="AB3" i="2" s="1"/>
  <c r="AH3" i="2" a="1"/>
  <c r="AH3" i="2" s="1"/>
  <c r="AM3" i="2" s="1" a="1"/>
  <c r="AM3" i="2" s="1"/>
  <c r="AG3" i="2" a="1"/>
  <c r="AG3" i="2" s="1"/>
  <c r="AF3" i="2" a="1"/>
  <c r="AF3" i="2" s="1"/>
  <c r="AE3" i="2" a="1"/>
  <c r="AE3" i="2" s="1"/>
  <c r="B29" i="3" a="1"/>
  <c r="B29" i="3" s="1"/>
  <c r="AC66" i="2" a="1"/>
  <c r="AC66" i="2" s="1"/>
  <c r="AB66" i="2" a="1"/>
  <c r="AB66" i="2" s="1"/>
  <c r="AH66" i="2" a="1"/>
  <c r="AH66" i="2" s="1"/>
  <c r="AM66" i="2" s="1" a="1"/>
  <c r="AM66" i="2" s="1"/>
  <c r="AD66" i="2" a="1"/>
  <c r="AD66" i="2" s="1"/>
  <c r="AF66" i="2" a="1"/>
  <c r="AF66" i="2" s="1"/>
  <c r="AE66" i="2" a="1"/>
  <c r="AE66" i="2" s="1"/>
  <c r="AG66" i="2" a="1"/>
  <c r="AG66" i="2" s="1"/>
  <c r="H17" i="3" a="1"/>
  <c r="H17" i="3" s="1"/>
  <c r="CN12" i="2" a="1"/>
  <c r="CN12" i="2" s="1"/>
  <c r="CN15" i="2" a="1"/>
  <c r="CN15" i="2" s="1"/>
  <c r="AD23" i="2" a="1"/>
  <c r="AD23" i="2" s="1"/>
  <c r="AT4" i="8" s="1" a="1"/>
  <c r="AT4" i="8" s="1"/>
  <c r="AC23" i="2" a="1"/>
  <c r="AC23" i="2" s="1"/>
  <c r="AS4" i="8" s="1" a="1"/>
  <c r="AS4" i="8" s="1"/>
  <c r="AF23" i="2" a="1"/>
  <c r="AF23" i="2" s="1"/>
  <c r="AV4" i="8" s="1" a="1"/>
  <c r="AV4" i="8" s="1"/>
  <c r="AE23" i="2" a="1"/>
  <c r="AE23" i="2" s="1"/>
  <c r="AU4" i="8" s="1" a="1"/>
  <c r="AU4" i="8" s="1"/>
  <c r="AB23" i="2" a="1"/>
  <c r="AB23" i="2" s="1"/>
  <c r="AG23" i="2" a="1"/>
  <c r="AG23" i="2" s="1"/>
  <c r="AW4" i="8" s="1" a="1"/>
  <c r="AW4" i="8" s="1"/>
  <c r="AH23" i="2" a="1"/>
  <c r="AH23" i="2" s="1"/>
  <c r="AM23" i="2" s="1" a="1"/>
  <c r="AM23" i="2" s="1"/>
  <c r="AP4" i="8" a="1"/>
  <c r="AP4" i="8" s="1"/>
  <c r="CV4" i="2" s="1" a="1"/>
  <c r="CV4" i="2" s="1"/>
  <c r="AD42" i="2" a="1"/>
  <c r="AD42" i="2" s="1"/>
  <c r="AG42" i="2" a="1"/>
  <c r="AG42" i="2" s="1"/>
  <c r="AE42" i="2" a="1"/>
  <c r="AE42" i="2" s="1"/>
  <c r="AC42" i="2" a="1"/>
  <c r="AC42" i="2" s="1"/>
  <c r="AB42" i="2" a="1"/>
  <c r="AB42" i="2" s="1"/>
  <c r="AA42" i="2" s="1" a="1"/>
  <c r="AA42" i="2" s="1"/>
  <c r="AH42" i="2" a="1"/>
  <c r="AH42" i="2" s="1"/>
  <c r="AM42" i="2" s="1" a="1"/>
  <c r="AM42" i="2" s="1"/>
  <c r="AF42" i="2" a="1"/>
  <c r="AF42" i="2" s="1"/>
  <c r="AH78" i="2" a="1"/>
  <c r="AH78" i="2" s="1"/>
  <c r="AM78" i="2" s="1" a="1"/>
  <c r="AM78" i="2" s="1"/>
  <c r="AG78" i="2" a="1"/>
  <c r="AG78" i="2" s="1"/>
  <c r="AF78" i="2" a="1"/>
  <c r="AF78" i="2" s="1"/>
  <c r="AE78" i="2" a="1"/>
  <c r="AE78" i="2" s="1"/>
  <c r="AC78" i="2" a="1"/>
  <c r="AC78" i="2" s="1"/>
  <c r="AB78" i="2" a="1"/>
  <c r="AB78" i="2" s="1"/>
  <c r="AA78" i="2" s="1" a="1"/>
  <c r="AA78" i="2" s="1"/>
  <c r="AD78" i="2" a="1"/>
  <c r="AD78" i="2" s="1"/>
  <c r="AL95" i="2" a="1"/>
  <c r="AL95" i="2" s="1"/>
  <c r="Z95" i="2" s="1" a="1"/>
  <c r="Z95" i="2" s="1"/>
  <c r="AL94" i="2" a="1"/>
  <c r="AL94" i="2" s="1"/>
  <c r="Z94" i="2" s="1" a="1"/>
  <c r="Z94" i="2" s="1"/>
  <c r="AL96" i="2" a="1"/>
  <c r="AL96" i="2" s="1"/>
  <c r="Z96" i="2" s="1" a="1"/>
  <c r="Z96" i="2" s="1"/>
  <c r="AL93" i="2" a="1"/>
  <c r="AL93" i="2" s="1"/>
  <c r="Z93" i="2" s="1" a="1"/>
  <c r="Z93" i="2" s="1"/>
  <c r="AF75" i="2" a="1"/>
  <c r="AF75" i="2" s="1"/>
  <c r="AE75" i="2" a="1"/>
  <c r="AE75" i="2" s="1"/>
  <c r="AD75" i="2" a="1"/>
  <c r="AD75" i="2" s="1"/>
  <c r="AC75" i="2" a="1"/>
  <c r="AC75" i="2" s="1"/>
  <c r="AG75" i="2" a="1"/>
  <c r="AG75" i="2" s="1"/>
  <c r="AH75" i="2" a="1"/>
  <c r="AH75" i="2" s="1"/>
  <c r="AM75" i="2" s="1" a="1"/>
  <c r="AM75" i="2" s="1"/>
  <c r="AB75" i="2" a="1"/>
  <c r="AB75" i="2" s="1"/>
  <c r="B21" i="3" a="1"/>
  <c r="B21" i="3" s="1"/>
  <c r="AA3" i="2" l="1" a="1"/>
  <c r="AA3" i="2" s="1"/>
  <c r="AA69" i="2" a="1"/>
  <c r="AA69" i="2" s="1"/>
  <c r="AI18" i="9" a="1"/>
  <c r="AI18" i="9" s="1"/>
  <c r="B35" i="3" a="1"/>
  <c r="B35" i="3" s="1"/>
  <c r="S29" i="3" s="1" a="1"/>
  <c r="S29" i="3" s="1"/>
  <c r="B114" i="6" a="1"/>
  <c r="B114" i="6" s="1"/>
  <c r="I114" i="6" s="1" a="1"/>
  <c r="I114" i="6" s="1"/>
  <c r="AA4" i="2" a="1"/>
  <c r="AA4" i="2" s="1"/>
  <c r="AA50" i="2" a="1"/>
  <c r="AA50" i="2" s="1"/>
  <c r="AQ7" i="8" s="1" a="1"/>
  <c r="AQ7" i="8" s="1"/>
  <c r="AR7" i="8" a="1"/>
  <c r="AR7" i="8" s="1"/>
  <c r="AX7" i="8" s="1" a="1"/>
  <c r="AX7" i="8" s="1"/>
  <c r="AY7" i="8" s="1" a="1"/>
  <c r="AY7" i="8" s="1"/>
  <c r="BA7" i="8" s="1" a="1"/>
  <c r="BA7" i="8" s="1"/>
  <c r="AQ15" i="2" a="1"/>
  <c r="AQ15" i="2" s="1"/>
  <c r="V15" i="2" a="1"/>
  <c r="V15" i="2" s="1"/>
  <c r="AI20" i="9" a="1"/>
  <c r="AI20" i="9" s="1"/>
  <c r="B115" i="6" a="1"/>
  <c r="B115" i="6" s="1"/>
  <c r="I115" i="6" s="1" a="1"/>
  <c r="I115" i="6" s="1"/>
  <c r="H7" i="3" a="1"/>
  <c r="H7" i="3" s="1"/>
  <c r="V13" i="3" s="1" a="1"/>
  <c r="V13" i="3" s="1"/>
  <c r="AA58" i="2" a="1"/>
  <c r="AA58" i="2" s="1"/>
  <c r="AI22" i="9" a="1"/>
  <c r="AI22" i="9" s="1"/>
  <c r="B116" i="6" a="1"/>
  <c r="B116" i="6" s="1"/>
  <c r="I116" i="6" s="1" a="1"/>
  <c r="I116" i="6" s="1"/>
  <c r="H11" i="3" a="1"/>
  <c r="H11" i="3" s="1"/>
  <c r="Y13" i="3" s="1" a="1"/>
  <c r="Y13" i="3" s="1"/>
  <c r="AI15" i="9" a="1"/>
  <c r="AI15" i="9" s="1"/>
  <c r="E112" i="6" a="1"/>
  <c r="E112" i="6" s="1"/>
  <c r="L112" i="6" s="1" a="1"/>
  <c r="L112" i="6" s="1"/>
  <c r="AA24" i="2" a="1"/>
  <c r="AA24" i="2" s="1"/>
  <c r="AA23" i="2" a="1"/>
  <c r="AA23" i="2" s="1"/>
  <c r="AQ4" i="8" s="1" a="1"/>
  <c r="AQ4" i="8" s="1"/>
  <c r="AR4" i="8" a="1"/>
  <c r="AR4" i="8" s="1"/>
  <c r="AX4" i="8" s="1" a="1"/>
  <c r="AX4" i="8" s="1"/>
  <c r="AY4" i="8" s="1" a="1"/>
  <c r="AY4" i="8" s="1"/>
  <c r="BA4" i="8" s="1" a="1"/>
  <c r="BA4" i="8" s="1"/>
  <c r="AI31" i="9" a="1"/>
  <c r="AI31" i="9" s="1"/>
  <c r="E120" i="6" a="1"/>
  <c r="E120" i="6" s="1"/>
  <c r="L120" i="6" s="1" a="1"/>
  <c r="L120" i="6" s="1"/>
  <c r="AA102" i="2" a="1"/>
  <c r="AA102" i="2" s="1"/>
  <c r="AI27" i="9" a="1"/>
  <c r="AI27" i="9" s="1"/>
  <c r="E118" i="6" a="1"/>
  <c r="E118" i="6" s="1"/>
  <c r="L118" i="6" s="1" a="1"/>
  <c r="L118" i="6" s="1"/>
  <c r="AA51" i="2" a="1"/>
  <c r="AA51" i="2" s="1"/>
  <c r="AI11" i="9" a="1"/>
  <c r="AI11" i="9" s="1"/>
  <c r="E110" i="6" a="1"/>
  <c r="E110" i="6" s="1"/>
  <c r="L110" i="6" s="1" a="1"/>
  <c r="L110" i="6" s="1"/>
  <c r="AA48" i="2" a="1"/>
  <c r="AA48" i="2" s="1"/>
  <c r="AA84" i="2" a="1"/>
  <c r="AA84" i="2" s="1"/>
  <c r="AA32" i="2" a="1"/>
  <c r="AA32" i="2" s="1"/>
  <c r="AQ5" i="8" s="1" a="1"/>
  <c r="AQ5" i="8" s="1"/>
  <c r="AR5" i="8" a="1"/>
  <c r="AR5" i="8" s="1"/>
  <c r="AX5" i="8" s="1" a="1"/>
  <c r="AX5" i="8" s="1"/>
  <c r="AY5" i="8" s="1" a="1"/>
  <c r="AY5" i="8" s="1"/>
  <c r="BA5" i="8" s="1" a="1"/>
  <c r="BA5" i="8" s="1"/>
  <c r="AA59" i="2" a="1"/>
  <c r="AA59" i="2" s="1"/>
  <c r="AQ8" i="8" s="1" a="1"/>
  <c r="AQ8" i="8" s="1"/>
  <c r="AR8" i="8" a="1"/>
  <c r="AR8" i="8" s="1"/>
  <c r="AX8" i="8" s="1" a="1"/>
  <c r="AX8" i="8" s="1"/>
  <c r="AY8" i="8" s="1" a="1"/>
  <c r="AY8" i="8" s="1"/>
  <c r="BA8" i="8" s="1" a="1"/>
  <c r="BA8" i="8" s="1"/>
  <c r="AA104" i="2" a="1"/>
  <c r="AA104" i="2" s="1"/>
  <c r="AQ13" i="8" s="1" a="1"/>
  <c r="AQ13" i="8" s="1"/>
  <c r="AR13" i="8" a="1"/>
  <c r="AR13" i="8" s="1"/>
  <c r="AX13" i="8" s="1" a="1"/>
  <c r="AX13" i="8" s="1"/>
  <c r="AY13" i="8" s="1" a="1"/>
  <c r="AY13" i="8" s="1"/>
  <c r="BA13" i="8" s="1" a="1"/>
  <c r="BA13" i="8" s="1"/>
  <c r="AA22" i="2" a="1"/>
  <c r="AA22" i="2" s="1"/>
  <c r="AI14" i="9" a="1"/>
  <c r="AI14" i="9" s="1"/>
  <c r="B112" i="6" a="1"/>
  <c r="B112" i="6" s="1"/>
  <c r="I112" i="6" s="1" a="1"/>
  <c r="I112" i="6" s="1"/>
  <c r="B27" i="3" a="1"/>
  <c r="B27" i="3" s="1"/>
  <c r="S21" i="3" s="1" a="1"/>
  <c r="S21" i="3" s="1"/>
  <c r="AA66" i="2" a="1"/>
  <c r="AA66" i="2" s="1"/>
  <c r="AA87" i="2" a="1"/>
  <c r="AA87" i="2" s="1"/>
  <c r="AA21" i="2" a="1"/>
  <c r="AA21" i="2" s="1"/>
  <c r="AI25" i="9" a="1"/>
  <c r="AI25" i="9" s="1"/>
  <c r="E117" i="6" a="1"/>
  <c r="E117" i="6" s="1"/>
  <c r="I117" i="6" s="1" a="1"/>
  <c r="I117" i="6" s="1"/>
  <c r="H15" i="3" a="1"/>
  <c r="H15" i="3" s="1"/>
  <c r="V5" i="3" s="1" a="1"/>
  <c r="V5" i="3" s="1"/>
  <c r="AA30" i="2" a="1"/>
  <c r="AA30" i="2" s="1"/>
  <c r="AM34" i="2" s="1" a="1"/>
  <c r="AM34" i="2" s="1"/>
  <c r="AI4" i="9" a="1"/>
  <c r="AI4" i="9" s="1"/>
  <c r="B107" i="6" a="1"/>
  <c r="B107" i="6" s="1"/>
  <c r="B7" i="3" a="1"/>
  <c r="B7" i="3" s="1"/>
  <c r="P13" i="3" s="1" a="1"/>
  <c r="P13" i="3" s="1"/>
  <c r="AI16" i="9" a="1"/>
  <c r="AI16" i="9" s="1"/>
  <c r="B113" i="6" a="1"/>
  <c r="B113" i="6" s="1"/>
  <c r="I113" i="6" s="1" a="1"/>
  <c r="I113" i="6" s="1"/>
  <c r="B31" i="3" a="1"/>
  <c r="B31" i="3" s="1"/>
  <c r="P29" i="3" s="1" a="1"/>
  <c r="P29" i="3" s="1"/>
  <c r="AI35" i="9" a="1"/>
  <c r="AI35" i="9" s="1"/>
  <c r="E122" i="6" a="1"/>
  <c r="E122" i="6" s="1"/>
  <c r="L122" i="6" s="1" a="1"/>
  <c r="L122" i="6" s="1"/>
  <c r="AM61" i="2" a="1"/>
  <c r="AM61" i="2" s="1"/>
  <c r="AA67" i="2" a="1"/>
  <c r="AA67" i="2" s="1"/>
  <c r="AI6" i="9" a="1"/>
  <c r="AI6" i="9" s="1"/>
  <c r="B108" i="6" a="1"/>
  <c r="B108" i="6" s="1"/>
  <c r="I108" i="6" s="1" a="1"/>
  <c r="I108" i="6" s="1"/>
  <c r="B11" i="3" a="1"/>
  <c r="B11" i="3" s="1"/>
  <c r="P5" i="3" s="1" a="1"/>
  <c r="P5" i="3" s="1"/>
  <c r="AA77" i="2" a="1"/>
  <c r="AA77" i="2" s="1"/>
  <c r="AQ10" i="8" s="1" a="1"/>
  <c r="AQ10" i="8" s="1"/>
  <c r="AR10" i="8" a="1"/>
  <c r="AR10" i="8" s="1"/>
  <c r="AX10" i="8" s="1" a="1"/>
  <c r="AX10" i="8" s="1"/>
  <c r="AY10" i="8" s="1" a="1"/>
  <c r="AY10" i="8" s="1"/>
  <c r="BA10" i="8" s="1" a="1"/>
  <c r="BA10" i="8" s="1"/>
  <c r="AA103" i="2" a="1"/>
  <c r="AA103" i="2" s="1"/>
  <c r="AI34" i="9" a="1"/>
  <c r="AI34" i="9" s="1"/>
  <c r="B122" i="6" a="1"/>
  <c r="B122" i="6" s="1"/>
  <c r="I122" i="6" s="1" a="1"/>
  <c r="I122" i="6" s="1"/>
  <c r="H35" i="3" a="1"/>
  <c r="H35" i="3" s="1"/>
  <c r="Y21" i="3" s="1" a="1"/>
  <c r="Y21" i="3" s="1"/>
  <c r="AA68" i="2" a="1"/>
  <c r="AA68" i="2" s="1"/>
  <c r="AQ9" i="8" s="1" a="1"/>
  <c r="AQ9" i="8" s="1"/>
  <c r="AR9" i="8" a="1"/>
  <c r="AR9" i="8" s="1"/>
  <c r="AX9" i="8" s="1" a="1"/>
  <c r="AX9" i="8" s="1"/>
  <c r="AY9" i="8" s="1" a="1"/>
  <c r="AY9" i="8" s="1"/>
  <c r="BA9" i="8" s="1" a="1"/>
  <c r="BA9" i="8" s="1"/>
  <c r="AI8" i="9" a="1"/>
  <c r="AI8" i="9" s="1"/>
  <c r="B109" i="6" a="1"/>
  <c r="B109" i="6" s="1"/>
  <c r="L109" i="6" s="1" a="1"/>
  <c r="L109" i="6" s="1"/>
  <c r="AD94" i="2" a="1"/>
  <c r="AD94" i="2" s="1"/>
  <c r="AC94" i="2" a="1"/>
  <c r="AC94" i="2" s="1"/>
  <c r="AH94" i="2" a="1"/>
  <c r="AH94" i="2" s="1"/>
  <c r="AM94" i="2" s="1" a="1"/>
  <c r="AM94" i="2" s="1"/>
  <c r="AB94" i="2" a="1"/>
  <c r="AB94" i="2" s="1"/>
  <c r="AA94" i="2" s="1" a="1"/>
  <c r="AA94" i="2" s="1"/>
  <c r="AE94" i="2" a="1"/>
  <c r="AE94" i="2" s="1"/>
  <c r="AF94" i="2" a="1"/>
  <c r="AF94" i="2" s="1"/>
  <c r="AG94" i="2" a="1"/>
  <c r="AG94" i="2" s="1"/>
  <c r="H13" i="3" a="1"/>
  <c r="H13" i="3" s="1"/>
  <c r="AI12" i="9" a="1"/>
  <c r="AI12" i="9" s="1"/>
  <c r="B111" i="6" a="1"/>
  <c r="B111" i="6" s="1"/>
  <c r="I111" i="6" s="1" a="1"/>
  <c r="I111" i="6" s="1"/>
  <c r="B23" i="3" a="1"/>
  <c r="B23" i="3" s="1"/>
  <c r="S5" i="3" s="1" a="1"/>
  <c r="S5" i="3" s="1"/>
  <c r="V12" i="2" a="1"/>
  <c r="V12" i="2" s="1"/>
  <c r="AQ12" i="2" a="1"/>
  <c r="AQ12" i="2" s="1"/>
  <c r="AA105" i="2" a="1"/>
  <c r="AA105" i="2" s="1"/>
  <c r="AA5" i="2" a="1"/>
  <c r="AA5" i="2" s="1"/>
  <c r="AQ2" i="8" s="1" a="1"/>
  <c r="AQ2" i="8" s="1"/>
  <c r="AR2" i="8" a="1"/>
  <c r="AR2" i="8" s="1"/>
  <c r="AX2" i="8" s="1" a="1"/>
  <c r="AX2" i="8" s="1"/>
  <c r="AY2" i="8" s="1" a="1"/>
  <c r="AY2" i="8" s="1"/>
  <c r="AA41" i="2" a="1"/>
  <c r="AA41" i="2" s="1"/>
  <c r="AQ6" i="8" s="1" a="1"/>
  <c r="AQ6" i="8" s="1"/>
  <c r="AR6" i="8" a="1"/>
  <c r="AR6" i="8" s="1"/>
  <c r="AX6" i="8" s="1" a="1"/>
  <c r="AX6" i="8" s="1"/>
  <c r="AY6" i="8" s="1" a="1"/>
  <c r="AY6" i="8" s="1"/>
  <c r="BA6" i="8" s="1" a="1"/>
  <c r="BA6" i="8" s="1"/>
  <c r="AA49" i="2" a="1"/>
  <c r="AA49" i="2" s="1"/>
  <c r="AH93" i="2" a="1"/>
  <c r="AH93" i="2" s="1"/>
  <c r="AM93" i="2" s="1" a="1"/>
  <c r="AM93" i="2" s="1"/>
  <c r="AB93" i="2" a="1"/>
  <c r="AB93" i="2" s="1"/>
  <c r="AA93" i="2" s="1" a="1"/>
  <c r="AA93" i="2" s="1"/>
  <c r="AG93" i="2" a="1"/>
  <c r="AG93" i="2" s="1"/>
  <c r="AE93" i="2" a="1"/>
  <c r="AE93" i="2" s="1"/>
  <c r="AD93" i="2" a="1"/>
  <c r="AD93" i="2" s="1"/>
  <c r="AC93" i="2" a="1"/>
  <c r="AC93" i="2" s="1"/>
  <c r="AF93" i="2" a="1"/>
  <c r="AF93" i="2" s="1"/>
  <c r="H29" i="3" a="1"/>
  <c r="H29" i="3" s="1"/>
  <c r="AG96" i="2" a="1"/>
  <c r="AG96" i="2" s="1"/>
  <c r="AF96" i="2" a="1"/>
  <c r="AF96" i="2" s="1"/>
  <c r="AE96" i="2" a="1"/>
  <c r="AE96" i="2" s="1"/>
  <c r="AD96" i="2" a="1"/>
  <c r="AD96" i="2" s="1"/>
  <c r="AC96" i="2" a="1"/>
  <c r="AC96" i="2" s="1"/>
  <c r="AB96" i="2" a="1"/>
  <c r="AB96" i="2" s="1"/>
  <c r="AA96" i="2" s="1" a="1"/>
  <c r="AA96" i="2" s="1"/>
  <c r="AH96" i="2" a="1"/>
  <c r="AH96" i="2" s="1"/>
  <c r="AM96" i="2" s="1" a="1"/>
  <c r="AM96" i="2" s="1"/>
  <c r="AE95" i="2" a="1"/>
  <c r="AE95" i="2" s="1"/>
  <c r="AU12" i="8" s="1" a="1"/>
  <c r="AU12" i="8" s="1"/>
  <c r="AD95" i="2" a="1"/>
  <c r="AD95" i="2" s="1"/>
  <c r="AT12" i="8" s="1" a="1"/>
  <c r="AT12" i="8" s="1"/>
  <c r="AC95" i="2" a="1"/>
  <c r="AC95" i="2" s="1"/>
  <c r="AS12" i="8" s="1" a="1"/>
  <c r="AS12" i="8" s="1"/>
  <c r="AH95" i="2" a="1"/>
  <c r="AH95" i="2" s="1"/>
  <c r="AM95" i="2" s="1" a="1"/>
  <c r="AM95" i="2" s="1"/>
  <c r="AG95" i="2" a="1"/>
  <c r="AG95" i="2" s="1"/>
  <c r="AW12" i="8" s="1" a="1"/>
  <c r="AW12" i="8" s="1"/>
  <c r="AF95" i="2" a="1"/>
  <c r="AF95" i="2" s="1"/>
  <c r="AV12" i="8" s="1" a="1"/>
  <c r="AV12" i="8" s="1"/>
  <c r="AB95" i="2" a="1"/>
  <c r="AB95" i="2" s="1"/>
  <c r="AP12" i="8" a="1"/>
  <c r="AP12" i="8" s="1"/>
  <c r="CV12" i="2" s="1" a="1"/>
  <c r="CV12" i="2" s="1"/>
  <c r="AA75" i="2" a="1"/>
  <c r="AA75" i="2" s="1"/>
  <c r="AM79" i="2" s="1" a="1"/>
  <c r="AM79" i="2" s="1"/>
  <c r="AI26" i="9" a="1"/>
  <c r="AI26" i="9" s="1"/>
  <c r="B118" i="6" a="1"/>
  <c r="B118" i="6" s="1"/>
  <c r="I118" i="6" s="1" a="1"/>
  <c r="I118" i="6" s="1"/>
  <c r="H19" i="3" a="1"/>
  <c r="H19" i="3" s="1"/>
  <c r="Y5" i="3" s="1" a="1"/>
  <c r="Y5" i="3" s="1"/>
  <c r="AI30" i="9" a="1"/>
  <c r="AI30" i="9" s="1"/>
  <c r="B120" i="6" a="1"/>
  <c r="B120" i="6" s="1"/>
  <c r="I120" i="6" s="1" a="1"/>
  <c r="I120" i="6" s="1"/>
  <c r="H27" i="3" a="1"/>
  <c r="H27" i="3" s="1"/>
  <c r="V21" i="3" s="1" a="1"/>
  <c r="V21" i="3" s="1"/>
  <c r="AA86" i="2" a="1"/>
  <c r="AA86" i="2" s="1"/>
  <c r="AQ11" i="8" s="1" a="1"/>
  <c r="AQ11" i="8" s="1"/>
  <c r="AR11" i="8" a="1"/>
  <c r="AR11" i="8" s="1"/>
  <c r="AX11" i="8" s="1" a="1"/>
  <c r="AX11" i="8" s="1"/>
  <c r="AY11" i="8" s="1" a="1"/>
  <c r="AY11" i="8" s="1"/>
  <c r="BA11" i="8" s="1" a="1"/>
  <c r="BA11" i="8" s="1"/>
  <c r="AI10" i="9" a="1"/>
  <c r="AI10" i="9" s="1"/>
  <c r="B110" i="6" a="1"/>
  <c r="B110" i="6" s="1"/>
  <c r="I110" i="6" s="1" a="1"/>
  <c r="I110" i="6" s="1"/>
  <c r="B19" i="3" a="1"/>
  <c r="B19" i="3" s="1"/>
  <c r="P21" i="3" s="1" a="1"/>
  <c r="P21" i="3" s="1"/>
  <c r="AI9" i="9" a="1"/>
  <c r="AI9" i="9" s="1"/>
  <c r="E109" i="6" a="1"/>
  <c r="E109" i="6" s="1"/>
  <c r="I109" i="6" s="1" a="1"/>
  <c r="I109" i="6" s="1"/>
  <c r="B15" i="3" a="1"/>
  <c r="B15" i="3" s="1"/>
  <c r="S13" i="3" s="1" a="1"/>
  <c r="S13" i="3" s="1"/>
  <c r="AT33" i="2" l="1" a="1"/>
  <c r="AT33" i="2" s="1"/>
  <c r="AT30" i="2" a="1"/>
  <c r="AT30" i="2" s="1"/>
  <c r="AT31" i="2" a="1"/>
  <c r="AT31" i="2" s="1"/>
  <c r="AR35" i="2" a="1"/>
  <c r="AR35" i="2" s="1"/>
  <c r="AT32" i="2" a="1"/>
  <c r="AT32" i="2" s="1"/>
  <c r="AT57" i="2" a="1"/>
  <c r="AT57" i="2" s="1"/>
  <c r="AR62" i="2" a="1"/>
  <c r="AR62" i="2" s="1"/>
  <c r="AT59" i="2" a="1"/>
  <c r="AT59" i="2" s="1"/>
  <c r="AT60" i="2" a="1"/>
  <c r="AT60" i="2" s="1"/>
  <c r="AT58" i="2" a="1"/>
  <c r="AT58" i="2" s="1"/>
  <c r="AH12" i="9" a="1"/>
  <c r="AH12" i="9" s="1"/>
  <c r="B127" i="6" a="1"/>
  <c r="B127" i="6" s="1"/>
  <c r="L127" i="6" s="1" a="1"/>
  <c r="L127" i="6" s="1"/>
  <c r="AI24" i="9" a="1"/>
  <c r="AI24" i="9" s="1"/>
  <c r="B117" i="6" a="1"/>
  <c r="B117" i="6" s="1"/>
  <c r="L117" i="6" s="1" a="1"/>
  <c r="L117" i="6" s="1"/>
  <c r="AA95" i="2" a="1"/>
  <c r="AA95" i="2" s="1"/>
  <c r="AQ12" i="8" s="1" a="1"/>
  <c r="AQ12" i="8" s="1"/>
  <c r="AR12" i="8" a="1"/>
  <c r="AR12" i="8" s="1"/>
  <c r="AX12" i="8" s="1" a="1"/>
  <c r="AX12" i="8" s="1"/>
  <c r="AY12" i="8" s="1" a="1"/>
  <c r="AY12" i="8" s="1"/>
  <c r="BA12" i="8" s="1" a="1"/>
  <c r="BA12" i="8" s="1"/>
  <c r="AH17" i="9" a="1"/>
  <c r="AH17" i="9" s="1"/>
  <c r="E129" i="6" a="1"/>
  <c r="E129" i="6" s="1"/>
  <c r="L129" i="6" s="1" a="1"/>
  <c r="L129" i="6" s="1"/>
  <c r="AH15" i="9" a="1"/>
  <c r="AH15" i="9" s="1"/>
  <c r="V15" i="3" a="1"/>
  <c r="V15" i="3" s="1"/>
  <c r="E9" i="4" s="1" a="1"/>
  <c r="E9" i="4" s="1"/>
  <c r="AG7" i="9" s="1" a="1"/>
  <c r="AG7" i="9" s="1"/>
  <c r="E128" i="6" a="1"/>
  <c r="E128" i="6" s="1"/>
  <c r="I128" i="6" s="1" a="1"/>
  <c r="I128" i="6" s="1"/>
  <c r="AH8" i="9" a="1"/>
  <c r="AH8" i="9" s="1"/>
  <c r="B125" i="6" a="1"/>
  <c r="B125" i="6" s="1"/>
  <c r="I125" i="6" s="1" a="1"/>
  <c r="I125" i="6" s="1"/>
  <c r="P23" i="3" a="1"/>
  <c r="P23" i="3" s="1"/>
  <c r="H5" i="4" s="1" a="1"/>
  <c r="H5" i="4" s="1"/>
  <c r="AR13" i="2" a="1"/>
  <c r="AR13" i="2" s="1"/>
  <c r="AR14" i="2" a="1"/>
  <c r="AR14" i="2" s="1"/>
  <c r="AH10" i="9" a="1"/>
  <c r="AH10" i="9" s="1"/>
  <c r="B126" i="6" a="1"/>
  <c r="B126" i="6" s="1"/>
  <c r="L126" i="6" s="1" a="1"/>
  <c r="L126" i="6" s="1"/>
  <c r="AM25" i="2" a="1"/>
  <c r="AM25" i="2" s="1"/>
  <c r="AM106" i="2" a="1"/>
  <c r="AM106" i="2" s="1"/>
  <c r="AH11" i="9" a="1"/>
  <c r="AH11" i="9" s="1"/>
  <c r="P31" i="3" a="1"/>
  <c r="P31" i="3" s="1"/>
  <c r="K5" i="4" s="1" a="1"/>
  <c r="K5" i="4" s="1"/>
  <c r="AG9" i="9" s="1" a="1"/>
  <c r="AG9" i="9" s="1"/>
  <c r="E126" i="6" a="1"/>
  <c r="E126" i="6" s="1"/>
  <c r="I126" i="6" s="1" a="1"/>
  <c r="I126" i="6" s="1"/>
  <c r="AM97" i="2" a="1"/>
  <c r="AM97" i="2" s="1"/>
  <c r="AT77" i="2" a="1"/>
  <c r="AT77" i="2" s="1"/>
  <c r="AT76" i="2" a="1"/>
  <c r="AT76" i="2" s="1"/>
  <c r="AT78" i="2" a="1"/>
  <c r="AT78" i="2" s="1"/>
  <c r="AT75" i="2" a="1"/>
  <c r="AT75" i="2" s="1"/>
  <c r="AR80" i="2" a="1"/>
  <c r="AR80" i="2" s="1"/>
  <c r="AH16" i="9" a="1"/>
  <c r="AH16" i="9" s="1"/>
  <c r="B129" i="6" a="1"/>
  <c r="B129" i="6" s="1"/>
  <c r="I129" i="6" s="1" a="1"/>
  <c r="I129" i="6" s="1"/>
  <c r="V23" i="3" a="1"/>
  <c r="V23" i="3" s="1"/>
  <c r="H9" i="4" s="1" a="1"/>
  <c r="H9" i="4" s="1"/>
  <c r="AM70" i="2" a="1"/>
  <c r="AM70" i="2" s="1"/>
  <c r="AI32" i="9" a="1"/>
  <c r="AI32" i="9" s="1"/>
  <c r="B121" i="6" a="1"/>
  <c r="B121" i="6" s="1"/>
  <c r="I121" i="6" s="1" a="1"/>
  <c r="I121" i="6" s="1"/>
  <c r="H31" i="3" a="1"/>
  <c r="H31" i="3" s="1"/>
  <c r="Y29" i="3" s="1" a="1"/>
  <c r="Y29" i="3" s="1"/>
  <c r="AH9" i="9" a="1"/>
  <c r="AH9" i="9" s="1"/>
  <c r="E125" i="6" a="1"/>
  <c r="E125" i="6" s="1"/>
  <c r="L125" i="6" s="1" a="1"/>
  <c r="L125" i="6" s="1"/>
  <c r="AH14" i="9" a="1"/>
  <c r="AH14" i="9" s="1"/>
  <c r="B128" i="6" a="1"/>
  <c r="B128" i="6" s="1"/>
  <c r="L128" i="6" s="1" a="1"/>
  <c r="L128" i="6" s="1"/>
  <c r="AH4" i="9" a="1"/>
  <c r="AH4" i="9" s="1"/>
  <c r="B123" i="6" a="1"/>
  <c r="B123" i="6" s="1"/>
  <c r="L123" i="6" s="1" a="1"/>
  <c r="L123" i="6" s="1"/>
  <c r="AH6" i="9" a="1"/>
  <c r="AH6" i="9" s="1"/>
  <c r="B124" i="6" a="1"/>
  <c r="B124" i="6" s="1"/>
  <c r="L124" i="6" s="1" a="1"/>
  <c r="L124" i="6" s="1"/>
  <c r="AM88" i="2" a="1"/>
  <c r="AM88" i="2" s="1"/>
  <c r="AM7" i="2" a="1"/>
  <c r="AM7" i="2" s="1"/>
  <c r="AL14" i="2" a="1"/>
  <c r="AL14" i="2" s="1"/>
  <c r="Z14" i="2" s="1" a="1"/>
  <c r="Z14" i="2" s="1"/>
  <c r="AL13" i="2" a="1"/>
  <c r="AL13" i="2" s="1"/>
  <c r="Z13" i="2" s="1" a="1"/>
  <c r="Z13" i="2" s="1"/>
  <c r="AL12" i="2" a="1"/>
  <c r="AL12" i="2" s="1"/>
  <c r="Z12" i="2" s="1" a="1"/>
  <c r="Z12" i="2" s="1"/>
  <c r="AL15" i="2" a="1"/>
  <c r="AL15" i="2" s="1"/>
  <c r="Z15" i="2" s="1" a="1"/>
  <c r="Z15" i="2" s="1"/>
  <c r="I107" i="6" a="1"/>
  <c r="I107" i="6" s="1"/>
  <c r="BA2" i="8" a="1"/>
  <c r="BA2" i="8" s="1"/>
  <c r="AR12" i="2" a="1"/>
  <c r="AR12" i="2" s="1"/>
  <c r="AH13" i="9" a="1"/>
  <c r="AH13" i="9" s="1"/>
  <c r="E127" i="6" a="1"/>
  <c r="E127" i="6" s="1"/>
  <c r="I127" i="6" s="1" a="1"/>
  <c r="I127" i="6" s="1"/>
  <c r="V7" i="3" a="1"/>
  <c r="V7" i="3" s="1"/>
  <c r="B9" i="4" s="1" a="1"/>
  <c r="B9" i="4" s="1"/>
  <c r="AH7" i="9" a="1"/>
  <c r="AH7" i="9" s="1"/>
  <c r="E124" i="6" a="1"/>
  <c r="E124" i="6" s="1"/>
  <c r="I124" i="6" s="1" a="1"/>
  <c r="I124" i="6" s="1"/>
  <c r="P15" i="3" a="1"/>
  <c r="P15" i="3" s="1"/>
  <c r="E5" i="4" s="1" a="1"/>
  <c r="E5" i="4" s="1"/>
  <c r="AG5" i="9" s="1" a="1"/>
  <c r="AG5" i="9" s="1"/>
  <c r="AH5" i="9" a="1"/>
  <c r="AH5" i="9" s="1"/>
  <c r="E123" i="6" a="1"/>
  <c r="E123" i="6" s="1"/>
  <c r="I123" i="6" s="1" a="1"/>
  <c r="I123" i="6" s="1"/>
  <c r="P7" i="3" a="1"/>
  <c r="P7" i="3" s="1"/>
  <c r="B5" i="4" s="1" a="1"/>
  <c r="B5" i="4" s="1"/>
  <c r="AM52" i="2" a="1"/>
  <c r="AM52" i="2" s="1"/>
  <c r="AM43" i="2" a="1"/>
  <c r="AM43" i="2" s="1"/>
  <c r="AT4" i="2" l="1" a="1"/>
  <c r="AT4" i="2" s="1"/>
  <c r="AR8" i="2" a="1"/>
  <c r="AR8" i="2" s="1"/>
  <c r="AT5" i="2" a="1"/>
  <c r="AT5" i="2" s="1"/>
  <c r="AT3" i="2" a="1"/>
  <c r="AT3" i="2" s="1"/>
  <c r="AT6" i="2" a="1"/>
  <c r="AT6" i="2" s="1"/>
  <c r="AH19" i="9" a="1"/>
  <c r="AH19" i="9" s="1"/>
  <c r="E130" i="6" a="1"/>
  <c r="E130" i="6" s="1"/>
  <c r="I130" i="6" s="1" a="1"/>
  <c r="I130" i="6" s="1"/>
  <c r="V31" i="3" a="1"/>
  <c r="V31" i="3" s="1"/>
  <c r="K9" i="4" s="1" a="1"/>
  <c r="K9" i="4" s="1"/>
  <c r="AG11" i="9" s="1" a="1"/>
  <c r="AG11" i="9" s="1"/>
  <c r="AG6" i="9" a="1"/>
  <c r="AG6" i="9" s="1"/>
  <c r="B132" i="6" a="1"/>
  <c r="B11" i="4" a="1"/>
  <c r="B11" i="4" s="1"/>
  <c r="E19" i="4" s="1" a="1"/>
  <c r="E19" i="4" s="1"/>
  <c r="AT96" i="2" a="1"/>
  <c r="AT96" i="2" s="1"/>
  <c r="AT95" i="2" a="1"/>
  <c r="AT95" i="2" s="1"/>
  <c r="AT94" i="2" a="1"/>
  <c r="AT94" i="2" s="1"/>
  <c r="AT93" i="2" a="1"/>
  <c r="AT93" i="2" s="1"/>
  <c r="AR98" i="2" a="1"/>
  <c r="AR98" i="2" s="1"/>
  <c r="AT50" i="2" a="1"/>
  <c r="AT50" i="2" s="1"/>
  <c r="AT49" i="2" a="1"/>
  <c r="AT49" i="2" s="1"/>
  <c r="AT48" i="2" a="1"/>
  <c r="AT48" i="2" s="1"/>
  <c r="AT51" i="2" a="1"/>
  <c r="AT51" i="2" s="1"/>
  <c r="AR53" i="2" a="1"/>
  <c r="AR53" i="2" s="1"/>
  <c r="AR89" i="2" a="1"/>
  <c r="AR89" i="2" s="1"/>
  <c r="AT87" i="2" a="1"/>
  <c r="AT87" i="2" s="1"/>
  <c r="AT86" i="2" a="1"/>
  <c r="AT86" i="2" s="1"/>
  <c r="AT85" i="2" a="1"/>
  <c r="AT85" i="2" s="1"/>
  <c r="AT84" i="2" a="1"/>
  <c r="AT84" i="2" s="1"/>
  <c r="AR71" i="2" a="1"/>
  <c r="AR71" i="2" s="1"/>
  <c r="AT68" i="2" a="1"/>
  <c r="AT68" i="2" s="1"/>
  <c r="AT67" i="2" a="1"/>
  <c r="AT67" i="2" s="1"/>
  <c r="AT69" i="2" a="1"/>
  <c r="AT69" i="2" s="1"/>
  <c r="AT66" i="2" a="1"/>
  <c r="AT66" i="2" s="1"/>
  <c r="AG10" i="9" a="1"/>
  <c r="AG10" i="9" s="1"/>
  <c r="H11" i="4" a="1"/>
  <c r="H11" i="4" s="1"/>
  <c r="K19" i="4" s="1" a="1"/>
  <c r="K19" i="4" s="1"/>
  <c r="AR107" i="2" a="1"/>
  <c r="AR107" i="2" s="1"/>
  <c r="AT103" i="2" a="1"/>
  <c r="AT103" i="2" s="1"/>
  <c r="AT104" i="2" a="1"/>
  <c r="AT104" i="2" s="1"/>
  <c r="AT105" i="2" a="1"/>
  <c r="AT105" i="2" s="1"/>
  <c r="AT102" i="2" a="1"/>
  <c r="AT102" i="2" s="1"/>
  <c r="AT23" i="2" a="1"/>
  <c r="AT23" i="2" s="1"/>
  <c r="AT22" i="2" a="1"/>
  <c r="AT22" i="2" s="1"/>
  <c r="AR26" i="2" a="1"/>
  <c r="AR26" i="2" s="1"/>
  <c r="AT21" i="2" a="1"/>
  <c r="AT21" i="2" s="1"/>
  <c r="AT24" i="2" a="1"/>
  <c r="AT24" i="2" s="1"/>
  <c r="AD15" i="2" a="1"/>
  <c r="AD15" i="2" s="1"/>
  <c r="AC15" i="2" a="1"/>
  <c r="AC15" i="2" s="1"/>
  <c r="AG15" i="2" a="1"/>
  <c r="AG15" i="2" s="1"/>
  <c r="AE15" i="2" a="1"/>
  <c r="AE15" i="2" s="1"/>
  <c r="AH15" i="2" a="1"/>
  <c r="AH15" i="2" s="1"/>
  <c r="AM15" i="2" s="1" a="1"/>
  <c r="AM15" i="2" s="1"/>
  <c r="AF15" i="2" a="1"/>
  <c r="AF15" i="2" s="1"/>
  <c r="AB15" i="2" a="1"/>
  <c r="AB15" i="2" s="1"/>
  <c r="AA15" i="2" s="1" a="1"/>
  <c r="AA15" i="2" s="1"/>
  <c r="AD12" i="2" a="1"/>
  <c r="AD12" i="2" s="1"/>
  <c r="AC12" i="2" a="1"/>
  <c r="AC12" i="2" s="1"/>
  <c r="AH12" i="2" a="1"/>
  <c r="AH12" i="2" s="1"/>
  <c r="AM12" i="2" s="1" a="1"/>
  <c r="AM12" i="2" s="1"/>
  <c r="AG12" i="2" a="1"/>
  <c r="AG12" i="2" s="1"/>
  <c r="AF12" i="2" a="1"/>
  <c r="AF12" i="2" s="1"/>
  <c r="AE12" i="2" a="1"/>
  <c r="AE12" i="2" s="1"/>
  <c r="AB12" i="2" a="1"/>
  <c r="AB12" i="2" s="1"/>
  <c r="H21" i="3" a="1"/>
  <c r="H21" i="3" s="1"/>
  <c r="AC13" i="2" a="1"/>
  <c r="AC13" i="2" s="1"/>
  <c r="AH13" i="2" a="1"/>
  <c r="AH13" i="2" s="1"/>
  <c r="AM13" i="2" s="1" a="1"/>
  <c r="AM13" i="2" s="1"/>
  <c r="AB13" i="2" a="1"/>
  <c r="AB13" i="2" s="1"/>
  <c r="AF13" i="2" a="1"/>
  <c r="AF13" i="2" s="1"/>
  <c r="AE13" i="2" a="1"/>
  <c r="AE13" i="2" s="1"/>
  <c r="AD13" i="2" a="1"/>
  <c r="AD13" i="2" s="1"/>
  <c r="AG13" i="2" a="1"/>
  <c r="AG13" i="2" s="1"/>
  <c r="E5" i="3" a="1"/>
  <c r="E5" i="3" s="1"/>
  <c r="AG4" i="9" a="1"/>
  <c r="AG4" i="9" s="1"/>
  <c r="B131" i="6" a="1"/>
  <c r="B7" i="4" a="1"/>
  <c r="B7" i="4" s="1"/>
  <c r="B19" i="4" s="1" a="1"/>
  <c r="B19" i="4" s="1"/>
  <c r="AD14" i="2" a="1"/>
  <c r="AD14" i="2" s="1"/>
  <c r="AT3" i="8" s="1" a="1"/>
  <c r="AT3" i="8" s="1"/>
  <c r="AH14" i="2" a="1"/>
  <c r="AH14" i="2" s="1"/>
  <c r="AM14" i="2" s="1" a="1"/>
  <c r="AM14" i="2" s="1"/>
  <c r="AB14" i="2" a="1"/>
  <c r="AB14" i="2" s="1"/>
  <c r="AG14" i="2" a="1"/>
  <c r="AG14" i="2" s="1"/>
  <c r="AW3" i="8" s="1" a="1"/>
  <c r="AW3" i="8" s="1"/>
  <c r="AF14" i="2" a="1"/>
  <c r="AF14" i="2" s="1"/>
  <c r="AV3" i="8" s="1" a="1"/>
  <c r="AV3" i="8" s="1"/>
  <c r="AE14" i="2" a="1"/>
  <c r="AE14" i="2" s="1"/>
  <c r="AU3" i="8" s="1" a="1"/>
  <c r="AU3" i="8" s="1"/>
  <c r="AC14" i="2" a="1"/>
  <c r="AC14" i="2" s="1"/>
  <c r="AS3" i="8" s="1" a="1"/>
  <c r="AS3" i="8" s="1"/>
  <c r="AP3" i="8" a="1"/>
  <c r="AP3" i="8" s="1"/>
  <c r="CV3" i="2" s="1" a="1"/>
  <c r="CV3" i="2" s="1"/>
  <c r="AT41" i="2" a="1"/>
  <c r="AT41" i="2" s="1"/>
  <c r="AT42" i="2" a="1"/>
  <c r="AT42" i="2" s="1"/>
  <c r="AT39" i="2" a="1"/>
  <c r="AT39" i="2" s="1"/>
  <c r="AT40" i="2" a="1"/>
  <c r="AT40" i="2" s="1"/>
  <c r="AR44" i="2" a="1"/>
  <c r="AR44" i="2" s="1"/>
  <c r="AG8" i="9" a="1"/>
  <c r="AG8" i="9" s="1"/>
  <c r="B133" i="6" a="1"/>
  <c r="H7" i="4" a="1"/>
  <c r="H7" i="4" s="1"/>
  <c r="H19" i="4" s="1" a="1"/>
  <c r="H19" i="4" s="1"/>
  <c r="AI28" i="9" l="1" a="1"/>
  <c r="AI28" i="9" s="1"/>
  <c r="B119" i="6" a="1"/>
  <c r="B119" i="6" s="1"/>
  <c r="H23" i="3" a="1"/>
  <c r="H23" i="3" s="1"/>
  <c r="V29" i="3" s="1" a="1"/>
  <c r="V29" i="3" s="1"/>
  <c r="AF5" i="9" a="1"/>
  <c r="AF5" i="9" s="1"/>
  <c r="B21" i="4" a="1"/>
  <c r="B21" i="4" s="1"/>
  <c r="P4" i="4" s="1" a="1"/>
  <c r="P4" i="4" s="1"/>
  <c r="B133" i="6"/>
  <c r="K133" i="6" a="1"/>
  <c r="K133" i="6" s="1"/>
  <c r="I133" i="6" a="1"/>
  <c r="I133" i="6" s="1"/>
  <c r="L133" i="6" a="1"/>
  <c r="L133" i="6" s="1"/>
  <c r="J133" i="6" a="1"/>
  <c r="J133" i="6" s="1"/>
  <c r="AF4" i="9" a="1"/>
  <c r="AF4" i="9" s="1"/>
  <c r="B135" i="6" a="1"/>
  <c r="E21" i="4" a="1"/>
  <c r="E21" i="4" s="1"/>
  <c r="P13" i="4" s="1" a="1"/>
  <c r="P13" i="4" s="1"/>
  <c r="AF7" i="9" a="1"/>
  <c r="AF7" i="9" s="1"/>
  <c r="H21" i="4" a="1"/>
  <c r="H21" i="4" s="1"/>
  <c r="S4" i="4" s="1" a="1"/>
  <c r="S4" i="4" s="1"/>
  <c r="J132" i="6" a="1"/>
  <c r="J132" i="6" s="1"/>
  <c r="I132" i="6" a="1"/>
  <c r="I132" i="6" s="1"/>
  <c r="L132" i="6" a="1"/>
  <c r="L132" i="6" s="1"/>
  <c r="K132" i="6" a="1"/>
  <c r="K132" i="6" s="1"/>
  <c r="B132" i="6"/>
  <c r="AF6" i="9" a="1"/>
  <c r="AF6" i="9" s="1"/>
  <c r="B136" i="6" a="1"/>
  <c r="K21" i="4" a="1"/>
  <c r="K21" i="4" s="1"/>
  <c r="S13" i="4" s="1" a="1"/>
  <c r="S13" i="4" s="1"/>
  <c r="AA12" i="2" a="1"/>
  <c r="AA12" i="2" s="1"/>
  <c r="AA14" i="2" a="1"/>
  <c r="AA14" i="2" s="1"/>
  <c r="AQ3" i="8" s="1" a="1"/>
  <c r="AQ3" i="8" s="1"/>
  <c r="AQ15" i="8" s="1" a="1"/>
  <c r="AQ15" i="8" s="1"/>
  <c r="AR3" i="8" a="1"/>
  <c r="AR3" i="8" s="1"/>
  <c r="AX3" i="8" s="1" a="1"/>
  <c r="AX3" i="8" s="1"/>
  <c r="AY3" i="8" s="1" a="1"/>
  <c r="AY3" i="8" s="1"/>
  <c r="B131" i="6"/>
  <c r="I131" i="6" s="1" a="1"/>
  <c r="I131" i="6" s="1"/>
  <c r="J131" i="6" a="1"/>
  <c r="J131" i="6" s="1"/>
  <c r="K131" i="6" a="1"/>
  <c r="K131" i="6" s="1"/>
  <c r="L131" i="6" a="1"/>
  <c r="L131" i="6" s="1"/>
  <c r="B134" i="6" a="1"/>
  <c r="AI5" i="9" a="1"/>
  <c r="AI5" i="9" s="1"/>
  <c r="E107" i="6" a="1"/>
  <c r="E107" i="6" s="1"/>
  <c r="L107" i="6" s="1" a="1"/>
  <c r="L107" i="6" s="1"/>
  <c r="M39" i="9" a="1"/>
  <c r="M39" i="9" s="1"/>
  <c r="M36" i="9" a="1"/>
  <c r="M36" i="9" s="1"/>
  <c r="M51" i="9" a="1"/>
  <c r="M51" i="9" s="1"/>
  <c r="M41" i="9" a="1"/>
  <c r="M41" i="9" s="1"/>
  <c r="M29" i="9" a="1"/>
  <c r="M29" i="9" s="1"/>
  <c r="M49" i="9" a="1"/>
  <c r="M49" i="9" s="1"/>
  <c r="M48" i="9" a="1"/>
  <c r="M48" i="9" s="1"/>
  <c r="M32" i="9" a="1"/>
  <c r="M32" i="9" s="1"/>
  <c r="M38" i="9" a="1"/>
  <c r="M38" i="9" s="1"/>
  <c r="M17" i="9" a="1"/>
  <c r="M17" i="9" s="1"/>
  <c r="M42" i="9" a="1"/>
  <c r="M42" i="9" s="1"/>
  <c r="M18" i="9" a="1"/>
  <c r="M18" i="9" s="1"/>
  <c r="M22" i="9" a="1"/>
  <c r="M22" i="9" s="1"/>
  <c r="M25" i="9" a="1"/>
  <c r="M25" i="9" s="1"/>
  <c r="M19" i="9" a="1"/>
  <c r="M19" i="9" s="1"/>
  <c r="M20" i="9" a="1"/>
  <c r="M20" i="9" s="1"/>
  <c r="M8" i="9" a="1"/>
  <c r="M8" i="9" s="1"/>
  <c r="M12" i="9" a="1"/>
  <c r="M12" i="9" s="1"/>
  <c r="M34" i="9" a="1"/>
  <c r="M34" i="9" s="1"/>
  <c r="M40" i="9" a="1"/>
  <c r="M40" i="9" s="1"/>
  <c r="M10" i="9" a="1"/>
  <c r="M10" i="9" s="1"/>
  <c r="M30" i="9" a="1"/>
  <c r="M30" i="9" s="1"/>
  <c r="M9" i="9" a="1"/>
  <c r="M9" i="9" s="1"/>
  <c r="M47" i="9" a="1"/>
  <c r="M47" i="9" s="1"/>
  <c r="M14" i="9" a="1"/>
  <c r="M14" i="9" s="1"/>
  <c r="M16" i="9" a="1"/>
  <c r="M16" i="9" s="1"/>
  <c r="M45" i="9" a="1"/>
  <c r="M45" i="9" s="1"/>
  <c r="M7" i="9" a="1"/>
  <c r="M7" i="9" s="1"/>
  <c r="M5" i="9" a="1"/>
  <c r="M5" i="9" s="1"/>
  <c r="M37" i="9" a="1"/>
  <c r="M37" i="9" s="1"/>
  <c r="M11" i="9" a="1"/>
  <c r="M11" i="9" s="1"/>
  <c r="M24" i="9" a="1"/>
  <c r="M24" i="9" s="1"/>
  <c r="M43" i="9" a="1"/>
  <c r="M43" i="9" s="1"/>
  <c r="M6" i="9" a="1"/>
  <c r="M6" i="9" s="1"/>
  <c r="M23" i="9" a="1"/>
  <c r="M23" i="9" s="1"/>
  <c r="M26" i="9" a="1"/>
  <c r="M26" i="9" s="1"/>
  <c r="M35" i="9" a="1"/>
  <c r="M35" i="9" s="1"/>
  <c r="M33" i="9" a="1"/>
  <c r="M33" i="9" s="1"/>
  <c r="M31" i="9" a="1"/>
  <c r="M31" i="9" s="1"/>
  <c r="M21" i="9" a="1"/>
  <c r="M21" i="9" s="1"/>
  <c r="M13" i="9" a="1"/>
  <c r="M13" i="9" s="1"/>
  <c r="M4" i="9" a="1"/>
  <c r="M4" i="9" s="1"/>
  <c r="M46" i="9" a="1"/>
  <c r="M46" i="9" s="1"/>
  <c r="M15" i="9" a="1"/>
  <c r="M15" i="9" s="1"/>
  <c r="M50" i="9" a="1"/>
  <c r="M50" i="9" s="1"/>
  <c r="M28" i="9" a="1"/>
  <c r="M28" i="9" s="1"/>
  <c r="M27" i="9" a="1"/>
  <c r="M27" i="9" s="1"/>
  <c r="M44" i="9" a="1"/>
  <c r="M44" i="9" s="1"/>
  <c r="AA13" i="2" a="1"/>
  <c r="AA13" i="2" s="1"/>
  <c r="E137" i="6" l="1" a="1"/>
  <c r="E137" i="6" s="1"/>
  <c r="L137" i="6" s="1" a="1"/>
  <c r="L137" i="6" s="1"/>
  <c r="S15" i="4" a="1"/>
  <c r="S15" i="4" s="1"/>
  <c r="L32" i="9" a="1"/>
  <c r="L32" i="9" s="1"/>
  <c r="L41" i="9" a="1"/>
  <c r="L41" i="9" s="1"/>
  <c r="L36" i="9" a="1"/>
  <c r="L36" i="9" s="1"/>
  <c r="L51" i="9" a="1"/>
  <c r="L51" i="9" s="1"/>
  <c r="L49" i="9" a="1"/>
  <c r="L49" i="9" s="1"/>
  <c r="L38" i="9" a="1"/>
  <c r="L38" i="9" s="1"/>
  <c r="L29" i="9" a="1"/>
  <c r="L29" i="9" s="1"/>
  <c r="L39" i="9" a="1"/>
  <c r="L39" i="9" s="1"/>
  <c r="L48" i="9" a="1"/>
  <c r="L48" i="9" s="1"/>
  <c r="L23" i="9" a="1"/>
  <c r="L23" i="9" s="1"/>
  <c r="L33" i="9" a="1"/>
  <c r="L33" i="9" s="1"/>
  <c r="L43" i="9" a="1"/>
  <c r="L43" i="9" s="1"/>
  <c r="L27" i="9" a="1"/>
  <c r="L27" i="9" s="1"/>
  <c r="L35" i="9" a="1"/>
  <c r="L35" i="9" s="1"/>
  <c r="L30" i="9" a="1"/>
  <c r="L30" i="9" s="1"/>
  <c r="L28" i="9" a="1"/>
  <c r="L28" i="9" s="1"/>
  <c r="L14" i="9" a="1"/>
  <c r="L14" i="9" s="1"/>
  <c r="L20" i="9" a="1"/>
  <c r="L20" i="9" s="1"/>
  <c r="L17" i="9" a="1"/>
  <c r="L17" i="9" s="1"/>
  <c r="L42" i="9" a="1"/>
  <c r="L42" i="9" s="1"/>
  <c r="L46" i="9" a="1"/>
  <c r="L46" i="9" s="1"/>
  <c r="L22" i="9" a="1"/>
  <c r="L22" i="9" s="1"/>
  <c r="L19" i="9" a="1"/>
  <c r="L19" i="9" s="1"/>
  <c r="L10" i="9" a="1"/>
  <c r="L10" i="9" s="1"/>
  <c r="L12" i="9" a="1"/>
  <c r="L12" i="9" s="1"/>
  <c r="L9" i="9" a="1"/>
  <c r="L9" i="9" s="1"/>
  <c r="L47" i="9" a="1"/>
  <c r="L47" i="9" s="1"/>
  <c r="L40" i="9" a="1"/>
  <c r="L40" i="9" s="1"/>
  <c r="L37" i="9" a="1"/>
  <c r="L37" i="9" s="1"/>
  <c r="L13" i="9" a="1"/>
  <c r="L13" i="9" s="1"/>
  <c r="L45" i="9" a="1"/>
  <c r="L45" i="9" s="1"/>
  <c r="L7" i="9" a="1"/>
  <c r="L7" i="9" s="1"/>
  <c r="L25" i="9" a="1"/>
  <c r="L25" i="9" s="1"/>
  <c r="L26" i="9" a="1"/>
  <c r="L26" i="9" s="1"/>
  <c r="L6" i="9" a="1"/>
  <c r="L6" i="9" s="1"/>
  <c r="L24" i="9" a="1"/>
  <c r="L24" i="9" s="1"/>
  <c r="L16" i="9" a="1"/>
  <c r="L16" i="9" s="1"/>
  <c r="L8" i="9" a="1"/>
  <c r="L8" i="9" s="1"/>
  <c r="L5" i="9" a="1"/>
  <c r="L5" i="9" s="1"/>
  <c r="L31" i="9" a="1"/>
  <c r="L31" i="9" s="1"/>
  <c r="L34" i="9" a="1"/>
  <c r="L34" i="9" s="1"/>
  <c r="L15" i="9" a="1"/>
  <c r="L15" i="9" s="1"/>
  <c r="L21" i="9" a="1"/>
  <c r="L21" i="9" s="1"/>
  <c r="L4" i="9" a="1"/>
  <c r="L4" i="9" s="1"/>
  <c r="L11" i="9" a="1"/>
  <c r="L11" i="9" s="1"/>
  <c r="L18" i="9" a="1"/>
  <c r="L18" i="9" s="1"/>
  <c r="L50" i="9" a="1"/>
  <c r="L50" i="9" s="1"/>
  <c r="L44" i="9" a="1"/>
  <c r="L44" i="9" s="1"/>
  <c r="I136" i="6" a="1"/>
  <c r="I136" i="6" s="1"/>
  <c r="K136" i="6" a="1"/>
  <c r="K136" i="6" s="1"/>
  <c r="J136" i="6" a="1"/>
  <c r="J136" i="6" s="1"/>
  <c r="B136" i="6"/>
  <c r="L136" i="6" s="1" a="1"/>
  <c r="L136" i="6" s="1"/>
  <c r="L134" i="6" a="1"/>
  <c r="L134" i="6" s="1"/>
  <c r="K134" i="6" a="1"/>
  <c r="K134" i="6" s="1"/>
  <c r="R14" i="9" s="1" a="1"/>
  <c r="R14" i="9" s="1"/>
  <c r="J134" i="6" a="1"/>
  <c r="J134" i="6" s="1"/>
  <c r="R33" i="9" s="1" a="1"/>
  <c r="R33" i="9" s="1"/>
  <c r="B134" i="6"/>
  <c r="AD4" i="9" a="1"/>
  <c r="AD4" i="9" s="1"/>
  <c r="B138" i="6" a="1"/>
  <c r="B138" i="6" s="1"/>
  <c r="I138" i="6" s="1" a="1"/>
  <c r="I138" i="6" s="1"/>
  <c r="P8" i="4" a="1"/>
  <c r="P8" i="4" s="1"/>
  <c r="AD5" i="9" a="1"/>
  <c r="AD5" i="9" s="1"/>
  <c r="E138" i="6" a="1"/>
  <c r="E138" i="6" s="1"/>
  <c r="L138" i="6" s="1" a="1"/>
  <c r="L138" i="6" s="1"/>
  <c r="S8" i="4" a="1"/>
  <c r="S8" i="4" s="1"/>
  <c r="AH18" i="9" a="1"/>
  <c r="AH18" i="9" s="1"/>
  <c r="B130" i="6" a="1"/>
  <c r="B130" i="6" s="1"/>
  <c r="L130" i="6" s="1" a="1"/>
  <c r="L130" i="6" s="1"/>
  <c r="I119" i="6" a="1"/>
  <c r="I119" i="6" s="1"/>
  <c r="P15" i="4" a="1"/>
  <c r="P15" i="4" s="1"/>
  <c r="AE4" i="9" s="1" a="1"/>
  <c r="AE4" i="9" s="1"/>
  <c r="B137" i="6" a="1"/>
  <c r="B137" i="6" s="1"/>
  <c r="I137" i="6" s="1" a="1"/>
  <c r="I137" i="6" s="1"/>
  <c r="BA3" i="8" a="1"/>
  <c r="BA3" i="8" s="1"/>
  <c r="BC13" i="8" a="1"/>
  <c r="BC13" i="8" s="1"/>
  <c r="BC2" i="8" a="1"/>
  <c r="BC2" i="8" s="1"/>
  <c r="BD2" i="8" s="1" a="1"/>
  <c r="BD2" i="8" s="1"/>
  <c r="BC6" i="8" a="1"/>
  <c r="BC6" i="8" s="1"/>
  <c r="BC11" i="8" a="1"/>
  <c r="BC11" i="8" s="1"/>
  <c r="BD11" i="8" s="1" a="1"/>
  <c r="BD11" i="8" s="1"/>
  <c r="BE11" i="8" s="1" a="1"/>
  <c r="BE11" i="8" s="1"/>
  <c r="BC7" i="8" a="1"/>
  <c r="BC7" i="8" s="1"/>
  <c r="BC4" i="8" a="1"/>
  <c r="BC4" i="8" s="1"/>
  <c r="BD4" i="8" s="1" a="1"/>
  <c r="BD4" i="8" s="1"/>
  <c r="BE4" i="8" s="1" a="1"/>
  <c r="BE4" i="8" s="1"/>
  <c r="BC5" i="8" a="1"/>
  <c r="BC5" i="8" s="1"/>
  <c r="BC10" i="8" a="1"/>
  <c r="BC10" i="8" s="1"/>
  <c r="BC12" i="8" a="1"/>
  <c r="BC12" i="8" s="1"/>
  <c r="BD12" i="8" s="1" a="1"/>
  <c r="BD12" i="8" s="1"/>
  <c r="BE12" i="8" s="1" a="1"/>
  <c r="BE12" i="8" s="1"/>
  <c r="BC9" i="8" a="1"/>
  <c r="BC9" i="8" s="1"/>
  <c r="BC8" i="8" a="1"/>
  <c r="BC8" i="8" s="1"/>
  <c r="BD8" i="8" s="1" a="1"/>
  <c r="BD8" i="8" s="1"/>
  <c r="BE8" i="8" s="1" a="1"/>
  <c r="BE8" i="8" s="1"/>
  <c r="BC3" i="8" a="1"/>
  <c r="BC3" i="8" s="1"/>
  <c r="BD3" i="8" s="1" a="1"/>
  <c r="BD3" i="8" s="1"/>
  <c r="BE3" i="8" s="1" a="1"/>
  <c r="BE3" i="8" s="1"/>
  <c r="BD13" i="8" a="1"/>
  <c r="BD13" i="8" s="1"/>
  <c r="BE13" i="8" s="1" a="1"/>
  <c r="BE13" i="8" s="1"/>
  <c r="BD5" i="8" a="1"/>
  <c r="BD5" i="8" s="1"/>
  <c r="BE5" i="8" s="1" a="1"/>
  <c r="BE5" i="8" s="1"/>
  <c r="BD10" i="8" a="1"/>
  <c r="BD10" i="8" s="1"/>
  <c r="BE10" i="8" s="1" a="1"/>
  <c r="BE10" i="8" s="1"/>
  <c r="BD7" i="8" a="1"/>
  <c r="BD7" i="8" s="1"/>
  <c r="BE7" i="8" s="1" a="1"/>
  <c r="BE7" i="8" s="1"/>
  <c r="BD6" i="8" a="1"/>
  <c r="BD6" i="8" s="1"/>
  <c r="BE6" i="8" s="1" a="1"/>
  <c r="BE6" i="8" s="1"/>
  <c r="BD9" i="8" a="1"/>
  <c r="BD9" i="8" s="1"/>
  <c r="BE9" i="8" s="1" a="1"/>
  <c r="BE9" i="8" s="1"/>
  <c r="AM16" i="2" a="1"/>
  <c r="AM16" i="2" s="1"/>
  <c r="CS2" i="2" a="1"/>
  <c r="CS2" i="2" s="1"/>
  <c r="CS4" i="2" s="1" a="1"/>
  <c r="CS4" i="2" s="1"/>
  <c r="S22" i="4" a="1"/>
  <c r="S22" i="4" s="1"/>
  <c r="G5" i="6" s="1" a="1"/>
  <c r="G5" i="6" s="1"/>
  <c r="B135" i="6"/>
  <c r="L135" i="6" s="1" a="1"/>
  <c r="L135" i="6" s="1"/>
  <c r="I135" i="6" a="1"/>
  <c r="I135" i="6" s="1"/>
  <c r="J135" i="6" a="1"/>
  <c r="J135" i="6" s="1"/>
  <c r="R15" i="9" s="1" a="1"/>
  <c r="R15" i="9" s="1"/>
  <c r="K135" i="6" a="1"/>
  <c r="K135" i="6" s="1"/>
  <c r="BE2" i="8" l="1" a="1"/>
  <c r="BE2" i="8" s="1"/>
  <c r="BF2" i="8" s="1" a="1"/>
  <c r="BF2" i="8" s="1"/>
  <c r="BG2" i="8" s="1" a="1"/>
  <c r="BG2" i="8" s="1"/>
  <c r="CW10" i="2" a="1"/>
  <c r="CW10" i="2" s="1"/>
  <c r="AI77" i="2" s="1" a="1"/>
  <c r="AI77" i="2" s="1"/>
  <c r="CW12" i="2" a="1"/>
  <c r="CW12" i="2" s="1"/>
  <c r="AI95" i="2" s="1" a="1"/>
  <c r="AI95" i="2" s="1"/>
  <c r="BF3" i="8" a="1"/>
  <c r="BF3" i="8" s="1"/>
  <c r="BG3" i="8" s="1" a="1"/>
  <c r="BG3" i="8" s="1"/>
  <c r="CW13" i="2" s="1" a="1"/>
  <c r="CW13" i="2" s="1"/>
  <c r="AI104" i="2" s="1" a="1"/>
  <c r="AI104" i="2" s="1"/>
  <c r="BF8" i="8" a="1"/>
  <c r="BF8" i="8" s="1"/>
  <c r="BG8" i="8" s="1" a="1"/>
  <c r="BG8" i="8" s="1"/>
  <c r="CW11" i="2" s="1" a="1"/>
  <c r="CW11" i="2" s="1"/>
  <c r="AI86" i="2" s="1" a="1"/>
  <c r="AI86" i="2" s="1"/>
  <c r="BF12" i="8" a="1"/>
  <c r="BF12" i="8" s="1"/>
  <c r="BG12" i="8" s="1" a="1"/>
  <c r="BG12" i="8" s="1"/>
  <c r="CW8" i="2" s="1" a="1"/>
  <c r="CW8" i="2" s="1"/>
  <c r="AI59" i="2" s="1" a="1"/>
  <c r="AI59" i="2" s="1"/>
  <c r="BF4" i="8" a="1"/>
  <c r="BF4" i="8" s="1"/>
  <c r="BG4" i="8" s="1" a="1"/>
  <c r="BG4" i="8" s="1"/>
  <c r="CW7" i="2" s="1" a="1"/>
  <c r="CW7" i="2" s="1"/>
  <c r="AI50" i="2" s="1" a="1"/>
  <c r="AI50" i="2" s="1"/>
  <c r="BF11" i="8" a="1"/>
  <c r="BF11" i="8" s="1"/>
  <c r="BG11" i="8" s="1" a="1"/>
  <c r="BG11" i="8" s="1"/>
  <c r="CW3" i="2" s="1" a="1"/>
  <c r="CW3" i="2" s="1"/>
  <c r="AI14" i="2" s="1" a="1"/>
  <c r="AI14" i="2" s="1"/>
  <c r="R24" i="9" a="1"/>
  <c r="R24" i="9" s="1"/>
  <c r="R10" i="9" a="1"/>
  <c r="R10" i="9" s="1"/>
  <c r="R20" i="9" a="1"/>
  <c r="R20" i="9" s="1"/>
  <c r="R25" i="9" a="1"/>
  <c r="R25" i="9" s="1"/>
  <c r="R36" i="9" a="1"/>
  <c r="R36" i="9" s="1"/>
  <c r="I134" i="6" a="1"/>
  <c r="I134" i="6" s="1"/>
  <c r="K41" i="9" a="1"/>
  <c r="K41" i="9" s="1"/>
  <c r="K39" i="9" a="1"/>
  <c r="K39" i="9" s="1"/>
  <c r="K36" i="9" a="1"/>
  <c r="K36" i="9" s="1"/>
  <c r="K29" i="9" a="1"/>
  <c r="K29" i="9" s="1"/>
  <c r="K51" i="9" a="1"/>
  <c r="K51" i="9" s="1"/>
  <c r="K48" i="9" a="1"/>
  <c r="K48" i="9" s="1"/>
  <c r="K38" i="9" a="1"/>
  <c r="K38" i="9" s="1"/>
  <c r="K49" i="9" a="1"/>
  <c r="K49" i="9" s="1"/>
  <c r="K32" i="9" a="1"/>
  <c r="K32" i="9" s="1"/>
  <c r="K26" i="9" a="1"/>
  <c r="K26" i="9" s="1"/>
  <c r="K15" i="9" a="1"/>
  <c r="K15" i="9" s="1"/>
  <c r="K40" i="9" a="1"/>
  <c r="K40" i="9" s="1"/>
  <c r="K23" i="9" a="1"/>
  <c r="K23" i="9" s="1"/>
  <c r="K45" i="9" a="1"/>
  <c r="K45" i="9" s="1"/>
  <c r="K44" i="9" a="1"/>
  <c r="K44" i="9" s="1"/>
  <c r="K11" i="9" a="1"/>
  <c r="K11" i="9" s="1"/>
  <c r="K43" i="9" a="1"/>
  <c r="K43" i="9" s="1"/>
  <c r="K50" i="9" a="1"/>
  <c r="K50" i="9" s="1"/>
  <c r="K14" i="9" a="1"/>
  <c r="K14" i="9" s="1"/>
  <c r="K35" i="9" a="1"/>
  <c r="K35" i="9" s="1"/>
  <c r="K4" i="9" a="1"/>
  <c r="K4" i="9" s="1"/>
  <c r="K28" i="9" a="1"/>
  <c r="K28" i="9" s="1"/>
  <c r="K22" i="9" a="1"/>
  <c r="K22" i="9" s="1"/>
  <c r="K27" i="9" a="1"/>
  <c r="K27" i="9" s="1"/>
  <c r="K30" i="9" a="1"/>
  <c r="K30" i="9" s="1"/>
  <c r="K9" i="9" a="1"/>
  <c r="K9" i="9" s="1"/>
  <c r="K47" i="9" a="1"/>
  <c r="K47" i="9" s="1"/>
  <c r="K21" i="9" a="1"/>
  <c r="K21" i="9" s="1"/>
  <c r="K7" i="9" a="1"/>
  <c r="K7" i="9" s="1"/>
  <c r="K18" i="9" a="1"/>
  <c r="K18" i="9" s="1"/>
  <c r="K46" i="9" a="1"/>
  <c r="K46" i="9" s="1"/>
  <c r="K25" i="9" a="1"/>
  <c r="K25" i="9" s="1"/>
  <c r="K16" i="9" a="1"/>
  <c r="K16" i="9" s="1"/>
  <c r="K10" i="9" a="1"/>
  <c r="K10" i="9" s="1"/>
  <c r="K37" i="9" a="1"/>
  <c r="K37" i="9" s="1"/>
  <c r="K12" i="9" a="1"/>
  <c r="K12" i="9" s="1"/>
  <c r="K33" i="9" a="1"/>
  <c r="K33" i="9" s="1"/>
  <c r="K42" i="9" a="1"/>
  <c r="K42" i="9" s="1"/>
  <c r="K24" i="9" a="1"/>
  <c r="K24" i="9" s="1"/>
  <c r="K8" i="9" a="1"/>
  <c r="K8" i="9" s="1"/>
  <c r="K6" i="9" a="1"/>
  <c r="K6" i="9" s="1"/>
  <c r="K5" i="9" a="1"/>
  <c r="K5" i="9" s="1"/>
  <c r="K31" i="9" a="1"/>
  <c r="K31" i="9" s="1"/>
  <c r="K19" i="9" a="1"/>
  <c r="K19" i="9" s="1"/>
  <c r="K20" i="9" a="1"/>
  <c r="K20" i="9" s="1"/>
  <c r="K34" i="9" a="1"/>
  <c r="K34" i="9" s="1"/>
  <c r="K17" i="9" a="1"/>
  <c r="K17" i="9" s="1"/>
  <c r="K13" i="9" a="1"/>
  <c r="K13" i="9" s="1"/>
  <c r="R17" i="9" a="1"/>
  <c r="R17" i="9" s="1"/>
  <c r="R28" i="9" a="1"/>
  <c r="R28" i="9" s="1"/>
  <c r="R21" i="9" a="1"/>
  <c r="R21" i="9" s="1"/>
  <c r="R11" i="9" a="1"/>
  <c r="R11" i="9" s="1"/>
  <c r="BF6" i="8" a="1"/>
  <c r="BF6" i="8" s="1"/>
  <c r="BG6" i="8" s="1" a="1"/>
  <c r="BG6" i="8" s="1"/>
  <c r="CW5" i="2" s="1" a="1"/>
  <c r="CW5" i="2" s="1"/>
  <c r="AI32" i="2" s="1" a="1"/>
  <c r="AI32" i="2" s="1"/>
  <c r="Q39" i="9" a="1"/>
  <c r="Q39" i="9" s="1"/>
  <c r="Q17" i="9" a="1"/>
  <c r="Q17" i="9" s="1"/>
  <c r="Q44" i="9" a="1"/>
  <c r="Q44" i="9" s="1"/>
  <c r="Q18" i="9" a="1"/>
  <c r="Q18" i="9" s="1"/>
  <c r="Q11" i="9" a="1"/>
  <c r="Q11" i="9" s="1"/>
  <c r="Q46" i="9" a="1"/>
  <c r="Q46" i="9" s="1"/>
  <c r="Q37" i="9" a="1"/>
  <c r="Q37" i="9" s="1"/>
  <c r="Q28" i="9" a="1"/>
  <c r="Q28" i="9" s="1"/>
  <c r="Q9" i="9" a="1"/>
  <c r="Q9" i="9" s="1"/>
  <c r="Q12" i="9" a="1"/>
  <c r="Q12" i="9" s="1"/>
  <c r="Q36" i="9" a="1"/>
  <c r="Q36" i="9" s="1"/>
  <c r="Q5" i="9" a="1"/>
  <c r="Q5" i="9" s="1"/>
  <c r="Q38" i="9" a="1"/>
  <c r="Q38" i="9" s="1"/>
  <c r="Q29" i="9" a="1"/>
  <c r="Q29" i="9" s="1"/>
  <c r="Q31" i="9" a="1"/>
  <c r="Q31" i="9" s="1"/>
  <c r="Q27" i="9" a="1"/>
  <c r="Q27" i="9" s="1"/>
  <c r="Q33" i="9" a="1"/>
  <c r="Q33" i="9" s="1"/>
  <c r="Q15" i="9" a="1"/>
  <c r="Q15" i="9" s="1"/>
  <c r="Q19" i="9" a="1"/>
  <c r="Q19" i="9" s="1"/>
  <c r="Q10" i="9" a="1"/>
  <c r="Q10" i="9" s="1"/>
  <c r="Q43" i="9" a="1"/>
  <c r="Q43" i="9" s="1"/>
  <c r="Q25" i="9" a="1"/>
  <c r="Q25" i="9" s="1"/>
  <c r="Q21" i="9" a="1"/>
  <c r="Q21" i="9" s="1"/>
  <c r="Q42" i="9" a="1"/>
  <c r="Q42" i="9" s="1"/>
  <c r="Q35" i="9" a="1"/>
  <c r="Q35" i="9" s="1"/>
  <c r="Q34" i="9" a="1"/>
  <c r="Q34" i="9" s="1"/>
  <c r="Q13" i="9" a="1"/>
  <c r="Q13" i="9" s="1"/>
  <c r="Q14" i="9" a="1"/>
  <c r="Q14" i="9" s="1"/>
  <c r="Q49" i="9" a="1"/>
  <c r="Q49" i="9" s="1"/>
  <c r="Q23" i="9" a="1"/>
  <c r="Q23" i="9" s="1"/>
  <c r="Q30" i="9" a="1"/>
  <c r="Q30" i="9" s="1"/>
  <c r="Q20" i="9" a="1"/>
  <c r="Q20" i="9" s="1"/>
  <c r="Q48" i="9" a="1"/>
  <c r="Q48" i="9" s="1"/>
  <c r="Q4" i="9" a="1"/>
  <c r="Q4" i="9" s="1"/>
  <c r="Q22" i="9" a="1"/>
  <c r="Q22" i="9" s="1"/>
  <c r="Q41" i="9" a="1"/>
  <c r="Q41" i="9" s="1"/>
  <c r="Q47" i="9" a="1"/>
  <c r="Q47" i="9" s="1"/>
  <c r="Q51" i="9" a="1"/>
  <c r="Q51" i="9" s="1"/>
  <c r="Q16" i="9" a="1"/>
  <c r="Q16" i="9" s="1"/>
  <c r="Q45" i="9" a="1"/>
  <c r="Q45" i="9" s="1"/>
  <c r="Q26" i="9" a="1"/>
  <c r="Q26" i="9" s="1"/>
  <c r="Q24" i="9" a="1"/>
  <c r="Q24" i="9" s="1"/>
  <c r="Q8" i="9" a="1"/>
  <c r="Q8" i="9" s="1"/>
  <c r="Q40" i="9" a="1"/>
  <c r="Q40" i="9" s="1"/>
  <c r="Q6" i="9" a="1"/>
  <c r="Q6" i="9" s="1"/>
  <c r="Q7" i="9" a="1"/>
  <c r="Q7" i="9" s="1"/>
  <c r="Q50" i="9" a="1"/>
  <c r="Q50" i="9" s="1"/>
  <c r="Q32" i="9" a="1"/>
  <c r="Q32" i="9" s="1"/>
  <c r="R26" i="9" a="1"/>
  <c r="R26" i="9" s="1"/>
  <c r="R48" i="9" a="1"/>
  <c r="R48" i="9" s="1"/>
  <c r="R44" i="9" a="1"/>
  <c r="R44" i="9" s="1"/>
  <c r="R30" i="9" a="1"/>
  <c r="R30" i="9" s="1"/>
  <c r="R31" i="9" a="1"/>
  <c r="R31" i="9" s="1"/>
  <c r="R13" i="9" a="1"/>
  <c r="R13" i="9" s="1"/>
  <c r="R45" i="9" a="1"/>
  <c r="R45" i="9" s="1"/>
  <c r="R50" i="9" a="1"/>
  <c r="R50" i="9" s="1"/>
  <c r="R6" i="9" a="1"/>
  <c r="R6" i="9" s="1"/>
  <c r="N12" i="9" a="1"/>
  <c r="N12" i="9" s="1"/>
  <c r="N13" i="9" a="1"/>
  <c r="N13" i="9" s="1"/>
  <c r="N25" i="9" a="1"/>
  <c r="N25" i="9" s="1"/>
  <c r="N40" i="9" a="1"/>
  <c r="N40" i="9" s="1"/>
  <c r="N8" i="9" a="1"/>
  <c r="N8" i="9" s="1"/>
  <c r="N21" i="9" a="1"/>
  <c r="N21" i="9" s="1"/>
  <c r="N44" i="9" a="1"/>
  <c r="N44" i="9" s="1"/>
  <c r="N20" i="9" a="1"/>
  <c r="N20" i="9" s="1"/>
  <c r="N33" i="9" a="1"/>
  <c r="N33" i="9" s="1"/>
  <c r="N50" i="9" a="1"/>
  <c r="N50" i="9" s="1"/>
  <c r="N15" i="9" a="1"/>
  <c r="N15" i="9" s="1"/>
  <c r="N10" i="9" a="1"/>
  <c r="N10" i="9" s="1"/>
  <c r="N11" i="9" a="1"/>
  <c r="N11" i="9" s="1"/>
  <c r="N29" i="9" a="1"/>
  <c r="N29" i="9" s="1"/>
  <c r="N31" i="9" a="1"/>
  <c r="N31" i="9" s="1"/>
  <c r="N37" i="9" a="1"/>
  <c r="N37" i="9" s="1"/>
  <c r="N9" i="9" a="1"/>
  <c r="N9" i="9" s="1"/>
  <c r="N23" i="9" a="1"/>
  <c r="N23" i="9" s="1"/>
  <c r="N36" i="9" a="1"/>
  <c r="N36" i="9" s="1"/>
  <c r="N45" i="9" a="1"/>
  <c r="N45" i="9" s="1"/>
  <c r="N4" i="9" a="1"/>
  <c r="N4" i="9" s="1"/>
  <c r="N19" i="9" a="1"/>
  <c r="N19" i="9" s="1"/>
  <c r="N5" i="9" a="1"/>
  <c r="N5" i="9" s="1"/>
  <c r="N49" i="9" a="1"/>
  <c r="N49" i="9" s="1"/>
  <c r="N30" i="9" a="1"/>
  <c r="N30" i="9" s="1"/>
  <c r="N24" i="9" a="1"/>
  <c r="N24" i="9" s="1"/>
  <c r="N34" i="9" a="1"/>
  <c r="N34" i="9" s="1"/>
  <c r="N18" i="9" a="1"/>
  <c r="N18" i="9" s="1"/>
  <c r="N48" i="9" a="1"/>
  <c r="N48" i="9" s="1"/>
  <c r="N14" i="9" a="1"/>
  <c r="N14" i="9" s="1"/>
  <c r="N46" i="9" a="1"/>
  <c r="N46" i="9" s="1"/>
  <c r="N17" i="9" a="1"/>
  <c r="N17" i="9" s="1"/>
  <c r="N32" i="9" a="1"/>
  <c r="N32" i="9" s="1"/>
  <c r="N41" i="9" a="1"/>
  <c r="N41" i="9" s="1"/>
  <c r="N16" i="9" a="1"/>
  <c r="N16" i="9" s="1"/>
  <c r="N43" i="9" a="1"/>
  <c r="N43" i="9" s="1"/>
  <c r="N22" i="9" a="1"/>
  <c r="N22" i="9" s="1"/>
  <c r="N26" i="9" a="1"/>
  <c r="N26" i="9" s="1"/>
  <c r="N38" i="9" a="1"/>
  <c r="N38" i="9" s="1"/>
  <c r="N6" i="9" a="1"/>
  <c r="N6" i="9" s="1"/>
  <c r="N47" i="9" a="1"/>
  <c r="N47" i="9" s="1"/>
  <c r="N42" i="9" a="1"/>
  <c r="N42" i="9" s="1"/>
  <c r="N28" i="9" a="1"/>
  <c r="N28" i="9" s="1"/>
  <c r="N39" i="9" a="1"/>
  <c r="N39" i="9" s="1"/>
  <c r="N7" i="9" a="1"/>
  <c r="N7" i="9" s="1"/>
  <c r="N27" i="9" a="1"/>
  <c r="N27" i="9" s="1"/>
  <c r="N35" i="9" a="1"/>
  <c r="N35" i="9" s="1"/>
  <c r="N51" i="9" a="1"/>
  <c r="N51" i="9" s="1"/>
  <c r="R37" i="9" a="1"/>
  <c r="R37" i="9" s="1"/>
  <c r="R8" i="9" a="1"/>
  <c r="R8" i="9" s="1"/>
  <c r="R27" i="9" a="1"/>
  <c r="R27" i="9" s="1"/>
  <c r="R9" i="9" a="1"/>
  <c r="R9" i="9" s="1"/>
  <c r="R4" i="9" a="1"/>
  <c r="R4" i="9" s="1"/>
  <c r="R40" i="9" a="1"/>
  <c r="R40" i="9" s="1"/>
  <c r="R16" i="9" a="1"/>
  <c r="R16" i="9" s="1"/>
  <c r="R7" i="9" a="1"/>
  <c r="R7" i="9" s="1"/>
  <c r="BF5" i="8" a="1"/>
  <c r="BF5" i="8" s="1"/>
  <c r="BG5" i="8" s="1" a="1"/>
  <c r="BG5" i="8" s="1"/>
  <c r="CW6" i="2" s="1" a="1"/>
  <c r="CW6" i="2" s="1"/>
  <c r="AI41" i="2" s="1" a="1"/>
  <c r="AI41" i="2" s="1"/>
  <c r="AR17" i="2" a="1"/>
  <c r="AR17" i="2" s="1"/>
  <c r="AT15" i="2" a="1"/>
  <c r="AT15" i="2" s="1"/>
  <c r="AT13" i="2" a="1"/>
  <c r="AT13" i="2" s="1"/>
  <c r="AT12" i="2" a="1"/>
  <c r="AT12" i="2" s="1"/>
  <c r="AT14" i="2" a="1"/>
  <c r="AT14" i="2" s="1"/>
  <c r="R23" i="9" a="1"/>
  <c r="R23" i="9" s="1"/>
  <c r="R18" i="9" a="1"/>
  <c r="R18" i="9" s="1"/>
  <c r="R47" i="9" a="1"/>
  <c r="R47" i="9" s="1"/>
  <c r="R49" i="9" a="1"/>
  <c r="R49" i="9" s="1"/>
  <c r="BF7" i="8" a="1"/>
  <c r="BF7" i="8" s="1"/>
  <c r="BG7" i="8" s="1" a="1"/>
  <c r="BG7" i="8" s="1"/>
  <c r="CW2" i="2" s="1" a="1"/>
  <c r="CW2" i="2" s="1"/>
  <c r="AI5" i="2" s="1" a="1"/>
  <c r="AI5" i="2" s="1"/>
  <c r="R35" i="9" a="1"/>
  <c r="R35" i="9" s="1"/>
  <c r="R12" i="9" a="1"/>
  <c r="R12" i="9" s="1"/>
  <c r="R22" i="9" a="1"/>
  <c r="R22" i="9" s="1"/>
  <c r="R34" i="9" a="1"/>
  <c r="R34" i="9" s="1"/>
  <c r="R51" i="9" a="1"/>
  <c r="R51" i="9" s="1"/>
  <c r="R46" i="9" a="1"/>
  <c r="R46" i="9" s="1"/>
  <c r="R29" i="9" a="1"/>
  <c r="R29" i="9" s="1"/>
  <c r="R32" i="9" a="1"/>
  <c r="R32" i="9" s="1"/>
  <c r="R39" i="9" a="1"/>
  <c r="R39" i="9" s="1"/>
  <c r="AC4" i="9" a="1"/>
  <c r="AC4" i="9" s="1"/>
  <c r="R41" i="9" a="1"/>
  <c r="R41" i="9" s="1"/>
  <c r="R5" i="9" a="1"/>
  <c r="R5" i="9" s="1"/>
  <c r="R43" i="9" a="1"/>
  <c r="R43" i="9" s="1"/>
  <c r="R19" i="9" a="1"/>
  <c r="R19" i="9" s="1"/>
  <c r="BF9" i="8" a="1"/>
  <c r="BF9" i="8" s="1"/>
  <c r="BG9" i="8" s="1" a="1"/>
  <c r="BG9" i="8" s="1"/>
  <c r="CW4" i="2" s="1" a="1"/>
  <c r="CW4" i="2" s="1"/>
  <c r="AI23" i="2" s="1" a="1"/>
  <c r="AI23" i="2" s="1"/>
  <c r="BI3" i="8" a="1"/>
  <c r="BI3" i="8" s="1"/>
  <c r="BI5" i="8" a="1"/>
  <c r="BI5" i="8" s="1"/>
  <c r="BI2" i="8" a="1"/>
  <c r="BI2" i="8" s="1"/>
  <c r="BI4" i="8" a="1"/>
  <c r="BI4" i="8" s="1"/>
  <c r="BI8" i="8" a="1"/>
  <c r="BI8" i="8" s="1"/>
  <c r="BI7" i="8" a="1"/>
  <c r="BI7" i="8" s="1"/>
  <c r="BI9" i="8" a="1"/>
  <c r="BI9" i="8" s="1"/>
  <c r="BI6" i="8" a="1"/>
  <c r="BI6" i="8" s="1"/>
  <c r="R42" i="9" a="1"/>
  <c r="R42" i="9" s="1"/>
  <c r="BF10" i="8" a="1"/>
  <c r="BF10" i="8" s="1"/>
  <c r="BG10" i="8" s="1" a="1"/>
  <c r="BG10" i="8" s="1"/>
  <c r="CW9" i="2" s="1" a="1"/>
  <c r="CW9" i="2" s="1"/>
  <c r="AI68" i="2" s="1" a="1"/>
  <c r="AI68" i="2" s="1"/>
  <c r="BF13" i="8" a="1"/>
  <c r="BF13" i="8" s="1"/>
  <c r="BG13" i="8" s="1" a="1"/>
  <c r="BG13" i="8" s="1"/>
  <c r="R38" i="9" a="1"/>
  <c r="R38" i="9" s="1"/>
  <c r="J29" i="9" a="1"/>
  <c r="J29" i="9" s="1"/>
  <c r="J49" i="9" a="1"/>
  <c r="J49" i="9" s="1"/>
  <c r="J32" i="9" a="1"/>
  <c r="J32" i="9" s="1"/>
  <c r="J41" i="9" a="1"/>
  <c r="J41" i="9" s="1"/>
  <c r="J36" i="9" a="1"/>
  <c r="J36" i="9" s="1"/>
  <c r="J51" i="9" a="1"/>
  <c r="J51" i="9" s="1"/>
  <c r="J38" i="9" a="1"/>
  <c r="J38" i="9" s="1"/>
  <c r="J48" i="9" a="1"/>
  <c r="J48" i="9" s="1"/>
  <c r="J39" i="9" a="1"/>
  <c r="J39" i="9" s="1"/>
  <c r="J46" i="9" a="1"/>
  <c r="J46" i="9" s="1"/>
  <c r="J19" i="9" a="1"/>
  <c r="J19" i="9" s="1"/>
  <c r="J34" i="9" a="1"/>
  <c r="J34" i="9" s="1"/>
  <c r="J5" i="9" a="1"/>
  <c r="J5" i="9" s="1"/>
  <c r="J15" i="9" a="1"/>
  <c r="J15" i="9" s="1"/>
  <c r="J21" i="9" a="1"/>
  <c r="J21" i="9" s="1"/>
  <c r="J24" i="9" a="1"/>
  <c r="J24" i="9" s="1"/>
  <c r="J26" i="9" a="1"/>
  <c r="J26" i="9" s="1"/>
  <c r="J27" i="9" a="1"/>
  <c r="J27" i="9" s="1"/>
  <c r="J12" i="9" a="1"/>
  <c r="J12" i="9" s="1"/>
  <c r="J25" i="9" a="1"/>
  <c r="J25" i="9" s="1"/>
  <c r="J31" i="9" a="1"/>
  <c r="J31" i="9" s="1"/>
  <c r="J20" i="9" a="1"/>
  <c r="J20" i="9" s="1"/>
  <c r="J6" i="9" a="1"/>
  <c r="J6" i="9" s="1"/>
  <c r="J50" i="9" a="1"/>
  <c r="J50" i="9" s="1"/>
  <c r="J44" i="9" a="1"/>
  <c r="J44" i="9" s="1"/>
  <c r="J4" i="9" a="1"/>
  <c r="J4" i="9" s="1"/>
  <c r="J9" i="9" a="1"/>
  <c r="J9" i="9" s="1"/>
  <c r="J47" i="9" a="1"/>
  <c r="J47" i="9" s="1"/>
  <c r="J40" i="9" a="1"/>
  <c r="J40" i="9" s="1"/>
  <c r="J28" i="9" a="1"/>
  <c r="J28" i="9" s="1"/>
  <c r="J45" i="9" a="1"/>
  <c r="J45" i="9" s="1"/>
  <c r="J11" i="9" a="1"/>
  <c r="J11" i="9" s="1"/>
  <c r="J14" i="9" a="1"/>
  <c r="J14" i="9" s="1"/>
  <c r="J43" i="9" a="1"/>
  <c r="J43" i="9" s="1"/>
  <c r="J35" i="9" a="1"/>
  <c r="J35" i="9" s="1"/>
  <c r="J17" i="9" a="1"/>
  <c r="J17" i="9" s="1"/>
  <c r="J23" i="9" a="1"/>
  <c r="J23" i="9" s="1"/>
  <c r="J10" i="9" a="1"/>
  <c r="J10" i="9" s="1"/>
  <c r="J22" i="9" a="1"/>
  <c r="J22" i="9" s="1"/>
  <c r="J33" i="9" a="1"/>
  <c r="J33" i="9" s="1"/>
  <c r="J16" i="9" a="1"/>
  <c r="J16" i="9" s="1"/>
  <c r="J7" i="9" a="1"/>
  <c r="J7" i="9" s="1"/>
  <c r="J37" i="9" a="1"/>
  <c r="J37" i="9" s="1"/>
  <c r="J13" i="9" a="1"/>
  <c r="J13" i="9" s="1"/>
  <c r="J8" i="9" a="1"/>
  <c r="J8" i="9" s="1"/>
  <c r="J42" i="9" a="1"/>
  <c r="J42" i="9" s="1"/>
  <c r="J18" i="9" a="1"/>
  <c r="J18" i="9" s="1"/>
  <c r="J30" i="9" a="1"/>
  <c r="J30" i="9" s="1"/>
  <c r="BK2" i="8" l="1" a="1"/>
  <c r="BK2" i="8" s="1"/>
  <c r="BL2" i="8" s="1" a="1"/>
  <c r="BL2" i="8" s="1"/>
  <c r="AA2" i="8" s="1" a="1"/>
  <c r="AA2" i="8" s="1"/>
  <c r="BJ2" i="8" a="1"/>
  <c r="BJ2" i="8" s="1"/>
  <c r="BJ3" i="8" a="1"/>
  <c r="BJ3" i="8" s="1"/>
  <c r="BK3" i="8" a="1"/>
  <c r="BK3" i="8" s="1"/>
  <c r="BL3" i="8" s="1" a="1"/>
  <c r="BL3" i="8" s="1"/>
  <c r="AA3" i="8" s="1" a="1"/>
  <c r="AA3" i="8" s="1"/>
  <c r="BJ5" i="8" a="1"/>
  <c r="BJ5" i="8" s="1"/>
  <c r="BK5" i="8" a="1"/>
  <c r="BK5" i="8" s="1"/>
  <c r="BL5" i="8" s="1" a="1"/>
  <c r="BL5" i="8" s="1"/>
  <c r="AA5" i="8" s="1" a="1"/>
  <c r="AA5" i="8" s="1"/>
  <c r="BK6" i="8" a="1"/>
  <c r="BK6" i="8" s="1"/>
  <c r="BL6" i="8" s="1" a="1"/>
  <c r="BL6" i="8" s="1"/>
  <c r="AA6" i="8" s="1" a="1"/>
  <c r="AA6" i="8" s="1"/>
  <c r="BJ6" i="8" a="1"/>
  <c r="BJ6" i="8" s="1"/>
  <c r="I49" i="9" a="1"/>
  <c r="I49" i="9" s="1"/>
  <c r="I48" i="9" a="1"/>
  <c r="I48" i="9" s="1"/>
  <c r="I41" i="9" a="1"/>
  <c r="I41" i="9" s="1"/>
  <c r="I38" i="9" a="1"/>
  <c r="I38" i="9" s="1"/>
  <c r="I29" i="9" a="1"/>
  <c r="I29" i="9" s="1"/>
  <c r="I36" i="9" a="1"/>
  <c r="I36" i="9" s="1"/>
  <c r="I39" i="9" a="1"/>
  <c r="I39" i="9" s="1"/>
  <c r="I51" i="9" a="1"/>
  <c r="I51" i="9" s="1"/>
  <c r="I32" i="9" a="1"/>
  <c r="I32" i="9" s="1"/>
  <c r="I22" i="9" a="1"/>
  <c r="I22" i="9" s="1"/>
  <c r="I28" i="9" a="1"/>
  <c r="I28" i="9" s="1"/>
  <c r="I7" i="9" a="1"/>
  <c r="I7" i="9" s="1"/>
  <c r="I5" i="9" a="1"/>
  <c r="I5" i="9" s="1"/>
  <c r="I13" i="9" a="1"/>
  <c r="I13" i="9" s="1"/>
  <c r="I46" i="9" a="1"/>
  <c r="I46" i="9" s="1"/>
  <c r="I16" i="9" a="1"/>
  <c r="I16" i="9" s="1"/>
  <c r="I26" i="9" a="1"/>
  <c r="I26" i="9" s="1"/>
  <c r="I30" i="9" a="1"/>
  <c r="I30" i="9" s="1"/>
  <c r="I31" i="9" a="1"/>
  <c r="I31" i="9" s="1"/>
  <c r="I8" i="9" a="1"/>
  <c r="I8" i="9" s="1"/>
  <c r="I21" i="9" a="1"/>
  <c r="I21" i="9" s="1"/>
  <c r="I45" i="9" a="1"/>
  <c r="I45" i="9" s="1"/>
  <c r="I34" i="9" a="1"/>
  <c r="I34" i="9" s="1"/>
  <c r="I18" i="9" a="1"/>
  <c r="I18" i="9" s="1"/>
  <c r="I17" i="9" a="1"/>
  <c r="I17" i="9" s="1"/>
  <c r="I6" i="9" a="1"/>
  <c r="I6" i="9" s="1"/>
  <c r="I10" i="9" a="1"/>
  <c r="I10" i="9" s="1"/>
  <c r="I50" i="9" a="1"/>
  <c r="I50" i="9" s="1"/>
  <c r="I25" i="9" a="1"/>
  <c r="I25" i="9" s="1"/>
  <c r="I19" i="9" a="1"/>
  <c r="I19" i="9" s="1"/>
  <c r="I15" i="9" a="1"/>
  <c r="I15" i="9" s="1"/>
  <c r="I44" i="9" a="1"/>
  <c r="I44" i="9" s="1"/>
  <c r="I27" i="9" a="1"/>
  <c r="I27" i="9" s="1"/>
  <c r="I35" i="9" a="1"/>
  <c r="I35" i="9" s="1"/>
  <c r="I47" i="9" a="1"/>
  <c r="I47" i="9" s="1"/>
  <c r="I40" i="9" a="1"/>
  <c r="I40" i="9" s="1"/>
  <c r="I20" i="9" a="1"/>
  <c r="I20" i="9" s="1"/>
  <c r="I4" i="9" a="1"/>
  <c r="I4" i="9" s="1"/>
  <c r="I23" i="9" a="1"/>
  <c r="I23" i="9" s="1"/>
  <c r="I11" i="9" a="1"/>
  <c r="I11" i="9" s="1"/>
  <c r="I9" i="9" a="1"/>
  <c r="I9" i="9" s="1"/>
  <c r="I14" i="9" a="1"/>
  <c r="I14" i="9" s="1"/>
  <c r="I24" i="9" a="1"/>
  <c r="I24" i="9" s="1"/>
  <c r="I12" i="9" a="1"/>
  <c r="I12" i="9" s="1"/>
  <c r="I33" i="9" a="1"/>
  <c r="I33" i="9" s="1"/>
  <c r="I43" i="9" a="1"/>
  <c r="I43" i="9" s="1"/>
  <c r="I42" i="9" a="1"/>
  <c r="I42" i="9" s="1"/>
  <c r="I37" i="9" a="1"/>
  <c r="I37" i="9" s="1"/>
  <c r="BK9" i="8" a="1"/>
  <c r="BK9" i="8" s="1"/>
  <c r="BL9" i="8" s="1" a="1"/>
  <c r="BL9" i="8" s="1"/>
  <c r="AA9" i="8" s="1" a="1"/>
  <c r="AA9" i="8" s="1"/>
  <c r="BJ9" i="8" a="1"/>
  <c r="BJ9" i="8" s="1"/>
  <c r="BK7" i="8" a="1"/>
  <c r="BK7" i="8" s="1"/>
  <c r="BL7" i="8" s="1" a="1"/>
  <c r="BL7" i="8" s="1"/>
  <c r="AA7" i="8" s="1" a="1"/>
  <c r="AA7" i="8" s="1"/>
  <c r="BJ7" i="8" a="1"/>
  <c r="BJ7" i="8" s="1"/>
  <c r="BK8" i="8" a="1"/>
  <c r="BK8" i="8" s="1"/>
  <c r="BL8" i="8" s="1" a="1"/>
  <c r="BL8" i="8" s="1"/>
  <c r="AA8" i="8" s="1" a="1"/>
  <c r="AA8" i="8" s="1"/>
  <c r="BJ8" i="8" a="1"/>
  <c r="BJ8" i="8" s="1"/>
  <c r="BK4" i="8" a="1"/>
  <c r="BK4" i="8" s="1"/>
  <c r="BL4" i="8" s="1" a="1"/>
  <c r="BL4" i="8" s="1"/>
  <c r="AA4" i="8" s="1" a="1"/>
  <c r="AA4" i="8" s="1"/>
  <c r="BJ4" i="8" a="1"/>
  <c r="BJ4" i="8" s="1"/>
  <c r="Y490" i="8" l="1" a="1"/>
  <c r="Y490" i="8" s="1"/>
  <c r="Y496" i="8" a="1"/>
  <c r="Y496" i="8" s="1"/>
  <c r="Y460" i="8" a="1"/>
  <c r="Y460" i="8" s="1"/>
  <c r="Y477" i="8" a="1"/>
  <c r="Y477" i="8" s="1"/>
  <c r="Y454" i="8" a="1"/>
  <c r="Y454" i="8" s="1"/>
  <c r="Y469" i="8" a="1"/>
  <c r="Y469" i="8" s="1"/>
  <c r="Y433" i="8" a="1"/>
  <c r="Y433" i="8" s="1"/>
  <c r="Y430" i="8" a="1"/>
  <c r="Y430" i="8" s="1"/>
  <c r="Y427" i="8" a="1"/>
  <c r="Y427" i="8" s="1"/>
  <c r="Y467" i="8" a="1"/>
  <c r="Y467" i="8" s="1"/>
  <c r="Y465" i="8" a="1"/>
  <c r="Y465" i="8" s="1"/>
  <c r="Y493" i="8" a="1"/>
  <c r="Y493" i="8" s="1"/>
  <c r="Y484" i="8" a="1"/>
  <c r="Y484" i="8" s="1"/>
  <c r="Y486" i="8" a="1"/>
  <c r="Y486" i="8" s="1"/>
  <c r="Y483" i="8" a="1"/>
  <c r="Y483" i="8" s="1"/>
  <c r="Y464" i="8" a="1"/>
  <c r="Y464" i="8" s="1"/>
  <c r="Y445" i="8" a="1"/>
  <c r="Y445" i="8" s="1"/>
  <c r="Y441" i="8" a="1"/>
  <c r="Y441" i="8" s="1"/>
  <c r="Y424" i="8" a="1"/>
  <c r="Y424" i="8" s="1"/>
  <c r="Y448" i="8" a="1"/>
  <c r="Y448" i="8" s="1"/>
  <c r="Y421" i="8" a="1"/>
  <c r="Y421" i="8" s="1"/>
  <c r="Y418" i="8" a="1"/>
  <c r="Y418" i="8" s="1"/>
  <c r="Y397" i="8" a="1"/>
  <c r="Y397" i="8" s="1"/>
  <c r="Y379" i="8" a="1"/>
  <c r="Y379" i="8" s="1"/>
  <c r="Y472" i="8" a="1"/>
  <c r="Y472" i="8" s="1"/>
  <c r="Y468" i="8" a="1"/>
  <c r="Y468" i="8" s="1"/>
  <c r="Y412" i="8" a="1"/>
  <c r="Y412" i="8" s="1"/>
  <c r="Y394" i="8" a="1"/>
  <c r="Y394" i="8" s="1"/>
  <c r="Y478" i="8" a="1"/>
  <c r="Y478" i="8" s="1"/>
  <c r="Y378" i="8" a="1"/>
  <c r="Y378" i="8" s="1"/>
  <c r="Y401" i="8" a="1"/>
  <c r="Y401" i="8" s="1"/>
  <c r="Y358" i="8" a="1"/>
  <c r="Y358" i="8" s="1"/>
  <c r="Y414" i="8" a="1"/>
  <c r="Y414" i="8" s="1"/>
  <c r="Y400" i="8" a="1"/>
  <c r="Y400" i="8" s="1"/>
  <c r="Y336" i="8" a="1"/>
  <c r="Y336" i="8" s="1"/>
  <c r="Y383" i="8" a="1"/>
  <c r="Y383" i="8" s="1"/>
  <c r="Y349" i="8" a="1"/>
  <c r="Y349" i="8" s="1"/>
  <c r="Y390" i="8" a="1"/>
  <c r="Y390" i="8" s="1"/>
  <c r="Y382" i="8" a="1"/>
  <c r="Y382" i="8" s="1"/>
  <c r="Y364" i="8" a="1"/>
  <c r="Y364" i="8" s="1"/>
  <c r="Y348" i="8" a="1"/>
  <c r="Y348" i="8" s="1"/>
  <c r="Y426" i="8" a="1"/>
  <c r="Y426" i="8" s="1"/>
  <c r="Y376" i="8" a="1"/>
  <c r="Y376" i="8" s="1"/>
  <c r="Y361" i="8" a="1"/>
  <c r="Y361" i="8" s="1"/>
  <c r="Y363" i="8" a="1"/>
  <c r="Y363" i="8" s="1"/>
  <c r="Y329" i="8" a="1"/>
  <c r="Y329" i="8" s="1"/>
  <c r="Y311" i="8" a="1"/>
  <c r="Y311" i="8" s="1"/>
  <c r="Y280" i="8" a="1"/>
  <c r="Y280" i="8" s="1"/>
  <c r="Y314" i="8" a="1"/>
  <c r="Y314" i="8" s="1"/>
  <c r="Y292" i="8" a="1"/>
  <c r="Y292" i="8" s="1"/>
  <c r="Y347" i="8" a="1"/>
  <c r="Y347" i="8" s="1"/>
  <c r="Y317" i="8" a="1"/>
  <c r="Y317" i="8" s="1"/>
  <c r="Y334" i="8" a="1"/>
  <c r="Y334" i="8" s="1"/>
  <c r="Y302" i="8" a="1"/>
  <c r="Y302" i="8" s="1"/>
  <c r="Y281" i="8" a="1"/>
  <c r="Y281" i="8" s="1"/>
  <c r="Y266" i="8" a="1"/>
  <c r="Y266" i="8" s="1"/>
  <c r="Y257" i="8" a="1"/>
  <c r="Y257" i="8" s="1"/>
  <c r="Y248" i="8" a="1"/>
  <c r="Y248" i="8" s="1"/>
  <c r="Y339" i="8" a="1"/>
  <c r="Y339" i="8" s="1"/>
  <c r="Y346" i="8" a="1"/>
  <c r="Y346" i="8" s="1"/>
  <c r="Y295" i="8" a="1"/>
  <c r="Y295" i="8" s="1"/>
  <c r="Y310" i="8" a="1"/>
  <c r="Y310" i="8" s="1"/>
  <c r="Y279" i="8" a="1"/>
  <c r="Y279" i="8" s="1"/>
  <c r="Y260" i="8" a="1"/>
  <c r="Y260" i="8" s="1"/>
  <c r="Y206" i="8" a="1"/>
  <c r="Y206" i="8" s="1"/>
  <c r="Y201" i="8" a="1"/>
  <c r="Y201" i="8" s="1"/>
  <c r="Y192" i="8" a="1"/>
  <c r="Y192" i="8" s="1"/>
  <c r="Y205" i="8" a="1"/>
  <c r="Y205" i="8" s="1"/>
  <c r="Y156" i="8" a="1"/>
  <c r="Y156" i="8" s="1"/>
  <c r="Y245" i="8" a="1"/>
  <c r="Y245" i="8" s="1"/>
  <c r="Y308" i="8" a="1"/>
  <c r="Y308" i="8" s="1"/>
  <c r="Y265" i="8" a="1"/>
  <c r="Y265" i="8" s="1"/>
  <c r="Y263" i="8" a="1"/>
  <c r="Y263" i="8" s="1"/>
  <c r="Y255" i="8" a="1"/>
  <c r="Y255" i="8" s="1"/>
  <c r="Y247" i="8" a="1"/>
  <c r="Y247" i="8" s="1"/>
  <c r="Y236" i="8" a="1"/>
  <c r="Y236" i="8" s="1"/>
  <c r="Y319" i="8" a="1"/>
  <c r="Y319" i="8" s="1"/>
  <c r="Y242" i="8" a="1"/>
  <c r="Y242" i="8" s="1"/>
  <c r="Y147" i="8" a="1"/>
  <c r="Y147" i="8" s="1"/>
  <c r="Y251" i="8" a="1"/>
  <c r="Y251" i="8" s="1"/>
  <c r="Y212" i="8" a="1"/>
  <c r="Y212" i="8" s="1"/>
  <c r="Y162" i="8" a="1"/>
  <c r="Y162" i="8" s="1"/>
  <c r="Y264" i="8" a="1"/>
  <c r="Y264" i="8" s="1"/>
  <c r="Y234" i="8" a="1"/>
  <c r="Y234" i="8" s="1"/>
  <c r="Y269" i="8" a="1"/>
  <c r="Y269" i="8" s="1"/>
  <c r="Y174" i="8" a="1"/>
  <c r="Y174" i="8" s="1"/>
  <c r="Y225" i="8" a="1"/>
  <c r="Y225" i="8" s="1"/>
  <c r="Y224" i="8" a="1"/>
  <c r="Y224" i="8" s="1"/>
  <c r="Y168" i="8" a="1"/>
  <c r="Y168" i="8" s="1"/>
  <c r="Y129" i="8" a="1"/>
  <c r="Y129" i="8" s="1"/>
  <c r="Y256" i="8" a="1"/>
  <c r="Y256" i="8" s="1"/>
  <c r="Y170" i="8" a="1"/>
  <c r="Y170" i="8" s="1"/>
  <c r="Y153" i="8" a="1"/>
  <c r="Y153" i="8" s="1"/>
  <c r="Y100" i="8" a="1"/>
  <c r="Y100" i="8" s="1"/>
  <c r="Y116" i="8" a="1"/>
  <c r="Y116" i="8" s="1"/>
  <c r="Y114" i="8" a="1"/>
  <c r="Y114" i="8" s="1"/>
  <c r="Y108" i="8" a="1"/>
  <c r="Y108" i="8" s="1"/>
  <c r="Y150" i="8" a="1"/>
  <c r="Y150" i="8" s="1"/>
  <c r="Y119" i="8" a="1"/>
  <c r="Y119" i="8" s="1"/>
  <c r="Y92" i="8" a="1"/>
  <c r="Y92" i="8" s="1"/>
  <c r="Y75" i="8" a="1"/>
  <c r="Y75" i="8" s="1"/>
  <c r="Y56" i="8" a="1"/>
  <c r="Y56" i="8" s="1"/>
  <c r="Y39" i="8" a="1"/>
  <c r="Y39" i="8" s="1"/>
  <c r="Y122" i="8" a="1"/>
  <c r="Y122" i="8" s="1"/>
  <c r="Y73" i="8" a="1"/>
  <c r="Y73" i="8" s="1"/>
  <c r="Y37" i="8" a="1"/>
  <c r="Y37" i="8" s="1"/>
  <c r="Y159" i="8" a="1"/>
  <c r="Y159" i="8" s="1"/>
  <c r="Y132" i="8" a="1"/>
  <c r="Y132" i="8" s="1"/>
  <c r="Y105" i="8" a="1"/>
  <c r="Y105" i="8" s="1"/>
  <c r="Y76" i="8" a="1"/>
  <c r="Y76" i="8" s="1"/>
  <c r="Y72" i="8" a="1"/>
  <c r="Y72" i="8" s="1"/>
  <c r="Y26" i="8" a="1"/>
  <c r="Y26" i="8" s="1"/>
  <c r="Y189" i="8" a="1"/>
  <c r="Y189" i="8" s="1"/>
  <c r="Y155" i="8" a="1"/>
  <c r="Y155" i="8" s="1"/>
  <c r="Y113" i="8" a="1"/>
  <c r="Y113" i="8" s="1"/>
  <c r="Y95" i="8" a="1"/>
  <c r="Y95" i="8" s="1"/>
  <c r="Y91" i="8" a="1"/>
  <c r="Y91" i="8" s="1"/>
  <c r="Y9" i="8" a="1"/>
  <c r="Y9" i="8" s="1"/>
  <c r="Y40" i="8" a="1"/>
  <c r="Y40" i="8" s="1"/>
  <c r="Y6" i="8" a="1"/>
  <c r="Y6" i="8" s="1"/>
  <c r="Y35" i="8" a="1"/>
  <c r="Y35" i="8" s="1"/>
  <c r="Y131" i="8" a="1"/>
  <c r="Y131" i="8" s="1"/>
  <c r="Y74" i="8" a="1"/>
  <c r="Y74" i="8" s="1"/>
  <c r="Y59" i="8" a="1"/>
  <c r="Y59" i="8" s="1"/>
  <c r="Y55" i="8" a="1"/>
  <c r="Y55" i="8" s="1"/>
  <c r="Y20" i="8" a="1"/>
  <c r="Y20" i="8" s="1"/>
  <c r="Y57" i="8" a="1"/>
  <c r="Y57" i="8" s="1"/>
  <c r="Y23" i="8" a="1"/>
  <c r="Y23" i="8" s="1"/>
  <c r="Y107" i="8" a="1"/>
  <c r="Y107" i="8" s="1"/>
  <c r="Y104" i="8" a="1"/>
  <c r="Y104" i="8" s="1"/>
  <c r="Y53" i="8" a="1"/>
  <c r="Y53" i="8" s="1"/>
  <c r="Y12" i="8" a="1"/>
  <c r="Y12" i="8" s="1"/>
  <c r="Y93" i="8" a="1"/>
  <c r="Y93" i="8" s="1"/>
  <c r="Y111" i="8" a="1"/>
  <c r="Y111" i="8" s="1"/>
  <c r="Y78" i="8" a="1"/>
  <c r="Y78" i="8" s="1"/>
  <c r="Y38" i="8" a="1"/>
  <c r="Y38" i="8" s="1"/>
  <c r="Y89" i="8" a="1"/>
  <c r="Y89" i="8" s="1"/>
  <c r="Y360" i="8" a="1"/>
  <c r="Y360" i="8" s="1"/>
  <c r="Y372" i="8" a="1"/>
  <c r="Y372" i="8" s="1"/>
  <c r="Y48" i="8" a="1"/>
  <c r="Y48" i="8" s="1"/>
  <c r="Y117" i="8" a="1"/>
  <c r="Y117" i="8" s="1"/>
  <c r="Y34" i="8" a="1"/>
  <c r="Y34" i="8" s="1"/>
  <c r="Y133" i="8" a="1"/>
  <c r="Y133" i="8" s="1"/>
  <c r="Y64" i="8" a="1"/>
  <c r="Y64" i="8" s="1"/>
  <c r="Y51" i="8" a="1"/>
  <c r="Y51" i="8" s="1"/>
  <c r="Y106" i="8" a="1"/>
  <c r="Y106" i="8" s="1"/>
  <c r="Y182" i="8" a="1"/>
  <c r="Y182" i="8" s="1"/>
  <c r="Y373" i="8" a="1"/>
  <c r="Y373" i="8" s="1"/>
  <c r="Y145" i="8" a="1"/>
  <c r="Y145" i="8" s="1"/>
  <c r="Y216" i="8" a="1"/>
  <c r="Y216" i="8" s="1"/>
  <c r="Y331" i="8" a="1"/>
  <c r="Y331" i="8" s="1"/>
  <c r="Y196" i="8" a="1"/>
  <c r="Y196" i="8" s="1"/>
  <c r="Y194" i="8" a="1"/>
  <c r="Y194" i="8" s="1"/>
  <c r="Y282" i="8" a="1"/>
  <c r="Y282" i="8" s="1"/>
  <c r="Y232" i="8" a="1"/>
  <c r="Y232" i="8" s="1"/>
  <c r="Y262" i="8" a="1"/>
  <c r="Y262" i="8" s="1"/>
  <c r="Y326" i="8" a="1"/>
  <c r="Y326" i="8" s="1"/>
  <c r="Y291" i="8" a="1"/>
  <c r="Y291" i="8" s="1"/>
  <c r="Y377" i="8" a="1"/>
  <c r="Y377" i="8" s="1"/>
  <c r="Y417" i="8" a="1"/>
  <c r="Y417" i="8" s="1"/>
  <c r="Y367" i="8" a="1"/>
  <c r="Y367" i="8" s="1"/>
  <c r="Y423" i="8" a="1"/>
  <c r="Y423" i="8" s="1"/>
  <c r="Y408" i="8" a="1"/>
  <c r="Y408" i="8" s="1"/>
  <c r="Y416" i="8" a="1"/>
  <c r="Y416" i="8" s="1"/>
  <c r="Y428" i="8" a="1"/>
  <c r="Y428" i="8" s="1"/>
  <c r="Y494" i="8" a="1"/>
  <c r="Y494" i="8" s="1"/>
  <c r="Y495" i="8" a="1"/>
  <c r="Y495" i="8" s="1"/>
  <c r="Y451" i="8" a="1"/>
  <c r="Y451" i="8" s="1"/>
  <c r="Y491" i="8" a="1"/>
  <c r="Y491" i="8" s="1"/>
  <c r="Y458" i="8" a="1"/>
  <c r="Y458" i="8" s="1"/>
  <c r="Y443" i="8" a="1"/>
  <c r="Y443" i="8" s="1"/>
  <c r="Y479" i="8" a="1"/>
  <c r="Y479" i="8" s="1"/>
  <c r="Y453" i="8" a="1"/>
  <c r="Y453" i="8" s="1"/>
  <c r="Y46" i="8" a="1"/>
  <c r="Y46" i="8" s="1"/>
  <c r="Y146" i="8" a="1"/>
  <c r="Y146" i="8" s="1"/>
  <c r="Y211" i="8" a="1"/>
  <c r="Y211" i="8" s="1"/>
  <c r="Y298" i="8" a="1"/>
  <c r="Y298" i="8" s="1"/>
  <c r="Y432" i="8" a="1"/>
  <c r="Y432" i="8" s="1"/>
  <c r="Y489" i="8" a="1"/>
  <c r="Y489" i="8" s="1"/>
  <c r="Y365" i="8" a="1"/>
  <c r="Y365" i="8" s="1"/>
  <c r="Y415" i="8" a="1"/>
  <c r="Y415" i="8" s="1"/>
  <c r="Y141" i="8" a="1"/>
  <c r="Y141" i="8" s="1"/>
  <c r="Y4" i="8" a="1"/>
  <c r="Y4" i="8" s="1"/>
  <c r="Y22" i="8" a="1"/>
  <c r="Y22" i="8" s="1"/>
  <c r="Y49" i="8" a="1"/>
  <c r="Y49" i="8" s="1"/>
  <c r="Y54" i="8" a="1"/>
  <c r="Y54" i="8" s="1"/>
  <c r="Y171" i="8" a="1"/>
  <c r="Y171" i="8" s="1"/>
  <c r="Y61" i="8" a="1"/>
  <c r="Y61" i="8" s="1"/>
  <c r="Y88" i="8" a="1"/>
  <c r="Y88" i="8" s="1"/>
  <c r="Y70" i="8" a="1"/>
  <c r="Y70" i="8" s="1"/>
  <c r="Y60" i="8" a="1"/>
  <c r="Y60" i="8" s="1"/>
  <c r="Y109" i="8" a="1"/>
  <c r="Y109" i="8" s="1"/>
  <c r="Y127" i="8" a="1"/>
  <c r="Y127" i="8" s="1"/>
  <c r="Y380" i="8" a="1"/>
  <c r="Y380" i="8" s="1"/>
  <c r="Y160" i="8" a="1"/>
  <c r="Y160" i="8" s="1"/>
  <c r="Y217" i="8" a="1"/>
  <c r="Y217" i="8" s="1"/>
  <c r="Y135" i="8" a="1"/>
  <c r="Y135" i="8" s="1"/>
  <c r="Y223" i="8" a="1"/>
  <c r="Y223" i="8" s="1"/>
  <c r="Y207" i="8" a="1"/>
  <c r="Y207" i="8" s="1"/>
  <c r="Y288" i="8" a="1"/>
  <c r="Y288" i="8" s="1"/>
  <c r="Y233" i="8" a="1"/>
  <c r="Y233" i="8" s="1"/>
  <c r="Y316" i="8" a="1"/>
  <c r="Y316" i="8" s="1"/>
  <c r="Y357" i="8" a="1"/>
  <c r="Y357" i="8" s="1"/>
  <c r="Y333" i="8" a="1"/>
  <c r="Y333" i="8" s="1"/>
  <c r="Y434" i="8" a="1"/>
  <c r="Y434" i="8" s="1"/>
  <c r="Y437" i="8" a="1"/>
  <c r="Y437" i="8" s="1"/>
  <c r="Y369" i="8" a="1"/>
  <c r="Y369" i="8" s="1"/>
  <c r="Y439" i="8" a="1"/>
  <c r="Y439" i="8" s="1"/>
  <c r="Y410" i="8" a="1"/>
  <c r="Y410" i="8" s="1"/>
  <c r="Y425" i="8" a="1"/>
  <c r="Y425" i="8" s="1"/>
  <c r="Y480" i="8" a="1"/>
  <c r="Y480" i="8" s="1"/>
  <c r="Y422" i="8" a="1"/>
  <c r="Y422" i="8" s="1"/>
  <c r="Y447" i="8" a="1"/>
  <c r="Y447" i="8" s="1"/>
  <c r="Y429" i="8" a="1"/>
  <c r="Y429" i="8" s="1"/>
  <c r="Y198" i="8" a="1"/>
  <c r="Y198" i="8" s="1"/>
  <c r="Y353" i="8" a="1"/>
  <c r="Y353" i="8" s="1"/>
  <c r="Y436" i="8" a="1"/>
  <c r="Y436" i="8" s="1"/>
  <c r="Y318" i="8" a="1"/>
  <c r="Y318" i="8" s="1"/>
  <c r="Y366" i="8" a="1"/>
  <c r="Y366" i="8" s="1"/>
  <c r="Y200" i="8" a="1"/>
  <c r="Y200" i="8" s="1"/>
  <c r="Y294" i="8" a="1"/>
  <c r="Y294" i="8" s="1"/>
  <c r="Y14" i="8" a="1"/>
  <c r="Y14" i="8" s="1"/>
  <c r="Y16" i="8" a="1"/>
  <c r="Y16" i="8" s="1"/>
  <c r="Y63" i="8" a="1"/>
  <c r="Y63" i="8" s="1"/>
  <c r="Y18" i="8" a="1"/>
  <c r="Y18" i="8" s="1"/>
  <c r="Y8" i="8" a="1"/>
  <c r="Y8" i="8" s="1"/>
  <c r="Y128" i="8" a="1"/>
  <c r="Y128" i="8" s="1"/>
  <c r="Y79" i="8" a="1"/>
  <c r="Y79" i="8" s="1"/>
  <c r="Y71" i="8" a="1"/>
  <c r="Y71" i="8" s="1"/>
  <c r="Y161" i="8" a="1"/>
  <c r="Y161" i="8" s="1"/>
  <c r="Y250" i="8" a="1"/>
  <c r="Y250" i="8" s="1"/>
  <c r="Y395" i="8" a="1"/>
  <c r="Y395" i="8" s="1"/>
  <c r="Y126" i="8" a="1"/>
  <c r="Y126" i="8" s="1"/>
  <c r="Y219" i="8" a="1"/>
  <c r="Y219" i="8" s="1"/>
  <c r="Y173" i="8" a="1"/>
  <c r="Y173" i="8" s="1"/>
  <c r="Y195" i="8" a="1"/>
  <c r="Y195" i="8" s="1"/>
  <c r="Y208" i="8" a="1"/>
  <c r="Y208" i="8" s="1"/>
  <c r="Y313" i="8" a="1"/>
  <c r="Y313" i="8" s="1"/>
  <c r="Y237" i="8" a="1"/>
  <c r="Y237" i="8" s="1"/>
  <c r="Y270" i="8" a="1"/>
  <c r="Y270" i="8" s="1"/>
  <c r="Y273" i="8" a="1"/>
  <c r="Y273" i="8" s="1"/>
  <c r="Y350" i="8" a="1"/>
  <c r="Y350" i="8" s="1"/>
  <c r="Y435" i="8" a="1"/>
  <c r="Y435" i="8" s="1"/>
  <c r="Y413" i="8" a="1"/>
  <c r="Y413" i="8" s="1"/>
  <c r="Y166" i="8" a="1"/>
  <c r="Y166" i="8" s="1"/>
  <c r="Y267" i="8" a="1"/>
  <c r="Y267" i="8" s="1"/>
  <c r="Y321" i="8" a="1"/>
  <c r="Y321" i="8" s="1"/>
  <c r="Y3" i="8" a="1"/>
  <c r="Y3" i="8" s="1"/>
  <c r="Y304" i="8" a="1"/>
  <c r="Y304" i="8" s="1"/>
  <c r="Y335" i="8" a="1"/>
  <c r="Y335" i="8" s="1"/>
  <c r="Y2" i="8" a="1"/>
  <c r="Y2" i="8" s="1"/>
  <c r="Y25" i="8" a="1"/>
  <c r="Y25" i="8" s="1"/>
  <c r="Y101" i="8" a="1"/>
  <c r="Y101" i="8" s="1"/>
  <c r="Y24" i="8" a="1"/>
  <c r="Y24" i="8" s="1"/>
  <c r="Y33" i="8" a="1"/>
  <c r="Y33" i="8" s="1"/>
  <c r="Y176" i="8" a="1"/>
  <c r="Y176" i="8" s="1"/>
  <c r="Y85" i="8" a="1"/>
  <c r="Y85" i="8" s="1"/>
  <c r="Y80" i="8" a="1"/>
  <c r="Y80" i="8" s="1"/>
  <c r="Y183" i="8" a="1"/>
  <c r="Y183" i="8" s="1"/>
  <c r="Y152" i="8" a="1"/>
  <c r="Y152" i="8" s="1"/>
  <c r="Y137" i="8" a="1"/>
  <c r="Y137" i="8" s="1"/>
  <c r="Y130" i="8" a="1"/>
  <c r="Y130" i="8" s="1"/>
  <c r="Y220" i="8" a="1"/>
  <c r="Y220" i="8" s="1"/>
  <c r="Y190" i="8" a="1"/>
  <c r="Y190" i="8" s="1"/>
  <c r="Y203" i="8" a="1"/>
  <c r="Y203" i="8" s="1"/>
  <c r="Y209" i="8" a="1"/>
  <c r="Y209" i="8" s="1"/>
  <c r="Y228" i="8" a="1"/>
  <c r="Y228" i="8" s="1"/>
  <c r="Y240" i="8" a="1"/>
  <c r="Y240" i="8" s="1"/>
  <c r="Y287" i="8" a="1"/>
  <c r="Y287" i="8" s="1"/>
  <c r="Y285" i="8" a="1"/>
  <c r="Y285" i="8" s="1"/>
  <c r="Y368" i="8" a="1"/>
  <c r="Y368" i="8" s="1"/>
  <c r="Y297" i="8" a="1"/>
  <c r="Y297" i="8" s="1"/>
  <c r="Y293" i="8" a="1"/>
  <c r="Y293" i="8" s="1"/>
  <c r="Y300" i="8" a="1"/>
  <c r="Y300" i="8" s="1"/>
  <c r="Y455" i="8" a="1"/>
  <c r="Y455" i="8" s="1"/>
  <c r="Y229" i="8" a="1"/>
  <c r="Y229" i="8" s="1"/>
  <c r="Y356" i="8" a="1"/>
  <c r="Y356" i="8" s="1"/>
  <c r="Y309" i="8" a="1"/>
  <c r="Y309" i="8" s="1"/>
  <c r="Y440" i="8" a="1"/>
  <c r="Y440" i="8" s="1"/>
  <c r="Y96" i="8" a="1"/>
  <c r="Y96" i="8" s="1"/>
  <c r="Y315" i="8" a="1"/>
  <c r="Y315" i="8" s="1"/>
  <c r="Y488" i="8" a="1"/>
  <c r="Y488" i="8" s="1"/>
  <c r="Y123" i="8" a="1"/>
  <c r="Y123" i="8" s="1"/>
  <c r="Y102" i="8" a="1"/>
  <c r="Y102" i="8" s="1"/>
  <c r="Y50" i="8" a="1"/>
  <c r="Y50" i="8" s="1"/>
  <c r="Y124" i="8" a="1"/>
  <c r="Y124" i="8" s="1"/>
  <c r="Y13" i="8" a="1"/>
  <c r="Y13" i="8" s="1"/>
  <c r="Y36" i="8" a="1"/>
  <c r="Y36" i="8" s="1"/>
  <c r="Y99" i="8" a="1"/>
  <c r="Y99" i="8" s="1"/>
  <c r="Y31" i="8" a="1"/>
  <c r="Y31" i="8" s="1"/>
  <c r="Y157" i="8" a="1"/>
  <c r="Y157" i="8" s="1"/>
  <c r="Y221" i="8" a="1"/>
  <c r="Y221" i="8" s="1"/>
  <c r="Y332" i="8" a="1"/>
  <c r="Y332" i="8" s="1"/>
  <c r="Y402" i="8" a="1"/>
  <c r="Y402" i="8" s="1"/>
  <c r="Y328" i="8" a="1"/>
  <c r="Y328" i="8" s="1"/>
  <c r="Y444" i="8" a="1"/>
  <c r="Y444" i="8" s="1"/>
  <c r="Y222" i="8" a="1"/>
  <c r="Y222" i="8" s="1"/>
  <c r="Y466" i="8" a="1"/>
  <c r="Y466" i="8" s="1"/>
  <c r="Y7" i="8" a="1"/>
  <c r="Y7" i="8" s="1"/>
  <c r="Y21" i="8" a="1"/>
  <c r="Y21" i="8" s="1"/>
  <c r="Y134" i="8" a="1"/>
  <c r="Y134" i="8" s="1"/>
  <c r="Y98" i="8" a="1"/>
  <c r="Y98" i="8" s="1"/>
  <c r="Y172" i="8" a="1"/>
  <c r="Y172" i="8" s="1"/>
  <c r="Y19" i="8" a="1"/>
  <c r="Y19" i="8" s="1"/>
  <c r="Y112" i="8" a="1"/>
  <c r="Y112" i="8" s="1"/>
  <c r="Y178" i="8" a="1"/>
  <c r="Y178" i="8" s="1"/>
  <c r="Y103" i="8" a="1"/>
  <c r="Y103" i="8" s="1"/>
  <c r="Y65" i="8" a="1"/>
  <c r="Y65" i="8" s="1"/>
  <c r="Y41" i="8" a="1"/>
  <c r="Y41" i="8" s="1"/>
  <c r="Y179" i="8" a="1"/>
  <c r="Y179" i="8" s="1"/>
  <c r="Y158" i="8" a="1"/>
  <c r="Y158" i="8" s="1"/>
  <c r="Y210" i="8" a="1"/>
  <c r="Y210" i="8" s="1"/>
  <c r="Y259" i="8" a="1"/>
  <c r="Y259" i="8" s="1"/>
  <c r="Y284" i="8" a="1"/>
  <c r="Y284" i="8" s="1"/>
  <c r="Y246" i="8" a="1"/>
  <c r="Y246" i="8" s="1"/>
  <c r="Y244" i="8" a="1"/>
  <c r="Y244" i="8" s="1"/>
  <c r="Y235" i="8" a="1"/>
  <c r="Y235" i="8" s="1"/>
  <c r="Y289" i="8" a="1"/>
  <c r="Y289" i="8" s="1"/>
  <c r="Y355" i="8" a="1"/>
  <c r="Y355" i="8" s="1"/>
  <c r="Y306" i="8" a="1"/>
  <c r="Y306" i="8" s="1"/>
  <c r="Y442" i="8" a="1"/>
  <c r="Y442" i="8" s="1"/>
  <c r="Y143" i="8" a="1"/>
  <c r="Y143" i="8" s="1"/>
  <c r="Y411" i="8" a="1"/>
  <c r="Y411" i="8" s="1"/>
  <c r="Y362" i="8" a="1"/>
  <c r="Y362" i="8" s="1"/>
  <c r="Y115" i="8" a="1"/>
  <c r="Y115" i="8" s="1"/>
  <c r="Y42" i="8" a="1"/>
  <c r="Y42" i="8" s="1"/>
  <c r="Y43" i="8" a="1"/>
  <c r="Y43" i="8" s="1"/>
  <c r="Y136" i="8" a="1"/>
  <c r="Y136" i="8" s="1"/>
  <c r="Y90" i="8" a="1"/>
  <c r="Y90" i="8" s="1"/>
  <c r="Y118" i="8" a="1"/>
  <c r="Y118" i="8" s="1"/>
  <c r="Y120" i="8" a="1"/>
  <c r="Y120" i="8" s="1"/>
  <c r="Y52" i="8" a="1"/>
  <c r="Y52" i="8" s="1"/>
  <c r="Y180" i="8" a="1"/>
  <c r="Y180" i="8" s="1"/>
  <c r="Y330" i="8" a="1"/>
  <c r="Y330" i="8" s="1"/>
  <c r="Y148" i="8" a="1"/>
  <c r="Y148" i="8" s="1"/>
  <c r="Y202" i="8" a="1"/>
  <c r="Y202" i="8" s="1"/>
  <c r="Y197" i="8" a="1"/>
  <c r="Y197" i="8" s="1"/>
  <c r="Y286" i="8" a="1"/>
  <c r="Y286" i="8" s="1"/>
  <c r="Y261" i="8" a="1"/>
  <c r="Y261" i="8" s="1"/>
  <c r="Y249" i="8" a="1"/>
  <c r="Y249" i="8" s="1"/>
  <c r="Y342" i="8" a="1"/>
  <c r="Y342" i="8" s="1"/>
  <c r="Y337" i="8" a="1"/>
  <c r="Y337" i="8" s="1"/>
  <c r="Y320" i="8" a="1"/>
  <c r="Y320" i="8" s="1"/>
  <c r="Y296" i="8" a="1"/>
  <c r="Y296" i="8" s="1"/>
  <c r="Y352" i="8" a="1"/>
  <c r="Y352" i="8" s="1"/>
  <c r="Y371" i="8" a="1"/>
  <c r="Y371" i="8" s="1"/>
  <c r="Y393" i="8" a="1"/>
  <c r="Y393" i="8" s="1"/>
  <c r="Y462" i="8" a="1"/>
  <c r="Y462" i="8" s="1"/>
  <c r="Y384" i="8" a="1"/>
  <c r="Y384" i="8" s="1"/>
  <c r="Y456" i="8" a="1"/>
  <c r="Y456" i="8" s="1"/>
  <c r="Y461" i="8" a="1"/>
  <c r="Y461" i="8" s="1"/>
  <c r="Y446" i="8" a="1"/>
  <c r="Y446" i="8" s="1"/>
  <c r="Y47" i="8" a="1"/>
  <c r="Y47" i="8" s="1"/>
  <c r="Y226" i="8" a="1"/>
  <c r="Y226" i="8" s="1"/>
  <c r="Y327" i="8" a="1"/>
  <c r="Y327" i="8" s="1"/>
  <c r="Y452" i="8" a="1"/>
  <c r="Y452" i="8" s="1"/>
  <c r="Y398" i="8" a="1"/>
  <c r="Y398" i="8" s="1"/>
  <c r="Y58" i="8" a="1"/>
  <c r="Y58" i="8" s="1"/>
  <c r="Y44" i="8" a="1"/>
  <c r="Y44" i="8" s="1"/>
  <c r="Y27" i="8" a="1"/>
  <c r="Y27" i="8" s="1"/>
  <c r="Y94" i="8" a="1"/>
  <c r="Y94" i="8" s="1"/>
  <c r="Y125" i="8" a="1"/>
  <c r="Y125" i="8" s="1"/>
  <c r="Y142" i="8" a="1"/>
  <c r="Y142" i="8" s="1"/>
  <c r="Y66" i="8" a="1"/>
  <c r="Y66" i="8" s="1"/>
  <c r="Y230" i="8" a="1"/>
  <c r="Y230" i="8" s="1"/>
  <c r="Y188" i="8" a="1"/>
  <c r="Y188" i="8" s="1"/>
  <c r="Y149" i="8" a="1"/>
  <c r="Y149" i="8" s="1"/>
  <c r="Y213" i="8" a="1"/>
  <c r="Y213" i="8" s="1"/>
  <c r="Y254" i="8" a="1"/>
  <c r="Y254" i="8" s="1"/>
  <c r="Y204" i="8" a="1"/>
  <c r="Y204" i="8" s="1"/>
  <c r="Y274" i="8" a="1"/>
  <c r="Y274" i="8" s="1"/>
  <c r="Y271" i="8" a="1"/>
  <c r="Y271" i="8" s="1"/>
  <c r="Y227" i="8" a="1"/>
  <c r="Y227" i="8" s="1"/>
  <c r="Y338" i="8" a="1"/>
  <c r="Y338" i="8" s="1"/>
  <c r="Y324" i="8" a="1"/>
  <c r="Y324" i="8" s="1"/>
  <c r="Y396" i="8" a="1"/>
  <c r="Y396" i="8" s="1"/>
  <c r="Y470" i="8" a="1"/>
  <c r="Y470" i="8" s="1"/>
  <c r="Y374" i="8" a="1"/>
  <c r="Y374" i="8" s="1"/>
  <c r="Y431" i="8" a="1"/>
  <c r="Y431" i="8" s="1"/>
  <c r="Y389" i="8" a="1"/>
  <c r="Y389" i="8" s="1"/>
  <c r="Y386" i="8" a="1"/>
  <c r="Y386" i="8" s="1"/>
  <c r="Y475" i="8" a="1"/>
  <c r="Y475" i="8" s="1"/>
  <c r="Y471" i="8" a="1"/>
  <c r="Y471" i="8" s="1"/>
  <c r="Y457" i="8" a="1"/>
  <c r="Y457" i="8" s="1"/>
  <c r="Y243" i="8" a="1"/>
  <c r="Y243" i="8" s="1"/>
  <c r="Y238" i="8" a="1"/>
  <c r="Y238" i="8" s="1"/>
  <c r="Y253" i="8" a="1"/>
  <c r="Y253" i="8" s="1"/>
  <c r="Y278" i="8" a="1"/>
  <c r="Y278" i="8" s="1"/>
  <c r="Y283" i="8" a="1"/>
  <c r="Y283" i="8" s="1"/>
  <c r="Y325" i="8" a="1"/>
  <c r="Y325" i="8" s="1"/>
  <c r="Y344" i="8" a="1"/>
  <c r="Y344" i="8" s="1"/>
  <c r="Y438" i="8" a="1"/>
  <c r="Y438" i="8" s="1"/>
  <c r="Y403" i="8" a="1"/>
  <c r="Y403" i="8" s="1"/>
  <c r="Y474" i="8" a="1"/>
  <c r="Y474" i="8" s="1"/>
  <c r="Y77" i="8" a="1"/>
  <c r="Y77" i="8" s="1"/>
  <c r="Y139" i="8" a="1"/>
  <c r="Y139" i="8" s="1"/>
  <c r="Y340" i="8" a="1"/>
  <c r="Y340" i="8" s="1"/>
  <c r="Y345" i="8" a="1"/>
  <c r="Y345" i="8" s="1"/>
  <c r="Y17" i="8" a="1"/>
  <c r="Y17" i="8" s="1"/>
  <c r="Y29" i="8" a="1"/>
  <c r="Y29" i="8" s="1"/>
  <c r="Y10" i="8" a="1"/>
  <c r="Y10" i="8" s="1"/>
  <c r="Y138" i="8" a="1"/>
  <c r="Y138" i="8" s="1"/>
  <c r="Y68" i="8" a="1"/>
  <c r="Y68" i="8" s="1"/>
  <c r="Y67" i="8" a="1"/>
  <c r="Y67" i="8" s="1"/>
  <c r="Y32" i="8" a="1"/>
  <c r="Y32" i="8" s="1"/>
  <c r="Y169" i="8" a="1"/>
  <c r="Y169" i="8" s="1"/>
  <c r="Y151" i="8" a="1"/>
  <c r="Y151" i="8" s="1"/>
  <c r="Y186" i="8" a="1"/>
  <c r="Y186" i="8" s="1"/>
  <c r="Y81" i="8" a="1"/>
  <c r="Y81" i="8" s="1"/>
  <c r="Y215" i="8" a="1"/>
  <c r="Y215" i="8" s="1"/>
  <c r="Y163" i="8" a="1"/>
  <c r="Y163" i="8" s="1"/>
  <c r="Y191" i="8" a="1"/>
  <c r="Y191" i="8" s="1"/>
  <c r="Y307" i="8" a="1"/>
  <c r="Y307" i="8" s="1"/>
  <c r="Y272" i="8" a="1"/>
  <c r="Y272" i="8" s="1"/>
  <c r="Y290" i="8" a="1"/>
  <c r="Y290" i="8" s="1"/>
  <c r="Y420" i="8" a="1"/>
  <c r="Y420" i="8" s="1"/>
  <c r="Y391" i="8" a="1"/>
  <c r="Y391" i="8" s="1"/>
  <c r="Y450" i="8" a="1"/>
  <c r="Y450" i="8" s="1"/>
  <c r="Y485" i="8" a="1"/>
  <c r="Y485" i="8" s="1"/>
  <c r="Y322" i="8" a="1"/>
  <c r="Y322" i="8" s="1"/>
  <c r="Y82" i="8" a="1"/>
  <c r="Y82" i="8" s="1"/>
  <c r="Y154" i="8" a="1"/>
  <c r="Y154" i="8" s="1"/>
  <c r="Y370" i="8" a="1"/>
  <c r="Y370" i="8" s="1"/>
  <c r="Y385" i="8" a="1"/>
  <c r="Y385" i="8" s="1"/>
  <c r="Y140" i="8" a="1"/>
  <c r="Y140" i="8" s="1"/>
  <c r="Y97" i="8" a="1"/>
  <c r="Y97" i="8" s="1"/>
  <c r="Y83" i="8" a="1"/>
  <c r="Y83" i="8" s="1"/>
  <c r="Y86" i="8" a="1"/>
  <c r="Y86" i="8" s="1"/>
  <c r="Y62" i="8" a="1"/>
  <c r="Y62" i="8" s="1"/>
  <c r="Y218" i="8" a="1"/>
  <c r="Y218" i="8" s="1"/>
  <c r="Y167" i="8" a="1"/>
  <c r="Y167" i="8" s="1"/>
  <c r="Y15" i="8" a="1"/>
  <c r="Y15" i="8" s="1"/>
  <c r="Y121" i="8" a="1"/>
  <c r="Y121" i="8" s="1"/>
  <c r="Y187" i="8" a="1"/>
  <c r="Y187" i="8" s="1"/>
  <c r="Y144" i="8" a="1"/>
  <c r="Y144" i="8" s="1"/>
  <c r="Y165" i="8" a="1"/>
  <c r="Y165" i="8" s="1"/>
  <c r="Y199" i="8" a="1"/>
  <c r="Y199" i="8" s="1"/>
  <c r="Y164" i="8" a="1"/>
  <c r="Y164" i="8" s="1"/>
  <c r="Y323" i="8" a="1"/>
  <c r="Y323" i="8" s="1"/>
  <c r="Y258" i="8" a="1"/>
  <c r="Y258" i="8" s="1"/>
  <c r="Y184" i="8" a="1"/>
  <c r="Y184" i="8" s="1"/>
  <c r="Y239" i="8" a="1"/>
  <c r="Y239" i="8" s="1"/>
  <c r="Y301" i="8" a="1"/>
  <c r="Y301" i="8" s="1"/>
  <c r="Y312" i="8" a="1"/>
  <c r="Y312" i="8" s="1"/>
  <c r="Y343" i="8" a="1"/>
  <c r="Y343" i="8" s="1"/>
  <c r="Y375" i="8" a="1"/>
  <c r="Y375" i="8" s="1"/>
  <c r="Y399" i="8" a="1"/>
  <c r="Y399" i="8" s="1"/>
  <c r="Y381" i="8" a="1"/>
  <c r="Y381" i="8" s="1"/>
  <c r="Y388" i="8" a="1"/>
  <c r="Y388" i="8" s="1"/>
  <c r="Y406" i="8" a="1"/>
  <c r="Y406" i="8" s="1"/>
  <c r="Y481" i="8" a="1"/>
  <c r="Y481" i="8" s="1"/>
  <c r="Y419" i="8" a="1"/>
  <c r="Y419" i="8" s="1"/>
  <c r="Y492" i="8" a="1"/>
  <c r="Y492" i="8" s="1"/>
  <c r="Y28" i="8" a="1"/>
  <c r="Y28" i="8" s="1"/>
  <c r="Y69" i="8" a="1"/>
  <c r="Y69" i="8" s="1"/>
  <c r="Y241" i="8" a="1"/>
  <c r="Y241" i="8" s="1"/>
  <c r="Y482" i="8" a="1"/>
  <c r="Y482" i="8" s="1"/>
  <c r="Y387" i="8" a="1"/>
  <c r="Y387" i="8" s="1"/>
  <c r="Y175" i="8" a="1"/>
  <c r="Y175" i="8" s="1"/>
  <c r="Y5" i="8" a="1"/>
  <c r="Y5" i="8" s="1"/>
  <c r="Y84" i="8" a="1"/>
  <c r="Y84" i="8" s="1"/>
  <c r="Y110" i="8" a="1"/>
  <c r="Y110" i="8" s="1"/>
  <c r="Y45" i="8" a="1"/>
  <c r="Y45" i="8" s="1"/>
  <c r="Y30" i="8" a="1"/>
  <c r="Y30" i="8" s="1"/>
  <c r="Y87" i="8" a="1"/>
  <c r="Y87" i="8" s="1"/>
  <c r="Y181" i="8" a="1"/>
  <c r="Y181" i="8" s="1"/>
  <c r="Y359" i="8" a="1"/>
  <c r="Y359" i="8" s="1"/>
  <c r="Y214" i="8" a="1"/>
  <c r="Y214" i="8" s="1"/>
  <c r="Y193" i="8" a="1"/>
  <c r="Y193" i="8" s="1"/>
  <c r="Y276" i="8" a="1"/>
  <c r="Y276" i="8" s="1"/>
  <c r="Y185" i="8" a="1"/>
  <c r="Y185" i="8" s="1"/>
  <c r="Y351" i="8" a="1"/>
  <c r="Y351" i="8" s="1"/>
  <c r="Y268" i="8" a="1"/>
  <c r="Y268" i="8" s="1"/>
  <c r="Y231" i="8" a="1"/>
  <c r="Y231" i="8" s="1"/>
  <c r="Y299" i="8" a="1"/>
  <c r="Y299" i="8" s="1"/>
  <c r="Y305" i="8" a="1"/>
  <c r="Y305" i="8" s="1"/>
  <c r="Y277" i="8" a="1"/>
  <c r="Y277" i="8" s="1"/>
  <c r="Y354" i="8" a="1"/>
  <c r="Y354" i="8" s="1"/>
  <c r="Y405" i="8" a="1"/>
  <c r="Y405" i="8" s="1"/>
  <c r="Y341" i="8" a="1"/>
  <c r="Y341" i="8" s="1"/>
  <c r="Y392" i="8" a="1"/>
  <c r="Y392" i="8" s="1"/>
  <c r="Y407" i="8" a="1"/>
  <c r="Y407" i="8" s="1"/>
  <c r="Y409" i="8" a="1"/>
  <c r="Y409" i="8" s="1"/>
  <c r="Y459" i="8" a="1"/>
  <c r="Y459" i="8" s="1"/>
  <c r="Y463" i="8" a="1"/>
  <c r="Y463" i="8" s="1"/>
  <c r="Y487" i="8" a="1"/>
  <c r="Y487" i="8" s="1"/>
  <c r="Y449" i="8" a="1"/>
  <c r="Y449" i="8" s="1"/>
  <c r="Y476" i="8" a="1"/>
  <c r="Y476" i="8" s="1"/>
  <c r="Y177" i="8" a="1"/>
  <c r="Y177" i="8" s="1"/>
  <c r="Y252" i="8" a="1"/>
  <c r="Y252" i="8" s="1"/>
  <c r="Y303" i="8" a="1"/>
  <c r="Y303" i="8" s="1"/>
  <c r="Y473" i="8" a="1"/>
  <c r="Y473" i="8" s="1"/>
  <c r="Y11" i="8" a="1"/>
  <c r="Y11" i="8" s="1"/>
  <c r="Y275" i="8" a="1"/>
  <c r="Y275" i="8" s="1"/>
  <c r="Y404" i="8" a="1"/>
  <c r="Y404" i="8" s="1"/>
  <c r="AF2" i="8" l="1" a="1"/>
  <c r="AF2" i="8" s="1"/>
  <c r="AF3" i="8" s="1" a="1"/>
  <c r="AF3" i="8" s="1"/>
  <c r="AE2" i="8" a="1"/>
  <c r="AE2" i="8" s="1"/>
  <c r="AE3" i="8" s="1" a="1"/>
  <c r="AE3" i="8" s="1"/>
  <c r="AD2" i="8" a="1"/>
  <c r="AD2" i="8" s="1"/>
  <c r="AD3" i="8" s="1" a="1"/>
  <c r="AD3" i="8" s="1"/>
  <c r="AK2" i="8" a="1"/>
  <c r="AK2" i="8" s="1"/>
  <c r="AK3" i="8" s="1" a="1"/>
  <c r="AK3" i="8" s="1"/>
  <c r="AJ2" i="8" a="1"/>
  <c r="AJ2" i="8" s="1"/>
  <c r="AJ3" i="8" s="1" a="1"/>
  <c r="AJ3" i="8" s="1"/>
  <c r="AI2" i="8" a="1"/>
  <c r="AI2" i="8" s="1"/>
  <c r="AI3" i="8" s="1" a="1"/>
  <c r="AI3" i="8" s="1"/>
  <c r="AG2" i="8" a="1"/>
  <c r="AG2" i="8" s="1"/>
  <c r="AG3" i="8" s="1" a="1"/>
  <c r="AG3" i="8" s="1"/>
  <c r="AH2" i="8" a="1"/>
  <c r="AH2" i="8" s="1"/>
  <c r="AH3" i="8" s="1" a="1"/>
  <c r="AH3" i="8" s="1"/>
  <c r="C11" i="7" l="1" a="1"/>
  <c r="C11" i="7" s="1"/>
  <c r="J8" i="3" a="1"/>
  <c r="J8" i="3" s="1"/>
  <c r="K9" i="3" s="1" a="1"/>
  <c r="K9" i="3" s="1"/>
  <c r="C6" i="7" a="1"/>
  <c r="C6" i="7" s="1"/>
  <c r="D20" i="3" a="1"/>
  <c r="D20" i="3" s="1"/>
  <c r="E21" i="3" s="1" a="1"/>
  <c r="E21" i="3" s="1"/>
  <c r="C16" i="7" a="1"/>
  <c r="C16" i="7" s="1"/>
  <c r="J28" i="3" a="1"/>
  <c r="J28" i="3" s="1"/>
  <c r="K29" i="3" s="1" a="1"/>
  <c r="K29" i="3" s="1"/>
  <c r="C9" i="7" a="1"/>
  <c r="C9" i="7" s="1"/>
  <c r="D32" i="3" a="1"/>
  <c r="D32" i="3" s="1"/>
  <c r="E33" i="3" s="1" a="1"/>
  <c r="E33" i="3" s="1"/>
  <c r="C8" i="7" a="1"/>
  <c r="C8" i="7" s="1"/>
  <c r="D28" i="3" a="1"/>
  <c r="D28" i="3" s="1"/>
  <c r="E29" i="3" s="1" a="1"/>
  <c r="E29" i="3" s="1"/>
  <c r="C3" i="7" a="1"/>
  <c r="C3" i="7" s="1"/>
  <c r="D8" i="3" a="1"/>
  <c r="D8" i="3" s="1"/>
  <c r="E9" i="3" s="1" a="1"/>
  <c r="E9" i="3" s="1"/>
  <c r="J20" i="3" a="1"/>
  <c r="J20" i="3" s="1"/>
  <c r="K21" i="3" s="1" a="1"/>
  <c r="K21" i="3" s="1"/>
  <c r="C14" i="7" a="1"/>
  <c r="C14" i="7" s="1"/>
  <c r="C10" i="7" a="1"/>
  <c r="C10" i="7" s="1"/>
  <c r="J4" i="3" a="1"/>
  <c r="J4" i="3" s="1"/>
  <c r="K5" i="3" s="1" a="1"/>
  <c r="K5" i="3" s="1"/>
  <c r="AI7" i="9" l="1" a="1"/>
  <c r="AI7" i="9" s="1"/>
  <c r="E108" i="6" a="1"/>
  <c r="E108" i="6" s="1"/>
  <c r="AI19" i="9" a="1"/>
  <c r="AI19" i="9" s="1"/>
  <c r="E114" i="6" a="1"/>
  <c r="E114" i="6" s="1"/>
  <c r="L114" i="6" s="1" a="1"/>
  <c r="L114" i="6" s="1"/>
  <c r="AI29" i="9" a="1"/>
  <c r="AI29" i="9" s="1"/>
  <c r="E119" i="6" a="1"/>
  <c r="E119" i="6" s="1"/>
  <c r="L119" i="6" s="1" a="1"/>
  <c r="L119" i="6" s="1"/>
  <c r="AI33" i="9" a="1"/>
  <c r="AI33" i="9" s="1"/>
  <c r="E121" i="6" a="1"/>
  <c r="E121" i="6" s="1"/>
  <c r="AI17" i="9" a="1"/>
  <c r="AI17" i="9" s="1"/>
  <c r="E113" i="6" a="1"/>
  <c r="E113" i="6" s="1"/>
  <c r="L113" i="6" s="1" a="1"/>
  <c r="L113" i="6" s="1"/>
  <c r="AI13" i="9" a="1"/>
  <c r="AI13" i="9" s="1"/>
  <c r="E111" i="6" a="1"/>
  <c r="E111" i="6" s="1"/>
  <c r="L111" i="6" s="1" a="1"/>
  <c r="L111" i="6" s="1"/>
  <c r="AI21" i="9" a="1"/>
  <c r="AI21" i="9" s="1"/>
  <c r="E115" i="6" a="1"/>
  <c r="E115" i="6" s="1"/>
  <c r="L115" i="6" s="1" a="1"/>
  <c r="L115" i="6" s="1"/>
  <c r="AI23" i="9" a="1"/>
  <c r="AI23" i="9" s="1"/>
  <c r="E116" i="6" a="1"/>
  <c r="E116" i="6" s="1"/>
  <c r="L116" i="6" s="1" a="1"/>
  <c r="L116" i="6" s="1"/>
  <c r="L121" i="6" l="1" a="1"/>
  <c r="L121" i="6" s="1"/>
  <c r="V20" i="9" a="1"/>
  <c r="V20" i="9" s="1"/>
  <c r="L108" i="6" a="1"/>
  <c r="L108" i="6" s="1"/>
  <c r="V45" i="9" a="1"/>
  <c r="V45" i="9" s="1"/>
  <c r="V18" i="9" a="1"/>
  <c r="V18" i="9" s="1"/>
  <c r="U44" i="9" a="1"/>
  <c r="U44" i="9" s="1"/>
  <c r="U50" i="9" a="1"/>
  <c r="U50" i="9" s="1"/>
  <c r="U35" i="9" a="1"/>
  <c r="U35" i="9" s="1"/>
  <c r="V47" i="9" a="1"/>
  <c r="V47" i="9" s="1"/>
  <c r="V41" i="9" a="1"/>
  <c r="V41" i="9" s="1"/>
  <c r="V21" i="9" a="1"/>
  <c r="V21" i="9" s="1"/>
  <c r="U4" i="9" a="1"/>
  <c r="U4" i="9" s="1"/>
  <c r="U33" i="9" a="1"/>
  <c r="U33" i="9" s="1"/>
  <c r="V6" i="9" a="1"/>
  <c r="V6" i="9" s="1"/>
  <c r="U49" i="9" a="1"/>
  <c r="U49" i="9" s="1"/>
  <c r="V29" i="9" a="1"/>
  <c r="V29" i="9" s="1"/>
  <c r="V12" i="9" a="1"/>
  <c r="V12" i="9" s="1"/>
  <c r="U28" i="9" a="1"/>
  <c r="U28" i="9" s="1"/>
  <c r="V42" i="9" a="1"/>
  <c r="V42" i="9" s="1"/>
  <c r="V33" i="9" a="1"/>
  <c r="V33" i="9" s="1"/>
  <c r="V39" i="9" a="1"/>
  <c r="V39" i="9" s="1"/>
  <c r="U23" i="9" a="1"/>
  <c r="U23" i="9" s="1"/>
  <c r="U45" i="9" a="1"/>
  <c r="U45" i="9" s="1"/>
  <c r="T45" i="9" s="1" a="1"/>
  <c r="T45" i="9" s="1"/>
  <c r="U13" i="9" a="1"/>
  <c r="U13" i="9" s="1"/>
  <c r="T13" i="9" s="1" a="1"/>
  <c r="T13" i="9" s="1"/>
  <c r="V43" i="9" a="1"/>
  <c r="V43" i="9" s="1"/>
  <c r="V30" i="9" a="1"/>
  <c r="V30" i="9" s="1"/>
  <c r="V23" i="9" a="1"/>
  <c r="V23" i="9" s="1"/>
  <c r="U6" i="9" a="1"/>
  <c r="U6" i="9" s="1"/>
  <c r="T6" i="9" s="1" a="1"/>
  <c r="T6" i="9" s="1"/>
  <c r="U15" i="9" a="1"/>
  <c r="U15" i="9" s="1"/>
  <c r="V16" i="9" a="1"/>
  <c r="V16" i="9" s="1"/>
  <c r="V37" i="9" a="1"/>
  <c r="V37" i="9" s="1"/>
  <c r="V49" i="9" a="1"/>
  <c r="V49" i="9" s="1"/>
  <c r="U20" i="9" a="1"/>
  <c r="U20" i="9" s="1"/>
  <c r="T20" i="9" s="1" a="1"/>
  <c r="T20" i="9" s="1"/>
  <c r="V24" i="9" a="1"/>
  <c r="V24" i="9" s="1"/>
  <c r="V14" i="9" a="1"/>
  <c r="V14" i="9" s="1"/>
  <c r="V15" i="9" a="1"/>
  <c r="V15" i="9" s="1"/>
  <c r="V36" i="9" a="1"/>
  <c r="V36" i="9" s="1"/>
  <c r="U31" i="9" a="1"/>
  <c r="U31" i="9" s="1"/>
  <c r="U10" i="9" a="1"/>
  <c r="U10" i="9" s="1"/>
  <c r="V25" i="9" a="1"/>
  <c r="V25" i="9" s="1"/>
  <c r="V13" i="9" a="1"/>
  <c r="V13" i="9" s="1"/>
  <c r="V48" i="9" a="1"/>
  <c r="V48" i="9" s="1"/>
  <c r="U43" i="9" a="1"/>
  <c r="U43" i="9" s="1"/>
  <c r="T43" i="9" s="1" a="1"/>
  <c r="T43" i="9" s="1"/>
  <c r="U51" i="9" a="1"/>
  <c r="U51" i="9" s="1"/>
  <c r="U19" i="9" a="1"/>
  <c r="U19" i="9" s="1"/>
  <c r="U42" i="9" a="1"/>
  <c r="U42" i="9" s="1"/>
  <c r="T42" i="9" s="1" a="1"/>
  <c r="T42" i="9" s="1"/>
  <c r="U30" i="9" a="1"/>
  <c r="U30" i="9" s="1"/>
  <c r="T30" i="9" s="1" a="1"/>
  <c r="T30" i="9" s="1"/>
  <c r="V32" i="9" a="1"/>
  <c r="V32" i="9" s="1"/>
  <c r="V22" i="9" a="1"/>
  <c r="V22" i="9" s="1"/>
  <c r="V27" i="9" a="1"/>
  <c r="V27" i="9" s="1"/>
  <c r="U14" i="9" a="1"/>
  <c r="U14" i="9" s="1"/>
  <c r="T14" i="9" s="1" a="1"/>
  <c r="T14" i="9" s="1"/>
  <c r="U34" i="9" a="1"/>
  <c r="U34" i="9" s="1"/>
  <c r="T34" i="9" s="1" a="1"/>
  <c r="T34" i="9" s="1"/>
  <c r="U7" i="9" a="1"/>
  <c r="U7" i="9" s="1"/>
  <c r="T7" i="9" s="1" a="1"/>
  <c r="T7" i="9" s="1"/>
  <c r="V7" i="9" a="1"/>
  <c r="V7" i="9" s="1"/>
  <c r="V34" i="9" a="1"/>
  <c r="V34" i="9" s="1"/>
  <c r="V5" i="9" a="1"/>
  <c r="V5" i="9" s="1"/>
  <c r="U48" i="9" a="1"/>
  <c r="U48" i="9" s="1"/>
  <c r="T48" i="9" s="1" a="1"/>
  <c r="T48" i="9" s="1"/>
  <c r="U32" i="9" a="1"/>
  <c r="U32" i="9" s="1"/>
  <c r="V8" i="9" a="1"/>
  <c r="V8" i="9" s="1"/>
  <c r="U40" i="9" a="1"/>
  <c r="U40" i="9" s="1"/>
  <c r="V44" i="9" a="1"/>
  <c r="V44" i="9" s="1"/>
  <c r="V46" i="9" a="1"/>
  <c r="V46" i="9" s="1"/>
  <c r="U11" i="9" a="1"/>
  <c r="U11" i="9" s="1"/>
  <c r="U38" i="9" a="1"/>
  <c r="U38" i="9" s="1"/>
  <c r="U12" i="9" a="1"/>
  <c r="U12" i="9" s="1"/>
  <c r="T12" i="9" s="1" a="1"/>
  <c r="T12" i="9" s="1"/>
  <c r="U21" i="9" a="1"/>
  <c r="U21" i="9" s="1"/>
  <c r="T21" i="9" s="1" a="1"/>
  <c r="T21" i="9" s="1"/>
  <c r="U47" i="9" a="1"/>
  <c r="U47" i="9" s="1"/>
  <c r="T47" i="9" s="1" a="1"/>
  <c r="T47" i="9" s="1"/>
  <c r="U24" i="9" a="1"/>
  <c r="U24" i="9" s="1"/>
  <c r="T24" i="9" s="1" a="1"/>
  <c r="T24" i="9" s="1"/>
  <c r="U16" i="9" a="1"/>
  <c r="U16" i="9" s="1"/>
  <c r="T16" i="9" s="1" a="1"/>
  <c r="T16" i="9" s="1"/>
  <c r="U22" i="9" a="1"/>
  <c r="U22" i="9" s="1"/>
  <c r="T22" i="9" s="1" a="1"/>
  <c r="T22" i="9" s="1"/>
  <c r="U9" i="9" a="1"/>
  <c r="U9" i="9" s="1"/>
  <c r="V10" i="9" a="1"/>
  <c r="V10" i="9" s="1"/>
  <c r="V11" i="9" a="1"/>
  <c r="V11" i="9" s="1"/>
  <c r="U8" i="9" a="1"/>
  <c r="U8" i="9" s="1"/>
  <c r="T8" i="9" s="1" a="1"/>
  <c r="T8" i="9" s="1"/>
  <c r="U27" i="9" a="1"/>
  <c r="U27" i="9" s="1"/>
  <c r="T27" i="9" s="1" a="1"/>
  <c r="T27" i="9" s="1"/>
  <c r="U18" i="9" a="1"/>
  <c r="U18" i="9" s="1"/>
  <c r="T18" i="9" s="1" a="1"/>
  <c r="T18" i="9" s="1"/>
  <c r="V51" i="9" a="1"/>
  <c r="V51" i="9" s="1"/>
  <c r="U29" i="9" a="1"/>
  <c r="U29" i="9" s="1"/>
  <c r="T29" i="9" s="1" a="1"/>
  <c r="T29" i="9" s="1"/>
  <c r="V17" i="9" a="1"/>
  <c r="V17" i="9" s="1"/>
  <c r="V31" i="9" a="1"/>
  <c r="V31" i="9" s="1"/>
  <c r="U46" i="9" a="1"/>
  <c r="U46" i="9" s="1"/>
  <c r="T46" i="9" s="1" a="1"/>
  <c r="T46" i="9" s="1"/>
  <c r="U25" i="9" a="1"/>
  <c r="U25" i="9" s="1"/>
  <c r="T25" i="9" s="1" a="1"/>
  <c r="T25" i="9" s="1"/>
  <c r="V35" i="9" a="1"/>
  <c r="V35" i="9" s="1"/>
  <c r="U5" i="9" a="1"/>
  <c r="U5" i="9" s="1"/>
  <c r="T5" i="9" s="1" a="1"/>
  <c r="T5" i="9" s="1"/>
  <c r="U36" i="9" a="1"/>
  <c r="U36" i="9" s="1"/>
  <c r="T36" i="9" s="1" a="1"/>
  <c r="T36" i="9" s="1"/>
  <c r="V50" i="9" a="1"/>
  <c r="V50" i="9" s="1"/>
  <c r="U17" i="9" a="1"/>
  <c r="U17" i="9" s="1"/>
  <c r="T17" i="9" s="1" a="1"/>
  <c r="T17" i="9" s="1"/>
  <c r="U26" i="9" a="1"/>
  <c r="U26" i="9" s="1"/>
  <c r="V26" i="9" a="1"/>
  <c r="V26" i="9" s="1"/>
  <c r="V28" i="9" a="1"/>
  <c r="V28" i="9" s="1"/>
  <c r="V19" i="9" a="1"/>
  <c r="V19" i="9" s="1"/>
  <c r="V40" i="9" a="1"/>
  <c r="V40" i="9" s="1"/>
  <c r="U41" i="9" a="1"/>
  <c r="U41" i="9" s="1"/>
  <c r="T41" i="9" s="1" a="1"/>
  <c r="T41" i="9" s="1"/>
  <c r="U39" i="9" a="1"/>
  <c r="U39" i="9" s="1"/>
  <c r="T39" i="9" s="1" a="1"/>
  <c r="T39" i="9" s="1"/>
  <c r="V4" i="9" a="1"/>
  <c r="V4" i="9" s="1"/>
  <c r="V9" i="9" a="1"/>
  <c r="V9" i="9" s="1"/>
  <c r="V38" i="9" a="1"/>
  <c r="V38" i="9" s="1"/>
  <c r="U37" i="9" a="1"/>
  <c r="U37" i="9" s="1"/>
  <c r="T37" i="9" s="1" a="1"/>
  <c r="T37" i="9" s="1"/>
  <c r="O17" i="9" a="1"/>
  <c r="O17" i="9" s="1"/>
  <c r="O4" i="9" a="1"/>
  <c r="O4" i="9" s="1"/>
  <c r="O34" i="9" a="1"/>
  <c r="O34" i="9" s="1"/>
  <c r="O9" i="9" a="1"/>
  <c r="O9" i="9" s="1"/>
  <c r="O40" i="9" a="1"/>
  <c r="O40" i="9" s="1"/>
  <c r="O27" i="9" a="1"/>
  <c r="O27" i="9" s="1"/>
  <c r="O22" i="9" a="1"/>
  <c r="O22" i="9" s="1"/>
  <c r="O31" i="9" a="1"/>
  <c r="O31" i="9" s="1"/>
  <c r="O24" i="9" a="1"/>
  <c r="O24" i="9" s="1"/>
  <c r="O39" i="9" a="1"/>
  <c r="O39" i="9" s="1"/>
  <c r="O46" i="9" a="1"/>
  <c r="O46" i="9" s="1"/>
  <c r="O44" i="9" a="1"/>
  <c r="O44" i="9" s="1"/>
  <c r="O37" i="9" a="1"/>
  <c r="O37" i="9" s="1"/>
  <c r="O13" i="9" a="1"/>
  <c r="O13" i="9" s="1"/>
  <c r="O12" i="9" a="1"/>
  <c r="O12" i="9" s="1"/>
  <c r="O14" i="9" a="1"/>
  <c r="O14" i="9" s="1"/>
  <c r="O10" i="9" a="1"/>
  <c r="O10" i="9" s="1"/>
  <c r="O6" i="9" a="1"/>
  <c r="O6" i="9" s="1"/>
  <c r="O29" i="9" a="1"/>
  <c r="O29" i="9" s="1"/>
  <c r="O19" i="9" a="1"/>
  <c r="O19" i="9" s="1"/>
  <c r="O7" i="9" a="1"/>
  <c r="O7" i="9" s="1"/>
  <c r="O30" i="9" a="1"/>
  <c r="O30" i="9" s="1"/>
  <c r="O20" i="9" a="1"/>
  <c r="O20" i="9" s="1"/>
  <c r="O5" i="9" a="1"/>
  <c r="O5" i="9" s="1"/>
  <c r="O16" i="9" a="1"/>
  <c r="O16" i="9" s="1"/>
  <c r="O32" i="9" a="1"/>
  <c r="O32" i="9" s="1"/>
  <c r="O11" i="9" a="1"/>
  <c r="O11" i="9" s="1"/>
  <c r="O48" i="9" a="1"/>
  <c r="O48" i="9" s="1"/>
  <c r="O8" i="9" a="1"/>
  <c r="O8" i="9" s="1"/>
  <c r="O49" i="9" a="1"/>
  <c r="O49" i="9" s="1"/>
  <c r="O42" i="9" a="1"/>
  <c r="O42" i="9" s="1"/>
  <c r="O45" i="9" a="1"/>
  <c r="O45" i="9" s="1"/>
  <c r="O15" i="9" a="1"/>
  <c r="O15" i="9" s="1"/>
  <c r="O33" i="9" a="1"/>
  <c r="O33" i="9" s="1"/>
  <c r="O47" i="9" a="1"/>
  <c r="O47" i="9" s="1"/>
  <c r="O23" i="9" a="1"/>
  <c r="O23" i="9" s="1"/>
  <c r="O28" i="9" a="1"/>
  <c r="O28" i="9" s="1"/>
  <c r="O35" i="9" a="1"/>
  <c r="O35" i="9" s="1"/>
  <c r="O36" i="9" a="1"/>
  <c r="O36" i="9" s="1"/>
  <c r="O25" i="9" a="1"/>
  <c r="O25" i="9" s="1"/>
  <c r="O26" i="9" a="1"/>
  <c r="O26" i="9" s="1"/>
  <c r="O51" i="9" a="1"/>
  <c r="O51" i="9" s="1"/>
  <c r="O50" i="9" a="1"/>
  <c r="O50" i="9" s="1"/>
  <c r="O41" i="9" a="1"/>
  <c r="O41" i="9" s="1"/>
  <c r="O18" i="9" a="1"/>
  <c r="O18" i="9" s="1"/>
  <c r="O38" i="9" a="1"/>
  <c r="O38" i="9" s="1"/>
  <c r="O43" i="9" a="1"/>
  <c r="O43" i="9" s="1"/>
  <c r="O21" i="9" a="1"/>
  <c r="O21" i="9" s="1"/>
  <c r="T40" i="9" l="1" a="1"/>
  <c r="T40" i="9" s="1"/>
  <c r="T4" i="9" a="1"/>
  <c r="T4" i="9" s="1"/>
  <c r="P18" i="9" a="1"/>
  <c r="P18" i="9" s="1"/>
  <c r="W18" i="9" s="1" a="1"/>
  <c r="W18" i="9" s="1"/>
  <c r="X18" i="9" a="1"/>
  <c r="X18" i="9" s="1"/>
  <c r="AT29" i="9" s="1" a="1"/>
  <c r="AT29" i="9" s="1"/>
  <c r="P15" i="9" a="1"/>
  <c r="P15" i="9" s="1"/>
  <c r="X15" i="9" a="1"/>
  <c r="X15" i="9" s="1"/>
  <c r="AT36" i="9" s="1" a="1"/>
  <c r="AT36" i="9" s="1"/>
  <c r="P7" i="9" a="1"/>
  <c r="P7" i="9" s="1"/>
  <c r="W7" i="9" s="1" a="1"/>
  <c r="W7" i="9" s="1"/>
  <c r="X7" i="9" a="1"/>
  <c r="X7" i="9" s="1"/>
  <c r="AT35" i="9" s="1" a="1"/>
  <c r="AT35" i="9" s="1"/>
  <c r="P24" i="9" a="1"/>
  <c r="P24" i="9" s="1"/>
  <c r="W24" i="9" s="1" a="1"/>
  <c r="W24" i="9" s="1"/>
  <c r="X24" i="9" a="1"/>
  <c r="X24" i="9" s="1"/>
  <c r="AT10" i="9" s="1" a="1"/>
  <c r="AT10" i="9" s="1"/>
  <c r="T9" i="9" a="1"/>
  <c r="T9" i="9" s="1"/>
  <c r="X21" i="9" a="1"/>
  <c r="X21" i="9" s="1"/>
  <c r="AT49" i="9" s="1" a="1"/>
  <c r="AT49" i="9" s="1"/>
  <c r="P21" i="9" a="1"/>
  <c r="P21" i="9" s="1"/>
  <c r="W21" i="9" s="1" a="1"/>
  <c r="W21" i="9" s="1"/>
  <c r="X30" i="9" a="1"/>
  <c r="X30" i="9" s="1"/>
  <c r="AT11" i="9" s="1" a="1"/>
  <c r="AT11" i="9" s="1"/>
  <c r="P30" i="9" a="1"/>
  <c r="P30" i="9" s="1"/>
  <c r="W30" i="9" s="1" a="1"/>
  <c r="W30" i="9" s="1"/>
  <c r="P39" i="9" a="1"/>
  <c r="P39" i="9" s="1"/>
  <c r="W39" i="9" s="1" a="1"/>
  <c r="W39" i="9" s="1"/>
  <c r="X39" i="9" a="1"/>
  <c r="X39" i="9" s="1"/>
  <c r="AT25" i="9" s="1" a="1"/>
  <c r="AT25" i="9" s="1"/>
  <c r="X45" i="9" a="1"/>
  <c r="X45" i="9" s="1"/>
  <c r="AT43" i="9" s="1" a="1"/>
  <c r="AT43" i="9" s="1"/>
  <c r="P45" i="9" a="1"/>
  <c r="P45" i="9" s="1"/>
  <c r="W45" i="9" s="1" a="1"/>
  <c r="W45" i="9" s="1"/>
  <c r="X19" i="9" a="1"/>
  <c r="X19" i="9" s="1"/>
  <c r="AT22" i="9" s="1" a="1"/>
  <c r="AT22" i="9" s="1"/>
  <c r="P19" i="9" a="1"/>
  <c r="P19" i="9" s="1"/>
  <c r="P31" i="9" a="1"/>
  <c r="P31" i="9" s="1"/>
  <c r="X31" i="9" a="1"/>
  <c r="X31" i="9" s="1"/>
  <c r="AT31" i="9" s="1" a="1"/>
  <c r="AT31" i="9" s="1"/>
  <c r="T32" i="9" a="1"/>
  <c r="T32" i="9" s="1"/>
  <c r="T23" i="9" a="1"/>
  <c r="T23" i="9" s="1"/>
  <c r="X41" i="9" a="1"/>
  <c r="X41" i="9" s="1"/>
  <c r="AT30" i="9" s="1" a="1"/>
  <c r="AT30" i="9" s="1"/>
  <c r="P41" i="9" a="1"/>
  <c r="P41" i="9" s="1"/>
  <c r="W41" i="9" s="1" a="1"/>
  <c r="W41" i="9" s="1"/>
  <c r="X50" i="9" a="1"/>
  <c r="X50" i="9" s="1"/>
  <c r="AT41" i="9" s="1" a="1"/>
  <c r="AT41" i="9" s="1"/>
  <c r="P50" i="9" a="1"/>
  <c r="P50" i="9" s="1"/>
  <c r="X42" i="9" a="1"/>
  <c r="X42" i="9" s="1"/>
  <c r="AT28" i="9" s="1" a="1"/>
  <c r="AT28" i="9" s="1"/>
  <c r="P42" i="9" a="1"/>
  <c r="P42" i="9" s="1"/>
  <c r="W42" i="9" s="1" a="1"/>
  <c r="W42" i="9" s="1"/>
  <c r="X29" i="9" a="1"/>
  <c r="X29" i="9" s="1"/>
  <c r="AT51" i="9" s="1" a="1"/>
  <c r="AT51" i="9" s="1"/>
  <c r="P29" i="9" a="1"/>
  <c r="P29" i="9" s="1"/>
  <c r="W29" i="9" s="1" a="1"/>
  <c r="W29" i="9" s="1"/>
  <c r="P22" i="9" a="1"/>
  <c r="P22" i="9" s="1"/>
  <c r="W22" i="9" s="1" a="1"/>
  <c r="W22" i="9" s="1"/>
  <c r="X22" i="9" a="1"/>
  <c r="X22" i="9" s="1"/>
  <c r="AT34" i="9" s="1" a="1"/>
  <c r="AT34" i="9" s="1"/>
  <c r="T19" i="9" a="1"/>
  <c r="T19" i="9" s="1"/>
  <c r="X23" i="9" a="1"/>
  <c r="X23" i="9" s="1"/>
  <c r="AT23" i="9" s="1" a="1"/>
  <c r="AT23" i="9" s="1"/>
  <c r="P23" i="9" a="1"/>
  <c r="P23" i="9" s="1"/>
  <c r="W23" i="9" s="1" a="1"/>
  <c r="W23" i="9" s="1"/>
  <c r="X51" i="9" a="1"/>
  <c r="X51" i="9" s="1"/>
  <c r="AT33" i="9" s="1" a="1"/>
  <c r="AT33" i="9" s="1"/>
  <c r="P51" i="9" a="1"/>
  <c r="P51" i="9" s="1"/>
  <c r="W51" i="9" s="1" a="1"/>
  <c r="W51" i="9" s="1"/>
  <c r="X27" i="9" a="1"/>
  <c r="X27" i="9" s="1"/>
  <c r="AT37" i="9" s="1" a="1"/>
  <c r="AT37" i="9" s="1"/>
  <c r="P27" i="9" a="1"/>
  <c r="P27" i="9" s="1"/>
  <c r="W27" i="9" s="1" a="1"/>
  <c r="W27" i="9" s="1"/>
  <c r="T51" i="9" a="1"/>
  <c r="T51" i="9" s="1"/>
  <c r="T35" i="9" a="1"/>
  <c r="T35" i="9" s="1"/>
  <c r="P5" i="9" a="1"/>
  <c r="P5" i="9" s="1"/>
  <c r="W5" i="9" s="1" a="1"/>
  <c r="W5" i="9" s="1"/>
  <c r="X5" i="9" a="1"/>
  <c r="X5" i="9" s="1"/>
  <c r="AT38" i="9" s="1" a="1"/>
  <c r="AT38" i="9" s="1"/>
  <c r="P49" i="9" a="1"/>
  <c r="P49" i="9" s="1"/>
  <c r="X49" i="9" a="1"/>
  <c r="X49" i="9" s="1"/>
  <c r="AT13" i="9" s="1" a="1"/>
  <c r="AT13" i="9" s="1"/>
  <c r="X6" i="9" a="1"/>
  <c r="X6" i="9" s="1"/>
  <c r="AT24" i="9" s="1" a="1"/>
  <c r="AT24" i="9" s="1"/>
  <c r="P6" i="9" a="1"/>
  <c r="P6" i="9" s="1"/>
  <c r="W6" i="9" s="1" a="1"/>
  <c r="W6" i="9" s="1"/>
  <c r="X26" i="9" a="1"/>
  <c r="X26" i="9" s="1"/>
  <c r="AT26" i="9" s="1" a="1"/>
  <c r="AT26" i="9" s="1"/>
  <c r="P26" i="9" a="1"/>
  <c r="P26" i="9" s="1"/>
  <c r="P8" i="9" a="1"/>
  <c r="P8" i="9" s="1"/>
  <c r="W8" i="9" s="1" a="1"/>
  <c r="W8" i="9" s="1"/>
  <c r="X8" i="9" a="1"/>
  <c r="X8" i="9" s="1"/>
  <c r="AT32" i="9" s="1" a="1"/>
  <c r="AT32" i="9" s="1"/>
  <c r="X10" i="9" a="1"/>
  <c r="X10" i="9" s="1"/>
  <c r="AT45" i="9" s="1" a="1"/>
  <c r="AT45" i="9" s="1"/>
  <c r="P10" i="9" a="1"/>
  <c r="P10" i="9" s="1"/>
  <c r="X40" i="9" a="1"/>
  <c r="X40" i="9" s="1"/>
  <c r="AT6" i="9" s="1" a="1"/>
  <c r="AT6" i="9" s="1"/>
  <c r="P40" i="9" a="1"/>
  <c r="P40" i="9" s="1"/>
  <c r="W40" i="9" s="1" a="1"/>
  <c r="W40" i="9" s="1"/>
  <c r="T50" i="9" a="1"/>
  <c r="T50" i="9" s="1"/>
  <c r="P25" i="9" a="1"/>
  <c r="P25" i="9" s="1"/>
  <c r="W25" i="9" s="1" a="1"/>
  <c r="W25" i="9" s="1"/>
  <c r="X25" i="9" a="1"/>
  <c r="X25" i="9" s="1"/>
  <c r="AT20" i="9" s="1" a="1"/>
  <c r="AT20" i="9" s="1"/>
  <c r="X14" i="9" a="1"/>
  <c r="X14" i="9" s="1"/>
  <c r="AT50" i="9" s="1" a="1"/>
  <c r="AT50" i="9" s="1"/>
  <c r="P14" i="9" a="1"/>
  <c r="P14" i="9" s="1"/>
  <c r="W14" i="9" s="1" a="1"/>
  <c r="W14" i="9" s="1"/>
  <c r="P9" i="9" a="1"/>
  <c r="P9" i="9" s="1"/>
  <c r="W9" i="9" s="1" a="1"/>
  <c r="W9" i="9" s="1"/>
  <c r="X9" i="9" a="1"/>
  <c r="X9" i="9" s="1"/>
  <c r="AT40" i="9" s="1" a="1"/>
  <c r="AT40" i="9" s="1"/>
  <c r="T28" i="9" a="1"/>
  <c r="T28" i="9" s="1"/>
  <c r="T44" i="9" a="1"/>
  <c r="T44" i="9" s="1"/>
  <c r="X44" i="9" a="1"/>
  <c r="X44" i="9" s="1"/>
  <c r="AT8" i="9" s="1" a="1"/>
  <c r="AT8" i="9" s="1"/>
  <c r="P44" i="9" a="1"/>
  <c r="P44" i="9" s="1"/>
  <c r="W44" i="9" s="1" a="1"/>
  <c r="W44" i="9" s="1"/>
  <c r="P36" i="9" a="1"/>
  <c r="P36" i="9" s="1"/>
  <c r="W36" i="9" s="1" a="1"/>
  <c r="W36" i="9" s="1"/>
  <c r="X36" i="9" a="1"/>
  <c r="X36" i="9" s="1"/>
  <c r="AT4" i="9" s="1" a="1"/>
  <c r="AT4" i="9" s="1"/>
  <c r="T15" i="9" a="1"/>
  <c r="T15" i="9" s="1"/>
  <c r="X33" i="9" a="1"/>
  <c r="X33" i="9" s="1"/>
  <c r="AT48" i="9" s="1" a="1"/>
  <c r="AT48" i="9" s="1"/>
  <c r="P33" i="9" a="1"/>
  <c r="P33" i="9" s="1"/>
  <c r="P11" i="9" a="1"/>
  <c r="P11" i="9" s="1"/>
  <c r="W11" i="9" s="1" a="1"/>
  <c r="W11" i="9" s="1"/>
  <c r="X11" i="9" a="1"/>
  <c r="X11" i="9" s="1"/>
  <c r="AT21" i="9" s="1" a="1"/>
  <c r="AT21" i="9" s="1"/>
  <c r="P34" i="9" a="1"/>
  <c r="P34" i="9" s="1"/>
  <c r="W34" i="9" s="1" a="1"/>
  <c r="W34" i="9" s="1"/>
  <c r="X34" i="9" a="1"/>
  <c r="X34" i="9" s="1"/>
  <c r="AT39" i="9" s="1" a="1"/>
  <c r="AT39" i="9" s="1"/>
  <c r="P32" i="9" a="1"/>
  <c r="P32" i="9" s="1"/>
  <c r="W32" i="9" s="1" a="1"/>
  <c r="W32" i="9" s="1"/>
  <c r="X32" i="9" a="1"/>
  <c r="X32" i="9" s="1"/>
  <c r="AT5" i="9" s="1" a="1"/>
  <c r="AT5" i="9" s="1"/>
  <c r="X4" i="9" a="1"/>
  <c r="X4" i="9" s="1"/>
  <c r="AT18" i="9" s="1" a="1"/>
  <c r="AT18" i="9" s="1"/>
  <c r="P4" i="9" a="1"/>
  <c r="P4" i="9" s="1"/>
  <c r="W4" i="9" s="1" a="1"/>
  <c r="W4" i="9" s="1"/>
  <c r="T26" i="9" a="1"/>
  <c r="T26" i="9" s="1"/>
  <c r="T38" i="9" a="1"/>
  <c r="T38" i="9" s="1"/>
  <c r="P38" i="9" a="1"/>
  <c r="P38" i="9" s="1"/>
  <c r="X38" i="9" a="1"/>
  <c r="X38" i="9" s="1"/>
  <c r="AT46" i="9" s="1" a="1"/>
  <c r="AT46" i="9" s="1"/>
  <c r="X48" i="9" a="1"/>
  <c r="X48" i="9" s="1"/>
  <c r="AT7" i="9" s="1" a="1"/>
  <c r="AT7" i="9" s="1"/>
  <c r="P48" i="9" a="1"/>
  <c r="P48" i="9" s="1"/>
  <c r="W48" i="9" s="1" a="1"/>
  <c r="W48" i="9" s="1"/>
  <c r="P12" i="9" a="1"/>
  <c r="P12" i="9" s="1"/>
  <c r="W12" i="9" s="1" a="1"/>
  <c r="W12" i="9" s="1"/>
  <c r="X12" i="9" a="1"/>
  <c r="X12" i="9" s="1"/>
  <c r="AT9" i="9" s="1" a="1"/>
  <c r="AT9" i="9" s="1"/>
  <c r="P35" i="9" a="1"/>
  <c r="P35" i="9" s="1"/>
  <c r="X35" i="9" a="1"/>
  <c r="X35" i="9" s="1"/>
  <c r="AT14" i="9" s="1" a="1"/>
  <c r="AT14" i="9" s="1"/>
  <c r="P13" i="9" a="1"/>
  <c r="P13" i="9" s="1"/>
  <c r="W13" i="9" s="1" a="1"/>
  <c r="W13" i="9" s="1"/>
  <c r="X13" i="9" a="1"/>
  <c r="X13" i="9" s="1"/>
  <c r="AT15" i="9" s="1" a="1"/>
  <c r="AT15" i="9" s="1"/>
  <c r="P28" i="9" a="1"/>
  <c r="P28" i="9" s="1"/>
  <c r="X28" i="9" a="1"/>
  <c r="X28" i="9" s="1"/>
  <c r="AT42" i="9" s="1" a="1"/>
  <c r="AT42" i="9" s="1"/>
  <c r="P16" i="9" a="1"/>
  <c r="P16" i="9" s="1"/>
  <c r="W16" i="9" s="1" a="1"/>
  <c r="W16" i="9" s="1"/>
  <c r="X16" i="9" a="1"/>
  <c r="X16" i="9" s="1"/>
  <c r="AT19" i="9" s="1" a="1"/>
  <c r="AT19" i="9" s="1"/>
  <c r="X37" i="9" a="1"/>
  <c r="X37" i="9" s="1"/>
  <c r="AT17" i="9" s="1" a="1"/>
  <c r="AT17" i="9" s="1"/>
  <c r="P37" i="9" a="1"/>
  <c r="P37" i="9" s="1"/>
  <c r="W37" i="9" s="1" a="1"/>
  <c r="W37" i="9" s="1"/>
  <c r="X17" i="9" a="1"/>
  <c r="X17" i="9" s="1"/>
  <c r="AT27" i="9" s="1" a="1"/>
  <c r="AT27" i="9" s="1"/>
  <c r="P17" i="9" a="1"/>
  <c r="P17" i="9" s="1"/>
  <c r="W17" i="9" s="1" a="1"/>
  <c r="W17" i="9" s="1"/>
  <c r="T11" i="9" a="1"/>
  <c r="T11" i="9" s="1"/>
  <c r="T10" i="9" a="1"/>
  <c r="T10" i="9" s="1"/>
  <c r="T49" i="9" a="1"/>
  <c r="T49" i="9" s="1"/>
  <c r="S38" i="9" a="1"/>
  <c r="S38" i="9" s="1"/>
  <c r="S42" i="9" a="1"/>
  <c r="S42" i="9" s="1"/>
  <c r="S26" i="9" a="1"/>
  <c r="S26" i="9" s="1"/>
  <c r="S9" i="9" a="1"/>
  <c r="S9" i="9" s="1"/>
  <c r="S15" i="9" a="1"/>
  <c r="S15" i="9" s="1"/>
  <c r="S29" i="9" a="1"/>
  <c r="S29" i="9" s="1"/>
  <c r="S6" i="9" a="1"/>
  <c r="S6" i="9" s="1"/>
  <c r="S17" i="9" a="1"/>
  <c r="S17" i="9" s="1"/>
  <c r="S24" i="9" a="1"/>
  <c r="S24" i="9" s="1"/>
  <c r="S4" i="9" a="1"/>
  <c r="S4" i="9" s="1"/>
  <c r="S28" i="9" a="1"/>
  <c r="S28" i="9" s="1"/>
  <c r="S11" i="9" a="1"/>
  <c r="S11" i="9" s="1"/>
  <c r="S48" i="9" a="1"/>
  <c r="S48" i="9" s="1"/>
  <c r="S41" i="9" a="1"/>
  <c r="S41" i="9" s="1"/>
  <c r="S21" i="9" a="1"/>
  <c r="S21" i="9" s="1"/>
  <c r="S36" i="9" a="1"/>
  <c r="S36" i="9" s="1"/>
  <c r="S47" i="9" a="1"/>
  <c r="S47" i="9" s="1"/>
  <c r="S12" i="9" a="1"/>
  <c r="S12" i="9" s="1"/>
  <c r="S5" i="9" a="1"/>
  <c r="S5" i="9" s="1"/>
  <c r="S46" i="9" a="1"/>
  <c r="S46" i="9" s="1"/>
  <c r="S19" i="9" a="1"/>
  <c r="S19" i="9" s="1"/>
  <c r="S40" i="9" a="1"/>
  <c r="S40" i="9" s="1"/>
  <c r="S18" i="9" a="1"/>
  <c r="S18" i="9" s="1"/>
  <c r="S25" i="9" a="1"/>
  <c r="S25" i="9" s="1"/>
  <c r="S16" i="9" a="1"/>
  <c r="S16" i="9" s="1"/>
  <c r="S31" i="9" a="1"/>
  <c r="S31" i="9" s="1"/>
  <c r="S32" i="9" a="1"/>
  <c r="S32" i="9" s="1"/>
  <c r="S43" i="9" a="1"/>
  <c r="S43" i="9" s="1"/>
  <c r="S8" i="9" a="1"/>
  <c r="S8" i="9" s="1"/>
  <c r="S34" i="9" a="1"/>
  <c r="S34" i="9" s="1"/>
  <c r="S33" i="9" a="1"/>
  <c r="S33" i="9" s="1"/>
  <c r="S23" i="9" a="1"/>
  <c r="S23" i="9" s="1"/>
  <c r="S44" i="9" a="1"/>
  <c r="S44" i="9" s="1"/>
  <c r="S27" i="9" a="1"/>
  <c r="S27" i="9" s="1"/>
  <c r="S10" i="9" a="1"/>
  <c r="S10" i="9" s="1"/>
  <c r="S39" i="9" a="1"/>
  <c r="S39" i="9" s="1"/>
  <c r="S14" i="9" a="1"/>
  <c r="S14" i="9" s="1"/>
  <c r="S35" i="9" a="1"/>
  <c r="S35" i="9" s="1"/>
  <c r="S37" i="9" a="1"/>
  <c r="S37" i="9" s="1"/>
  <c r="S13" i="9" a="1"/>
  <c r="S13" i="9" s="1"/>
  <c r="S22" i="9" a="1"/>
  <c r="S22" i="9" s="1"/>
  <c r="S49" i="9" a="1"/>
  <c r="S49" i="9" s="1"/>
  <c r="S51" i="9" a="1"/>
  <c r="S51" i="9" s="1"/>
  <c r="S45" i="9" a="1"/>
  <c r="S45" i="9" s="1"/>
  <c r="S30" i="9" a="1"/>
  <c r="S30" i="9" s="1"/>
  <c r="S50" i="9" a="1"/>
  <c r="S50" i="9" s="1"/>
  <c r="S20" i="9" a="1"/>
  <c r="S20" i="9" s="1"/>
  <c r="S7" i="9" a="1"/>
  <c r="S7" i="9" s="1"/>
  <c r="T31" i="9" a="1"/>
  <c r="T31" i="9" s="1"/>
  <c r="P43" i="9" a="1"/>
  <c r="P43" i="9" s="1"/>
  <c r="W43" i="9" s="1" a="1"/>
  <c r="W43" i="9" s="1"/>
  <c r="X43" i="9" a="1"/>
  <c r="X43" i="9" s="1"/>
  <c r="AT47" i="9" s="1" a="1"/>
  <c r="AT47" i="9" s="1"/>
  <c r="X47" i="9" a="1"/>
  <c r="X47" i="9" s="1"/>
  <c r="AT16" i="9" s="1" a="1"/>
  <c r="AT16" i="9" s="1"/>
  <c r="P47" i="9" a="1"/>
  <c r="P47" i="9" s="1"/>
  <c r="W47" i="9" s="1" a="1"/>
  <c r="W47" i="9" s="1"/>
  <c r="P20" i="9" a="1"/>
  <c r="P20" i="9" s="1"/>
  <c r="W20" i="9" s="1" a="1"/>
  <c r="W20" i="9" s="1"/>
  <c r="X20" i="9" a="1"/>
  <c r="X20" i="9" s="1"/>
  <c r="AT12" i="9" s="1" a="1"/>
  <c r="AT12" i="9" s="1"/>
  <c r="P46" i="9" a="1"/>
  <c r="P46" i="9" s="1"/>
  <c r="W46" i="9" s="1" a="1"/>
  <c r="W46" i="9" s="1"/>
  <c r="X46" i="9" a="1"/>
  <c r="X46" i="9" s="1"/>
  <c r="AT44" i="9" s="1" a="1"/>
  <c r="AT44" i="9" s="1"/>
  <c r="T33" i="9" a="1"/>
  <c r="T33" i="9" s="1"/>
  <c r="Z25" i="9" l="1" a="1"/>
  <c r="Z25" i="9" s="1"/>
  <c r="AU20" i="9" a="1"/>
  <c r="AU20" i="9" s="1"/>
  <c r="Z46" i="9" a="1"/>
  <c r="Z46" i="9" s="1"/>
  <c r="AU44" i="9" a="1"/>
  <c r="AU44" i="9" s="1"/>
  <c r="Z47" i="9" a="1"/>
  <c r="Z47" i="9" s="1"/>
  <c r="AU16" i="9" a="1"/>
  <c r="AU16" i="9" s="1"/>
  <c r="Z43" i="9" a="1"/>
  <c r="Z43" i="9" s="1"/>
  <c r="AU47" i="9" a="1"/>
  <c r="AU47" i="9" s="1"/>
  <c r="W28" i="9" a="1"/>
  <c r="W28" i="9" s="1"/>
  <c r="W49" i="9" a="1"/>
  <c r="W49" i="9" s="1"/>
  <c r="AX4" i="9" a="1"/>
  <c r="AX4" i="9" s="1"/>
  <c r="Z4" i="9" a="1"/>
  <c r="Z4" i="9" s="1"/>
  <c r="AU18" i="9" a="1"/>
  <c r="AU18" i="9" s="1"/>
  <c r="Z36" i="9" a="1"/>
  <c r="Z36" i="9" s="1"/>
  <c r="AU4" i="9" a="1"/>
  <c r="AU4" i="9" s="1"/>
  <c r="Z40" i="9" a="1"/>
  <c r="Z40" i="9" s="1"/>
  <c r="AU6" i="9" a="1"/>
  <c r="AU6" i="9" s="1"/>
  <c r="Z22" i="9" a="1"/>
  <c r="Z22" i="9" s="1"/>
  <c r="AU34" i="9" a="1"/>
  <c r="AU34" i="9" s="1"/>
  <c r="W31" i="9" a="1"/>
  <c r="W31" i="9" s="1"/>
  <c r="Z13" i="9" a="1"/>
  <c r="Z13" i="9" s="1"/>
  <c r="AU15" i="9" a="1"/>
  <c r="AU15" i="9" s="1"/>
  <c r="Z44" i="9" a="1"/>
  <c r="Z44" i="9" s="1"/>
  <c r="AU8" i="9" a="1"/>
  <c r="AU8" i="9" s="1"/>
  <c r="Z5" i="9" a="1"/>
  <c r="Z5" i="9" s="1"/>
  <c r="AU38" i="9" a="1"/>
  <c r="AU38" i="9" s="1"/>
  <c r="Z29" i="9" a="1"/>
  <c r="Z29" i="9" s="1"/>
  <c r="AU51" i="9" a="1"/>
  <c r="AU51" i="9" s="1"/>
  <c r="W19" i="9" a="1"/>
  <c r="W19" i="9" s="1"/>
  <c r="Z24" i="9" a="1"/>
  <c r="Z24" i="9" s="1"/>
  <c r="AU10" i="9" a="1"/>
  <c r="AU10" i="9" s="1"/>
  <c r="W10" i="9" a="1"/>
  <c r="W10" i="9" s="1"/>
  <c r="C27" i="5" s="1" a="1"/>
  <c r="C27" i="5" s="1"/>
  <c r="W35" i="9" a="1"/>
  <c r="W35" i="9" s="1"/>
  <c r="Z32" i="9" a="1"/>
  <c r="Z32" i="9" s="1"/>
  <c r="AU5" i="9" a="1"/>
  <c r="AU5" i="9" s="1"/>
  <c r="Z42" i="9" a="1"/>
  <c r="Z42" i="9" s="1"/>
  <c r="AU28" i="9" a="1"/>
  <c r="AU28" i="9" s="1"/>
  <c r="Z45" i="9" a="1"/>
  <c r="Z45" i="9" s="1"/>
  <c r="AU43" i="9" a="1"/>
  <c r="AU43" i="9" s="1"/>
  <c r="Z7" i="9" a="1"/>
  <c r="Z7" i="9" s="1"/>
  <c r="AU35" i="9" a="1"/>
  <c r="AU35" i="9" s="1"/>
  <c r="Z17" i="9" a="1"/>
  <c r="Z17" i="9" s="1"/>
  <c r="AU27" i="9" a="1"/>
  <c r="AU27" i="9" s="1"/>
  <c r="Z27" i="9" a="1"/>
  <c r="Z27" i="9" s="1"/>
  <c r="AU37" i="9" a="1"/>
  <c r="AU37" i="9" s="1"/>
  <c r="AX5" i="9" a="1"/>
  <c r="AX5" i="9" s="1"/>
  <c r="AX6" i="9" a="1"/>
  <c r="AX6" i="9" s="1"/>
  <c r="Z12" i="9" a="1"/>
  <c r="Z12" i="9" s="1"/>
  <c r="AU9" i="9" a="1"/>
  <c r="AU9" i="9" s="1"/>
  <c r="Z34" i="9" a="1"/>
  <c r="Z34" i="9" s="1"/>
  <c r="AU39" i="9" a="1"/>
  <c r="AU39" i="9" s="1"/>
  <c r="Z8" i="9" a="1"/>
  <c r="Z8" i="9" s="1"/>
  <c r="AU32" i="9" a="1"/>
  <c r="AU32" i="9" s="1"/>
  <c r="W50" i="9" a="1"/>
  <c r="W50" i="9" s="1"/>
  <c r="W15" i="9" a="1"/>
  <c r="W15" i="9" s="1"/>
  <c r="C29" i="5" s="1" a="1"/>
  <c r="C29" i="5" s="1"/>
  <c r="Z37" i="9" a="1"/>
  <c r="Z37" i="9" s="1"/>
  <c r="AU17" i="9" a="1"/>
  <c r="AU17" i="9" s="1"/>
  <c r="Z48" i="9" a="1"/>
  <c r="Z48" i="9" s="1"/>
  <c r="AU7" i="9" a="1"/>
  <c r="AU7" i="9" s="1"/>
  <c r="Z9" i="9" a="1"/>
  <c r="Z9" i="9" s="1"/>
  <c r="AU40" i="9" a="1"/>
  <c r="AU40" i="9" s="1"/>
  <c r="W26" i="9" a="1"/>
  <c r="W26" i="9" s="1"/>
  <c r="Z51" i="9" a="1"/>
  <c r="Z51" i="9" s="1"/>
  <c r="AU33" i="9" a="1"/>
  <c r="AU33" i="9" s="1"/>
  <c r="Z39" i="9" a="1"/>
  <c r="Z39" i="9" s="1"/>
  <c r="AU25" i="9" a="1"/>
  <c r="AU25" i="9" s="1"/>
  <c r="Z11" i="9" a="1"/>
  <c r="Z11" i="9" s="1"/>
  <c r="AU21" i="9" a="1"/>
  <c r="AU21" i="9" s="1"/>
  <c r="Z14" i="9" a="1"/>
  <c r="Z14" i="9" s="1"/>
  <c r="AU50" i="9" a="1"/>
  <c r="AU50" i="9" s="1"/>
  <c r="Z41" i="9" a="1"/>
  <c r="Z41" i="9" s="1"/>
  <c r="AU30" i="9" a="1"/>
  <c r="AU30" i="9" s="1"/>
  <c r="Z30" i="9" a="1"/>
  <c r="Z30" i="9" s="1"/>
  <c r="AU11" i="9" a="1"/>
  <c r="AU11" i="9" s="1"/>
  <c r="Z18" i="9" a="1"/>
  <c r="Z18" i="9" s="1"/>
  <c r="AU29" i="9" a="1"/>
  <c r="AU29" i="9" s="1"/>
  <c r="W33" i="9" a="1"/>
  <c r="W33" i="9" s="1"/>
  <c r="Z6" i="9" a="1"/>
  <c r="Z6" i="9" s="1"/>
  <c r="AU24" i="9" a="1"/>
  <c r="AU24" i="9" s="1"/>
  <c r="Z23" i="9" a="1"/>
  <c r="Z23" i="9" s="1"/>
  <c r="AU23" i="9" a="1"/>
  <c r="AU23" i="9" s="1"/>
  <c r="Z20" i="9" a="1"/>
  <c r="Z20" i="9" s="1"/>
  <c r="AU12" i="9" a="1"/>
  <c r="AU12" i="9" s="1"/>
  <c r="Z16" i="9" a="1"/>
  <c r="Z16" i="9" s="1"/>
  <c r="AU19" i="9" a="1"/>
  <c r="AU19" i="9" s="1"/>
  <c r="W38" i="9" a="1"/>
  <c r="W38" i="9" s="1"/>
  <c r="Z21" i="9" a="1"/>
  <c r="Z21" i="9" s="1"/>
  <c r="AU49" i="9" a="1"/>
  <c r="AU49" i="9" s="1"/>
  <c r="I27" i="5" l="1" a="1"/>
  <c r="I27" i="5" s="1"/>
  <c r="H27" i="5" a="1"/>
  <c r="H27" i="5" s="1"/>
  <c r="G27" i="5" a="1"/>
  <c r="G27" i="5" s="1"/>
  <c r="J27" i="5" a="1"/>
  <c r="J27" i="5" s="1"/>
  <c r="D27" i="5" a="1"/>
  <c r="D27" i="5" s="1"/>
  <c r="F27" i="5" a="1"/>
  <c r="F27" i="5" s="1"/>
  <c r="E27" i="5" s="1" a="1"/>
  <c r="E27" i="5" s="1"/>
  <c r="K27" i="5" a="1"/>
  <c r="K27" i="5" s="1"/>
  <c r="I29" i="5" a="1"/>
  <c r="I29" i="5" s="1"/>
  <c r="H29" i="5" a="1"/>
  <c r="H29" i="5" s="1"/>
  <c r="G29" i="5" a="1"/>
  <c r="G29" i="5" s="1"/>
  <c r="J29" i="5" a="1"/>
  <c r="J29" i="5" s="1"/>
  <c r="D29" i="5" a="1"/>
  <c r="D29" i="5" s="1"/>
  <c r="F29" i="5" a="1"/>
  <c r="F29" i="5" s="1"/>
  <c r="K29" i="5" a="1"/>
  <c r="K29" i="5" s="1"/>
  <c r="BC5" i="9" a="1"/>
  <c r="BC5" i="9" s="1"/>
  <c r="BB5" i="9" a="1"/>
  <c r="BB5" i="9" s="1"/>
  <c r="BA5" i="9" a="1"/>
  <c r="BA5" i="9" s="1"/>
  <c r="AZ5" i="9" a="1"/>
  <c r="AZ5" i="9" s="1"/>
  <c r="AY5" i="9" a="1"/>
  <c r="AY5" i="9" s="1"/>
  <c r="BF5" i="9" s="1" a="1"/>
  <c r="BF5" i="9" s="1"/>
  <c r="C2" i="5" a="1"/>
  <c r="C2" i="5" s="1"/>
  <c r="C26" i="5" a="1"/>
  <c r="C26" i="5" s="1"/>
  <c r="C3" i="5" a="1"/>
  <c r="C3" i="5" s="1"/>
  <c r="C4" i="5" a="1"/>
  <c r="C4" i="5" s="1"/>
  <c r="C28" i="5" a="1"/>
  <c r="C28" i="5" s="1"/>
  <c r="C5" i="5" a="1"/>
  <c r="C5" i="5" s="1"/>
  <c r="BC4" i="9" a="1"/>
  <c r="BC4" i="9" s="1"/>
  <c r="BB4" i="9" a="1"/>
  <c r="BB4" i="9" s="1"/>
  <c r="BA4" i="9" a="1"/>
  <c r="BA4" i="9" s="1"/>
  <c r="AZ4" i="9" a="1"/>
  <c r="AZ4" i="9" s="1"/>
  <c r="BF4" i="9" s="1" a="1"/>
  <c r="BF4" i="9" s="1"/>
  <c r="AY4" i="9" a="1"/>
  <c r="AY4" i="9" s="1"/>
  <c r="Z38" i="9" a="1"/>
  <c r="Z38" i="9" s="1"/>
  <c r="AU46" i="9" a="1"/>
  <c r="AU46" i="9" s="1"/>
  <c r="Z35" i="9" a="1"/>
  <c r="Z35" i="9" s="1"/>
  <c r="AU14" i="9" a="1"/>
  <c r="AU14" i="9" s="1"/>
  <c r="Z10" i="9" a="1"/>
  <c r="Z10" i="9" s="1"/>
  <c r="AW22" i="9" s="1" a="1"/>
  <c r="AW22" i="9" s="1"/>
  <c r="AX22" i="9" s="1" a="1"/>
  <c r="AX22" i="9" s="1"/>
  <c r="S23" i="4" s="1" a="1"/>
  <c r="S23" i="4" s="1"/>
  <c r="G6" i="6" s="1" a="1"/>
  <c r="G6" i="6" s="1"/>
  <c r="AU45" i="9" a="1"/>
  <c r="AU45" i="9" s="1"/>
  <c r="BE6" i="9" a="1"/>
  <c r="BE6" i="9" s="1"/>
  <c r="BD6" i="9" s="1" a="1"/>
  <c r="BD6" i="9" s="1"/>
  <c r="C6" i="5" a="1"/>
  <c r="C6" i="5" s="1"/>
  <c r="C30" i="5" a="1"/>
  <c r="C30" i="5" s="1"/>
  <c r="C7" i="5" a="1"/>
  <c r="C7" i="5" s="1"/>
  <c r="C31" i="5" a="1"/>
  <c r="C31" i="5" s="1"/>
  <c r="Z49" i="9" a="1"/>
  <c r="Z49" i="9" s="1"/>
  <c r="AU13" i="9" a="1"/>
  <c r="AU13" i="9" s="1"/>
  <c r="Z15" i="9" a="1"/>
  <c r="Z15" i="9" s="1"/>
  <c r="AU36" i="9" a="1"/>
  <c r="AU36" i="9" s="1"/>
  <c r="Z31" i="9" a="1"/>
  <c r="Z31" i="9" s="1"/>
  <c r="AU31" i="9" a="1"/>
  <c r="AU31" i="9" s="1"/>
  <c r="C8" i="5" a="1"/>
  <c r="C8" i="5" s="1"/>
  <c r="C32" i="5" a="1"/>
  <c r="C32" i="5" s="1"/>
  <c r="C9" i="5" a="1"/>
  <c r="C9" i="5" s="1"/>
  <c r="C33" i="5" a="1"/>
  <c r="C33" i="5" s="1"/>
  <c r="Z28" i="9" a="1"/>
  <c r="Z28" i="9" s="1"/>
  <c r="AU42" i="9" a="1"/>
  <c r="AU42" i="9" s="1"/>
  <c r="Z50" i="9" a="1"/>
  <c r="Z50" i="9" s="1"/>
  <c r="AU41" i="9" a="1"/>
  <c r="AU41" i="9" s="1"/>
  <c r="C10" i="5" a="1"/>
  <c r="C10" i="5" s="1"/>
  <c r="C34" i="5" a="1"/>
  <c r="C34" i="5" s="1"/>
  <c r="C11" i="5" a="1"/>
  <c r="C11" i="5" s="1"/>
  <c r="C35" i="5" a="1"/>
  <c r="C35" i="5" s="1"/>
  <c r="Z33" i="9" a="1"/>
  <c r="Z33" i="9" s="1"/>
  <c r="AU48" i="9" a="1"/>
  <c r="AU48" i="9" s="1"/>
  <c r="Z19" i="9" a="1"/>
  <c r="Z19" i="9" s="1"/>
  <c r="AU22" i="9" a="1"/>
  <c r="AU22" i="9" s="1"/>
  <c r="C12" i="5" a="1"/>
  <c r="C12" i="5" s="1"/>
  <c r="C36" i="5" a="1"/>
  <c r="C36" i="5" s="1"/>
  <c r="C13" i="5" a="1"/>
  <c r="C13" i="5" s="1"/>
  <c r="C37" i="5" a="1"/>
  <c r="C37" i="5" s="1"/>
  <c r="C14" i="5" a="1"/>
  <c r="C14" i="5" s="1"/>
  <c r="C38" i="5" a="1"/>
  <c r="C38" i="5" s="1"/>
  <c r="C15" i="5" a="1"/>
  <c r="C15" i="5" s="1"/>
  <c r="C39" i="5" a="1"/>
  <c r="C39" i="5" s="1"/>
  <c r="C16" i="5" a="1"/>
  <c r="C16" i="5" s="1"/>
  <c r="C40" i="5" a="1"/>
  <c r="C40" i="5" s="1"/>
  <c r="C17" i="5" a="1"/>
  <c r="C17" i="5" s="1"/>
  <c r="C41" i="5" a="1"/>
  <c r="C41" i="5" s="1"/>
  <c r="AX14" i="9" a="1"/>
  <c r="AX14" i="9" s="1"/>
  <c r="BE5" i="9" a="1"/>
  <c r="BE5" i="9" s="1"/>
  <c r="BD5" i="9" s="1" a="1"/>
  <c r="BD5" i="9" s="1"/>
  <c r="AX10" i="9" a="1"/>
  <c r="AX10" i="9" s="1"/>
  <c r="C18" i="5" a="1"/>
  <c r="C18" i="5" s="1"/>
  <c r="C42" i="5" a="1"/>
  <c r="C42" i="5" s="1"/>
  <c r="C19" i="5" a="1"/>
  <c r="C19" i="5" s="1"/>
  <c r="C43" i="5" a="1"/>
  <c r="C43" i="5" s="1"/>
  <c r="Z26" i="9" a="1"/>
  <c r="Z26" i="9" s="1"/>
  <c r="AU26" i="9" a="1"/>
  <c r="AU26" i="9" s="1"/>
  <c r="C20" i="5" a="1"/>
  <c r="C20" i="5" s="1"/>
  <c r="C44" i="5" a="1"/>
  <c r="C44" i="5" s="1"/>
  <c r="C21" i="5" a="1"/>
  <c r="C21" i="5" s="1"/>
  <c r="C45" i="5" a="1"/>
  <c r="C45" i="5" s="1"/>
  <c r="BE4" i="9" a="1"/>
  <c r="BE4" i="9" s="1"/>
  <c r="BD4" i="9" s="1" a="1"/>
  <c r="BD4" i="9" s="1"/>
  <c r="C22" i="5" a="1"/>
  <c r="C22" i="5" s="1"/>
  <c r="C46" i="5" a="1"/>
  <c r="C46" i="5" s="1"/>
  <c r="C23" i="5" a="1"/>
  <c r="C23" i="5" s="1"/>
  <c r="C47" i="5" a="1"/>
  <c r="C47" i="5" s="1"/>
  <c r="BA6" i="9" a="1"/>
  <c r="BA6" i="9" s="1"/>
  <c r="BC6" i="9" a="1"/>
  <c r="BC6" i="9" s="1"/>
  <c r="BB6" i="9" a="1"/>
  <c r="BB6" i="9" s="1"/>
  <c r="AZ6" i="9" a="1"/>
  <c r="AZ6" i="9" s="1"/>
  <c r="AY6" i="9" a="1"/>
  <c r="AY6" i="9" s="1"/>
  <c r="BF6" i="9" s="1" a="1"/>
  <c r="BF6" i="9" s="1"/>
  <c r="C24" i="5" a="1"/>
  <c r="C24" i="5" s="1"/>
  <c r="C48" i="5" a="1"/>
  <c r="C48" i="5" s="1"/>
  <c r="C25" i="5" a="1"/>
  <c r="C25" i="5" s="1"/>
  <c r="C49" i="5" a="1"/>
  <c r="C49" i="5" s="1"/>
  <c r="I25" i="5" l="1" a="1"/>
  <c r="I25" i="5" s="1"/>
  <c r="H25" i="5" a="1"/>
  <c r="H25" i="5" s="1"/>
  <c r="G25" i="5" a="1"/>
  <c r="G25" i="5" s="1"/>
  <c r="J25" i="5" a="1"/>
  <c r="J25" i="5" s="1"/>
  <c r="D25" i="5" a="1"/>
  <c r="D25" i="5" s="1"/>
  <c r="F25" i="5" a="1"/>
  <c r="F25" i="5" s="1"/>
  <c r="E25" i="5" s="1" a="1"/>
  <c r="E25" i="5" s="1"/>
  <c r="K25" i="5" a="1"/>
  <c r="K25" i="5" s="1"/>
  <c r="F40" i="5" a="1"/>
  <c r="F40" i="5" s="1"/>
  <c r="K40" i="5" a="1"/>
  <c r="K40" i="5" s="1"/>
  <c r="J40" i="5" a="1"/>
  <c r="J40" i="5" s="1"/>
  <c r="D40" i="5" a="1"/>
  <c r="D40" i="5" s="1"/>
  <c r="G40" i="5" a="1"/>
  <c r="G40" i="5" s="1"/>
  <c r="I40" i="5" a="1"/>
  <c r="I40" i="5" s="1"/>
  <c r="H40" i="5" a="1"/>
  <c r="H40" i="5" s="1"/>
  <c r="I39" i="5" a="1"/>
  <c r="I39" i="5" s="1"/>
  <c r="H39" i="5" a="1"/>
  <c r="H39" i="5" s="1"/>
  <c r="G39" i="5" a="1"/>
  <c r="G39" i="5" s="1"/>
  <c r="J39" i="5" a="1"/>
  <c r="J39" i="5" s="1"/>
  <c r="D39" i="5" a="1"/>
  <c r="D39" i="5" s="1"/>
  <c r="F39" i="5" a="1"/>
  <c r="F39" i="5" s="1"/>
  <c r="E39" i="5" s="1" a="1"/>
  <c r="E39" i="5" s="1"/>
  <c r="K39" i="5" a="1"/>
  <c r="K39" i="5" s="1"/>
  <c r="I35" i="5" a="1"/>
  <c r="I35" i="5" s="1"/>
  <c r="H35" i="5" a="1"/>
  <c r="H35" i="5" s="1"/>
  <c r="G35" i="5" a="1"/>
  <c r="G35" i="5" s="1"/>
  <c r="J35" i="5" a="1"/>
  <c r="J35" i="5" s="1"/>
  <c r="D35" i="5" a="1"/>
  <c r="D35" i="5" s="1"/>
  <c r="F35" i="5" a="1"/>
  <c r="F35" i="5" s="1"/>
  <c r="K35" i="5" a="1"/>
  <c r="K35" i="5" s="1"/>
  <c r="F4" i="5" a="1"/>
  <c r="F4" i="5" s="1"/>
  <c r="K4" i="5" a="1"/>
  <c r="K4" i="5" s="1"/>
  <c r="J4" i="5" a="1"/>
  <c r="J4" i="5" s="1"/>
  <c r="D4" i="5" a="1"/>
  <c r="D4" i="5" s="1"/>
  <c r="G7" i="6" s="1" a="1"/>
  <c r="G7" i="6" s="1"/>
  <c r="G4" i="5" a="1"/>
  <c r="G4" i="5" s="1"/>
  <c r="I4" i="5" a="1"/>
  <c r="I4" i="5" s="1"/>
  <c r="H4" i="5" a="1"/>
  <c r="H4" i="5" s="1"/>
  <c r="I23" i="5" a="1"/>
  <c r="I23" i="5" s="1"/>
  <c r="H23" i="5" a="1"/>
  <c r="H23" i="5" s="1"/>
  <c r="G23" i="5" a="1"/>
  <c r="G23" i="5" s="1"/>
  <c r="J23" i="5" a="1"/>
  <c r="J23" i="5" s="1"/>
  <c r="D23" i="5" a="1"/>
  <c r="D23" i="5" s="1"/>
  <c r="F23" i="5" a="1"/>
  <c r="F23" i="5" s="1"/>
  <c r="E23" i="5" s="1" a="1"/>
  <c r="E23" i="5" s="1"/>
  <c r="K23" i="5" a="1"/>
  <c r="K23" i="5" s="1"/>
  <c r="I45" i="5" a="1"/>
  <c r="I45" i="5" s="1"/>
  <c r="H45" i="5" a="1"/>
  <c r="H45" i="5" s="1"/>
  <c r="G45" i="5" a="1"/>
  <c r="G45" i="5" s="1"/>
  <c r="J45" i="5" a="1"/>
  <c r="J45" i="5" s="1"/>
  <c r="D45" i="5" a="1"/>
  <c r="D45" i="5" s="1"/>
  <c r="F45" i="5" a="1"/>
  <c r="F45" i="5" s="1"/>
  <c r="K45" i="5" a="1"/>
  <c r="K45" i="5" s="1"/>
  <c r="I43" i="5" a="1"/>
  <c r="I43" i="5" s="1"/>
  <c r="H43" i="5" a="1"/>
  <c r="H43" i="5" s="1"/>
  <c r="G43" i="5" a="1"/>
  <c r="G43" i="5" s="1"/>
  <c r="J43" i="5" a="1"/>
  <c r="J43" i="5" s="1"/>
  <c r="D43" i="5" a="1"/>
  <c r="D43" i="5" s="1"/>
  <c r="F43" i="5" a="1"/>
  <c r="F43" i="5" s="1"/>
  <c r="E43" i="5" s="1" a="1"/>
  <c r="E43" i="5" s="1"/>
  <c r="K43" i="5" a="1"/>
  <c r="K43" i="5" s="1"/>
  <c r="I15" i="5" a="1"/>
  <c r="I15" i="5" s="1"/>
  <c r="H15" i="5" a="1"/>
  <c r="H15" i="5" s="1"/>
  <c r="G15" i="5" a="1"/>
  <c r="G15" i="5" s="1"/>
  <c r="J15" i="5" a="1"/>
  <c r="J15" i="5" s="1"/>
  <c r="D15" i="5" a="1"/>
  <c r="D15" i="5" s="1"/>
  <c r="F15" i="5" a="1"/>
  <c r="F15" i="5" s="1"/>
  <c r="K15" i="5" a="1"/>
  <c r="K15" i="5" s="1"/>
  <c r="I11" i="5" a="1"/>
  <c r="I11" i="5" s="1"/>
  <c r="H11" i="5" a="1"/>
  <c r="H11" i="5" s="1"/>
  <c r="G11" i="5" a="1"/>
  <c r="G11" i="5" s="1"/>
  <c r="J11" i="5" a="1"/>
  <c r="J11" i="5" s="1"/>
  <c r="D11" i="5" a="1"/>
  <c r="D11" i="5" s="1"/>
  <c r="F11" i="5" a="1"/>
  <c r="F11" i="5" s="1"/>
  <c r="E11" i="5" s="1" a="1"/>
  <c r="E11" i="5" s="1"/>
  <c r="K11" i="5" a="1"/>
  <c r="K11" i="5" s="1"/>
  <c r="F46" i="5" a="1"/>
  <c r="F46" i="5" s="1"/>
  <c r="E46" i="5" s="1" a="1"/>
  <c r="E46" i="5" s="1"/>
  <c r="K46" i="5" a="1"/>
  <c r="K46" i="5" s="1"/>
  <c r="J46" i="5" a="1"/>
  <c r="J46" i="5" s="1"/>
  <c r="D46" i="5" a="1"/>
  <c r="D46" i="5" s="1"/>
  <c r="G46" i="5" a="1"/>
  <c r="G46" i="5" s="1"/>
  <c r="I46" i="5" a="1"/>
  <c r="I46" i="5" s="1"/>
  <c r="H46" i="5" a="1"/>
  <c r="H46" i="5" s="1"/>
  <c r="I47" i="5" a="1"/>
  <c r="I47" i="5" s="1"/>
  <c r="H47" i="5" a="1"/>
  <c r="H47" i="5" s="1"/>
  <c r="G47" i="5" a="1"/>
  <c r="G47" i="5" s="1"/>
  <c r="J47" i="5" a="1"/>
  <c r="J47" i="5" s="1"/>
  <c r="D47" i="5" a="1"/>
  <c r="D47" i="5" s="1"/>
  <c r="F47" i="5" a="1"/>
  <c r="F47" i="5" s="1"/>
  <c r="K47" i="5" a="1"/>
  <c r="K47" i="5" s="1"/>
  <c r="I19" i="5" a="1"/>
  <c r="I19" i="5" s="1"/>
  <c r="H19" i="5" a="1"/>
  <c r="H19" i="5" s="1"/>
  <c r="G19" i="5" a="1"/>
  <c r="G19" i="5" s="1"/>
  <c r="J19" i="5" a="1"/>
  <c r="J19" i="5" s="1"/>
  <c r="D19" i="5" a="1"/>
  <c r="D19" i="5" s="1"/>
  <c r="F19" i="5" a="1"/>
  <c r="F19" i="5" s="1"/>
  <c r="E19" i="5" s="1" a="1"/>
  <c r="E19" i="5" s="1"/>
  <c r="K19" i="5" a="1"/>
  <c r="K19" i="5" s="1"/>
  <c r="F38" i="5" a="1"/>
  <c r="F38" i="5" s="1"/>
  <c r="E38" i="5" s="1" a="1"/>
  <c r="E38" i="5" s="1"/>
  <c r="K38" i="5" a="1"/>
  <c r="K38" i="5" s="1"/>
  <c r="J38" i="5" a="1"/>
  <c r="J38" i="5" s="1"/>
  <c r="D38" i="5" a="1"/>
  <c r="D38" i="5" s="1"/>
  <c r="G38" i="5" a="1"/>
  <c r="G38" i="5" s="1"/>
  <c r="I38" i="5" a="1"/>
  <c r="I38" i="5" s="1"/>
  <c r="H38" i="5" a="1"/>
  <c r="H38" i="5" s="1"/>
  <c r="F34" i="5" a="1"/>
  <c r="F34" i="5" s="1"/>
  <c r="K34" i="5" a="1"/>
  <c r="K34" i="5" s="1"/>
  <c r="J34" i="5" a="1"/>
  <c r="J34" i="5" s="1"/>
  <c r="D34" i="5" a="1"/>
  <c r="D34" i="5" s="1"/>
  <c r="G34" i="5" a="1"/>
  <c r="G34" i="5" s="1"/>
  <c r="I34" i="5" a="1"/>
  <c r="I34" i="5" s="1"/>
  <c r="H34" i="5" a="1"/>
  <c r="H34" i="5" s="1"/>
  <c r="I3" i="5" a="1"/>
  <c r="I3" i="5" s="1"/>
  <c r="H3" i="5" a="1"/>
  <c r="H3" i="5" s="1"/>
  <c r="G3" i="5" a="1"/>
  <c r="G3" i="5" s="1"/>
  <c r="J3" i="5" a="1"/>
  <c r="J3" i="5" s="1"/>
  <c r="D3" i="5" a="1"/>
  <c r="D3" i="5" s="1"/>
  <c r="G9" i="6" s="1" a="1"/>
  <c r="G9" i="6" s="1"/>
  <c r="F3" i="5" a="1"/>
  <c r="F3" i="5" s="1"/>
  <c r="K3" i="5" a="1"/>
  <c r="K3" i="5" s="1"/>
  <c r="F14" i="5" a="1"/>
  <c r="F14" i="5" s="1"/>
  <c r="E14" i="5" s="1" a="1"/>
  <c r="E14" i="5" s="1"/>
  <c r="K14" i="5" a="1"/>
  <c r="K14" i="5" s="1"/>
  <c r="J14" i="5" a="1"/>
  <c r="J14" i="5" s="1"/>
  <c r="D14" i="5" a="1"/>
  <c r="D14" i="5" s="1"/>
  <c r="G14" i="5" a="1"/>
  <c r="G14" i="5" s="1"/>
  <c r="I14" i="5" a="1"/>
  <c r="I14" i="5" s="1"/>
  <c r="H14" i="5" a="1"/>
  <c r="H14" i="5" s="1"/>
  <c r="F10" i="5" a="1"/>
  <c r="F10" i="5" s="1"/>
  <c r="E10" i="5" s="1" a="1"/>
  <c r="E10" i="5" s="1"/>
  <c r="K10" i="5" a="1"/>
  <c r="K10" i="5" s="1"/>
  <c r="J10" i="5" a="1"/>
  <c r="J10" i="5" s="1"/>
  <c r="D10" i="5" a="1"/>
  <c r="D10" i="5" s="1"/>
  <c r="G10" i="5" a="1"/>
  <c r="G10" i="5" s="1"/>
  <c r="I10" i="5" a="1"/>
  <c r="I10" i="5" s="1"/>
  <c r="H10" i="5" a="1"/>
  <c r="H10" i="5" s="1"/>
  <c r="F26" i="5" a="1"/>
  <c r="F26" i="5" s="1"/>
  <c r="E26" i="5" s="1" a="1"/>
  <c r="E26" i="5" s="1"/>
  <c r="K26" i="5" a="1"/>
  <c r="K26" i="5" s="1"/>
  <c r="J26" i="5" a="1"/>
  <c r="J26" i="5" s="1"/>
  <c r="D26" i="5" a="1"/>
  <c r="D26" i="5" s="1"/>
  <c r="G26" i="5" a="1"/>
  <c r="G26" i="5" s="1"/>
  <c r="I26" i="5" a="1"/>
  <c r="I26" i="5" s="1"/>
  <c r="H26" i="5" a="1"/>
  <c r="H26" i="5" s="1"/>
  <c r="F18" i="5" a="1"/>
  <c r="F18" i="5" s="1"/>
  <c r="K18" i="5" a="1"/>
  <c r="K18" i="5" s="1"/>
  <c r="J18" i="5" a="1"/>
  <c r="J18" i="5" s="1"/>
  <c r="D18" i="5" a="1"/>
  <c r="D18" i="5" s="1"/>
  <c r="G18" i="5" a="1"/>
  <c r="G18" i="5" s="1"/>
  <c r="I18" i="5" a="1"/>
  <c r="I18" i="5" s="1"/>
  <c r="H18" i="5" a="1"/>
  <c r="H18" i="5" s="1"/>
  <c r="I37" i="5" a="1"/>
  <c r="I37" i="5" s="1"/>
  <c r="H37" i="5" a="1"/>
  <c r="H37" i="5" s="1"/>
  <c r="G37" i="5" a="1"/>
  <c r="G37" i="5" s="1"/>
  <c r="J37" i="5" a="1"/>
  <c r="J37" i="5" s="1"/>
  <c r="D37" i="5" a="1"/>
  <c r="D37" i="5" s="1"/>
  <c r="F37" i="5" a="1"/>
  <c r="F37" i="5" s="1"/>
  <c r="E37" i="5" s="1" a="1"/>
  <c r="E37" i="5" s="1"/>
  <c r="K37" i="5" a="1"/>
  <c r="K37" i="5" s="1"/>
  <c r="F2" i="5" a="1"/>
  <c r="F2" i="5" s="1"/>
  <c r="K2" i="5" a="1"/>
  <c r="K2" i="5" s="1"/>
  <c r="J2" i="5" a="1"/>
  <c r="J2" i="5" s="1"/>
  <c r="D2" i="5" a="1"/>
  <c r="D2" i="5" s="1"/>
  <c r="G2" i="5" a="1"/>
  <c r="G2" i="5" s="1"/>
  <c r="I2" i="5" a="1"/>
  <c r="I2" i="5" s="1"/>
  <c r="H2" i="5" a="1"/>
  <c r="H2" i="5" s="1"/>
  <c r="I49" i="5" a="1"/>
  <c r="I49" i="5" s="1"/>
  <c r="H49" i="5" a="1"/>
  <c r="H49" i="5" s="1"/>
  <c r="G49" i="5" a="1"/>
  <c r="G49" i="5" s="1"/>
  <c r="J49" i="5" a="1"/>
  <c r="J49" i="5" s="1"/>
  <c r="D49" i="5" a="1"/>
  <c r="D49" i="5" s="1"/>
  <c r="F49" i="5" a="1"/>
  <c r="F49" i="5" s="1"/>
  <c r="E49" i="5" s="1" a="1"/>
  <c r="E49" i="5" s="1"/>
  <c r="K49" i="5" a="1"/>
  <c r="K49" i="5" s="1"/>
  <c r="F22" i="5" a="1"/>
  <c r="F22" i="5" s="1"/>
  <c r="E22" i="5" s="1" a="1"/>
  <c r="E22" i="5" s="1"/>
  <c r="K22" i="5" a="1"/>
  <c r="K22" i="5" s="1"/>
  <c r="J22" i="5" a="1"/>
  <c r="J22" i="5" s="1"/>
  <c r="D22" i="5" a="1"/>
  <c r="D22" i="5" s="1"/>
  <c r="G22" i="5" a="1"/>
  <c r="G22" i="5" s="1"/>
  <c r="I22" i="5" a="1"/>
  <c r="I22" i="5" s="1"/>
  <c r="H22" i="5" a="1"/>
  <c r="H22" i="5" s="1"/>
  <c r="AX11" i="9" a="1"/>
  <c r="AX11" i="9" s="1"/>
  <c r="AX9" i="9" a="1"/>
  <c r="AX9" i="9" s="1"/>
  <c r="I13" i="5" a="1"/>
  <c r="I13" i="5" s="1"/>
  <c r="H13" i="5" a="1"/>
  <c r="H13" i="5" s="1"/>
  <c r="G13" i="5" a="1"/>
  <c r="G13" i="5" s="1"/>
  <c r="J13" i="5" a="1"/>
  <c r="J13" i="5" s="1"/>
  <c r="D13" i="5" a="1"/>
  <c r="D13" i="5" s="1"/>
  <c r="F13" i="5" a="1"/>
  <c r="F13" i="5" s="1"/>
  <c r="E13" i="5" s="1" a="1"/>
  <c r="E13" i="5" s="1"/>
  <c r="K13" i="5" a="1"/>
  <c r="K13" i="5" s="1"/>
  <c r="I31" i="5" a="1"/>
  <c r="I31" i="5" s="1"/>
  <c r="H31" i="5" a="1"/>
  <c r="H31" i="5" s="1"/>
  <c r="G31" i="5" a="1"/>
  <c r="G31" i="5" s="1"/>
  <c r="J31" i="5" a="1"/>
  <c r="J31" i="5" s="1"/>
  <c r="D31" i="5" a="1"/>
  <c r="D31" i="5" s="1"/>
  <c r="F31" i="5" a="1"/>
  <c r="F31" i="5" s="1"/>
  <c r="K31" i="5" a="1"/>
  <c r="K31" i="5" s="1"/>
  <c r="BF7" i="9" a="1"/>
  <c r="BF7" i="9" s="1"/>
  <c r="BD7" i="9" s="1" a="1"/>
  <c r="BD7" i="9" s="1"/>
  <c r="S20" i="4" s="1" a="1"/>
  <c r="S20" i="4" s="1"/>
  <c r="G3" i="6" s="1" a="1"/>
  <c r="G3" i="6" s="1"/>
  <c r="AX13" i="9" a="1"/>
  <c r="AX13" i="9" s="1"/>
  <c r="AX15" i="9" a="1"/>
  <c r="AX15" i="9" s="1"/>
  <c r="AY15" i="9" s="1" a="1"/>
  <c r="AY15" i="9" s="1"/>
  <c r="F12" i="5" a="1"/>
  <c r="F12" i="5" s="1"/>
  <c r="E12" i="5" s="1" a="1"/>
  <c r="E12" i="5" s="1"/>
  <c r="K12" i="5" a="1"/>
  <c r="K12" i="5" s="1"/>
  <c r="J12" i="5" a="1"/>
  <c r="J12" i="5" s="1"/>
  <c r="D12" i="5" a="1"/>
  <c r="D12" i="5" s="1"/>
  <c r="G12" i="5" a="1"/>
  <c r="G12" i="5" s="1"/>
  <c r="I12" i="5" a="1"/>
  <c r="I12" i="5" s="1"/>
  <c r="H12" i="5" a="1"/>
  <c r="H12" i="5" s="1"/>
  <c r="I7" i="5" a="1"/>
  <c r="I7" i="5" s="1"/>
  <c r="H7" i="5" a="1"/>
  <c r="H7" i="5" s="1"/>
  <c r="G7" i="5" a="1"/>
  <c r="G7" i="5" s="1"/>
  <c r="J7" i="5" a="1"/>
  <c r="J7" i="5" s="1"/>
  <c r="D7" i="5" a="1"/>
  <c r="D7" i="5" s="1"/>
  <c r="F7" i="5" a="1"/>
  <c r="F7" i="5" s="1"/>
  <c r="K7" i="5" a="1"/>
  <c r="K7" i="5" s="1"/>
  <c r="F24" i="5" a="1"/>
  <c r="F24" i="5" s="1"/>
  <c r="K24" i="5" a="1"/>
  <c r="K24" i="5" s="1"/>
  <c r="J24" i="5" a="1"/>
  <c r="J24" i="5" s="1"/>
  <c r="D24" i="5" a="1"/>
  <c r="D24" i="5" s="1"/>
  <c r="G24" i="5" a="1"/>
  <c r="G24" i="5" s="1"/>
  <c r="I24" i="5" a="1"/>
  <c r="I24" i="5" s="1"/>
  <c r="H24" i="5" a="1"/>
  <c r="H24" i="5" s="1"/>
  <c r="I33" i="5" a="1"/>
  <c r="I33" i="5" s="1"/>
  <c r="H33" i="5" a="1"/>
  <c r="H33" i="5" s="1"/>
  <c r="G33" i="5" a="1"/>
  <c r="G33" i="5" s="1"/>
  <c r="J33" i="5" a="1"/>
  <c r="J33" i="5" s="1"/>
  <c r="D33" i="5" a="1"/>
  <c r="D33" i="5" s="1"/>
  <c r="F33" i="5" a="1"/>
  <c r="F33" i="5" s="1"/>
  <c r="K33" i="5" a="1"/>
  <c r="K33" i="5" s="1"/>
  <c r="F30" i="5" a="1"/>
  <c r="F30" i="5" s="1"/>
  <c r="K30" i="5" a="1"/>
  <c r="K30" i="5" s="1"/>
  <c r="J30" i="5" a="1"/>
  <c r="J30" i="5" s="1"/>
  <c r="D30" i="5" a="1"/>
  <c r="D30" i="5" s="1"/>
  <c r="G30" i="5" a="1"/>
  <c r="G30" i="5" s="1"/>
  <c r="I30" i="5" a="1"/>
  <c r="I30" i="5" s="1"/>
  <c r="H30" i="5" a="1"/>
  <c r="H30" i="5" s="1"/>
  <c r="F42" i="5" a="1"/>
  <c r="F42" i="5" s="1"/>
  <c r="E42" i="5" s="1" a="1"/>
  <c r="E42" i="5" s="1"/>
  <c r="K42" i="5" a="1"/>
  <c r="K42" i="5" s="1"/>
  <c r="J42" i="5" a="1"/>
  <c r="J42" i="5" s="1"/>
  <c r="D42" i="5" a="1"/>
  <c r="D42" i="5" s="1"/>
  <c r="G42" i="5" a="1"/>
  <c r="G42" i="5" s="1"/>
  <c r="I42" i="5" a="1"/>
  <c r="I42" i="5" s="1"/>
  <c r="H42" i="5" a="1"/>
  <c r="H42" i="5" s="1"/>
  <c r="F48" i="5" a="1"/>
  <c r="F48" i="5" s="1"/>
  <c r="K48" i="5" a="1"/>
  <c r="K48" i="5" s="1"/>
  <c r="J48" i="5" a="1"/>
  <c r="J48" i="5" s="1"/>
  <c r="D48" i="5" a="1"/>
  <c r="D48" i="5" s="1"/>
  <c r="G48" i="5" a="1"/>
  <c r="G48" i="5" s="1"/>
  <c r="I48" i="5" a="1"/>
  <c r="I48" i="5" s="1"/>
  <c r="H48" i="5" a="1"/>
  <c r="H48" i="5" s="1"/>
  <c r="I21" i="5" a="1"/>
  <c r="I21" i="5" s="1"/>
  <c r="H21" i="5" a="1"/>
  <c r="H21" i="5" s="1"/>
  <c r="G21" i="5" a="1"/>
  <c r="G21" i="5" s="1"/>
  <c r="J21" i="5" a="1"/>
  <c r="J21" i="5" s="1"/>
  <c r="D21" i="5" a="1"/>
  <c r="D21" i="5" s="1"/>
  <c r="F21" i="5" a="1"/>
  <c r="F21" i="5" s="1"/>
  <c r="E21" i="5" s="1" a="1"/>
  <c r="E21" i="5" s="1"/>
  <c r="K21" i="5" a="1"/>
  <c r="K21" i="5" s="1"/>
  <c r="I41" i="5" a="1"/>
  <c r="I41" i="5" s="1"/>
  <c r="H41" i="5" a="1"/>
  <c r="H41" i="5" s="1"/>
  <c r="G41" i="5" a="1"/>
  <c r="G41" i="5" s="1"/>
  <c r="J41" i="5" a="1"/>
  <c r="J41" i="5" s="1"/>
  <c r="D41" i="5" a="1"/>
  <c r="D41" i="5" s="1"/>
  <c r="F41" i="5" a="1"/>
  <c r="F41" i="5" s="1"/>
  <c r="K41" i="5" a="1"/>
  <c r="K41" i="5" s="1"/>
  <c r="F44" i="5" a="1"/>
  <c r="F44" i="5" s="1"/>
  <c r="K44" i="5" a="1"/>
  <c r="K44" i="5" s="1"/>
  <c r="J44" i="5" a="1"/>
  <c r="J44" i="5" s="1"/>
  <c r="D44" i="5" a="1"/>
  <c r="D44" i="5" s="1"/>
  <c r="G44" i="5" a="1"/>
  <c r="G44" i="5" s="1"/>
  <c r="I44" i="5" a="1"/>
  <c r="I44" i="5" s="1"/>
  <c r="H44" i="5" a="1"/>
  <c r="H44" i="5" s="1"/>
  <c r="I17" i="5" a="1"/>
  <c r="I17" i="5" s="1"/>
  <c r="H17" i="5" a="1"/>
  <c r="H17" i="5" s="1"/>
  <c r="G17" i="5" a="1"/>
  <c r="G17" i="5" s="1"/>
  <c r="J17" i="5" a="1"/>
  <c r="J17" i="5" s="1"/>
  <c r="D17" i="5" a="1"/>
  <c r="D17" i="5" s="1"/>
  <c r="F17" i="5" a="1"/>
  <c r="F17" i="5" s="1"/>
  <c r="K17" i="5" a="1"/>
  <c r="K17" i="5" s="1"/>
  <c r="I9" i="5" a="1"/>
  <c r="I9" i="5" s="1"/>
  <c r="H9" i="5" a="1"/>
  <c r="H9" i="5" s="1"/>
  <c r="G9" i="5" a="1"/>
  <c r="G9" i="5" s="1"/>
  <c r="J9" i="5" a="1"/>
  <c r="J9" i="5" s="1"/>
  <c r="D9" i="5" a="1"/>
  <c r="D9" i="5" s="1"/>
  <c r="F9" i="5" a="1"/>
  <c r="F9" i="5" s="1"/>
  <c r="E9" i="5" s="1" a="1"/>
  <c r="E9" i="5" s="1"/>
  <c r="K9" i="5" a="1"/>
  <c r="K9" i="5" s="1"/>
  <c r="F6" i="5" a="1"/>
  <c r="F6" i="5" s="1"/>
  <c r="E6" i="5" s="1" a="1"/>
  <c r="E6" i="5" s="1"/>
  <c r="K6" i="5" a="1"/>
  <c r="K6" i="5" s="1"/>
  <c r="J6" i="5" a="1"/>
  <c r="J6" i="5" s="1"/>
  <c r="D6" i="5" a="1"/>
  <c r="D6" i="5" s="1"/>
  <c r="G6" i="5" a="1"/>
  <c r="G6" i="5" s="1"/>
  <c r="I6" i="5" a="1"/>
  <c r="I6" i="5" s="1"/>
  <c r="H6" i="5" a="1"/>
  <c r="H6" i="5" s="1"/>
  <c r="F20" i="5" a="1"/>
  <c r="F20" i="5" s="1"/>
  <c r="K20" i="5" a="1"/>
  <c r="K20" i="5" s="1"/>
  <c r="J20" i="5" a="1"/>
  <c r="J20" i="5" s="1"/>
  <c r="D20" i="5" a="1"/>
  <c r="D20" i="5" s="1"/>
  <c r="G20" i="5" a="1"/>
  <c r="G20" i="5" s="1"/>
  <c r="I20" i="5" a="1"/>
  <c r="I20" i="5" s="1"/>
  <c r="H20" i="5" a="1"/>
  <c r="H20" i="5" s="1"/>
  <c r="F32" i="5" a="1"/>
  <c r="F32" i="5" s="1"/>
  <c r="K32" i="5" a="1"/>
  <c r="K32" i="5" s="1"/>
  <c r="J32" i="5" a="1"/>
  <c r="J32" i="5" s="1"/>
  <c r="D32" i="5" a="1"/>
  <c r="D32" i="5" s="1"/>
  <c r="G32" i="5" a="1"/>
  <c r="G32" i="5" s="1"/>
  <c r="I32" i="5" a="1"/>
  <c r="I32" i="5" s="1"/>
  <c r="H32" i="5" a="1"/>
  <c r="H32" i="5" s="1"/>
  <c r="I5" i="5" a="1"/>
  <c r="I5" i="5" s="1"/>
  <c r="H5" i="5" a="1"/>
  <c r="H5" i="5" s="1"/>
  <c r="G5" i="5" a="1"/>
  <c r="G5" i="5" s="1"/>
  <c r="J5" i="5" a="1"/>
  <c r="J5" i="5" s="1"/>
  <c r="D5" i="5" a="1"/>
  <c r="D5" i="5" s="1"/>
  <c r="G10" i="6" s="1" a="1"/>
  <c r="G10" i="6" s="1"/>
  <c r="F5" i="5" a="1"/>
  <c r="F5" i="5" s="1"/>
  <c r="K5" i="5" a="1"/>
  <c r="K5" i="5" s="1"/>
  <c r="F36" i="5" a="1"/>
  <c r="F36" i="5" s="1"/>
  <c r="K36" i="5" a="1"/>
  <c r="K36" i="5" s="1"/>
  <c r="J36" i="5" a="1"/>
  <c r="J36" i="5" s="1"/>
  <c r="D36" i="5" a="1"/>
  <c r="D36" i="5" s="1"/>
  <c r="G36" i="5" a="1"/>
  <c r="G36" i="5" s="1"/>
  <c r="I36" i="5" a="1"/>
  <c r="I36" i="5" s="1"/>
  <c r="H36" i="5" a="1"/>
  <c r="H36" i="5" s="1"/>
  <c r="F16" i="5" a="1"/>
  <c r="F16" i="5" s="1"/>
  <c r="E16" i="5" s="1" a="1"/>
  <c r="E16" i="5" s="1"/>
  <c r="K16" i="5" a="1"/>
  <c r="K16" i="5" s="1"/>
  <c r="J16" i="5" a="1"/>
  <c r="J16" i="5" s="1"/>
  <c r="D16" i="5" a="1"/>
  <c r="D16" i="5" s="1"/>
  <c r="G16" i="5" a="1"/>
  <c r="G16" i="5" s="1"/>
  <c r="I16" i="5" a="1"/>
  <c r="I16" i="5" s="1"/>
  <c r="H16" i="5" a="1"/>
  <c r="H16" i="5" s="1"/>
  <c r="F8" i="5" a="1"/>
  <c r="F8" i="5" s="1"/>
  <c r="K8" i="5" a="1"/>
  <c r="K8" i="5" s="1"/>
  <c r="J8" i="5" a="1"/>
  <c r="J8" i="5" s="1"/>
  <c r="D8" i="5" a="1"/>
  <c r="D8" i="5" s="1"/>
  <c r="G8" i="5" a="1"/>
  <c r="G8" i="5" s="1"/>
  <c r="I8" i="5" a="1"/>
  <c r="I8" i="5" s="1"/>
  <c r="H8" i="5" a="1"/>
  <c r="H8" i="5" s="1"/>
  <c r="F28" i="5" a="1"/>
  <c r="F28" i="5" s="1"/>
  <c r="E28" i="5" s="1" a="1"/>
  <c r="E28" i="5" s="1"/>
  <c r="K28" i="5" a="1"/>
  <c r="K28" i="5" s="1"/>
  <c r="J28" i="5" a="1"/>
  <c r="J28" i="5" s="1"/>
  <c r="D28" i="5" a="1"/>
  <c r="D28" i="5" s="1"/>
  <c r="G28" i="5" a="1"/>
  <c r="G28" i="5" s="1"/>
  <c r="I28" i="5" a="1"/>
  <c r="I28" i="5" s="1"/>
  <c r="H28" i="5" a="1"/>
  <c r="H28" i="5" s="1"/>
  <c r="E29" i="5" a="1"/>
  <c r="E29" i="5" s="1"/>
  <c r="E36" i="5" l="1" a="1"/>
  <c r="E36" i="5" s="1"/>
  <c r="E30" i="5" a="1"/>
  <c r="E30" i="5" s="1"/>
  <c r="E45" i="5" a="1"/>
  <c r="E45" i="5" s="1"/>
  <c r="E17" i="5" a="1"/>
  <c r="E17" i="5" s="1"/>
  <c r="E44" i="5" a="1"/>
  <c r="E44" i="5" s="1"/>
  <c r="E47" i="5" a="1"/>
  <c r="E47" i="5" s="1"/>
  <c r="E5" i="5" a="1"/>
  <c r="E5" i="5" s="1"/>
  <c r="E32" i="5" a="1"/>
  <c r="E32" i="5" s="1"/>
  <c r="E33" i="5" a="1"/>
  <c r="E33" i="5" s="1"/>
  <c r="E24" i="5" a="1"/>
  <c r="E24" i="5" s="1"/>
  <c r="E41" i="5" a="1"/>
  <c r="E41" i="5" s="1"/>
  <c r="E7" i="5" a="1"/>
  <c r="E7" i="5" s="1"/>
  <c r="E40" i="5" a="1"/>
  <c r="E40" i="5" s="1"/>
  <c r="B12" i="10" a="1"/>
  <c r="B12" i="10" s="1"/>
  <c r="G8" i="6" a="1"/>
  <c r="G8" i="6" s="1"/>
  <c r="O25" i="4" a="1"/>
  <c r="O25" i="4" s="1"/>
  <c r="E4" i="5" a="1"/>
  <c r="E4" i="5" s="1"/>
  <c r="E2" i="5" a="1"/>
  <c r="E2" i="5" s="1"/>
  <c r="E20" i="5" a="1"/>
  <c r="E20" i="5" s="1"/>
  <c r="E31" i="5" a="1"/>
  <c r="E31" i="5" s="1"/>
  <c r="E3" i="5" a="1"/>
  <c r="E3" i="5" s="1"/>
  <c r="E34" i="5" a="1"/>
  <c r="E34" i="5" s="1"/>
  <c r="E35" i="5" a="1"/>
  <c r="E35" i="5" s="1"/>
  <c r="E18" i="5" a="1"/>
  <c r="E18" i="5" s="1"/>
  <c r="E15" i="5" a="1"/>
  <c r="E15" i="5" s="1"/>
  <c r="E8" i="5" a="1"/>
  <c r="E8" i="5" s="1"/>
  <c r="E48" i="5" a="1"/>
  <c r="E48" i="5" s="1"/>
  <c r="AY11" i="9" a="1"/>
  <c r="AY11" i="9" s="1"/>
  <c r="AY17" i="9" s="1" a="1"/>
  <c r="AY17" i="9" s="1"/>
  <c r="S21" i="4" s="1" a="1"/>
  <c r="S21" i="4" s="1"/>
  <c r="G4" i="6" s="1" a="1"/>
  <c r="G4"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5" authorId="0" shapeId="0" xr:uid="{00000000-0006-0000-0000-000001000000}">
      <text>
        <r>
          <rPr>
            <sz val="11"/>
            <color indexed="8"/>
            <rFont val="Helvetica Neue"/>
          </rPr>
          <t>Author:
al 1/4/2026</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<sst xmlns="http://schemas.openxmlformats.org/spreadsheetml/2006/main" count="5998" uniqueCount="867">
  <si>
    <t>Ptos</t>
  </si>
  <si>
    <t>Qty</t>
  </si>
  <si>
    <t>Max</t>
  </si>
  <si>
    <t>Penalidades</t>
  </si>
  <si>
    <t>Fase de Grupos</t>
  </si>
  <si>
    <t>Ganador</t>
  </si>
  <si>
    <t>Revelación se queda en grupos</t>
  </si>
  <si>
    <t>Resultado exacto</t>
  </si>
  <si>
    <t>Campeón no llega a 4tos</t>
  </si>
  <si>
    <t>16vos</t>
  </si>
  <si>
    <t>Peor pasa grupos</t>
  </si>
  <si>
    <t>Fase Playoffs</t>
  </si>
  <si>
    <t>8vos</t>
  </si>
  <si>
    <t>Decepción llega a Semis</t>
  </si>
  <si>
    <t>4tos</t>
  </si>
  <si>
    <t>semis</t>
  </si>
  <si>
    <t>Final</t>
  </si>
  <si>
    <t>Habrá Jugadores 4 ganadores, con 4 premios</t>
  </si>
  <si>
    <t>3ero</t>
  </si>
  <si>
    <t>1er puesto general</t>
  </si>
  <si>
    <t>Campeón</t>
  </si>
  <si>
    <t>2do puesto general</t>
  </si>
  <si>
    <t>Puntos Extra</t>
  </si>
  <si>
    <t>Figura</t>
  </si>
  <si>
    <t>3er puesto general</t>
  </si>
  <si>
    <t>Goleador</t>
  </si>
  <si>
    <t>Mejor en Resultados Grupos</t>
  </si>
  <si>
    <t>Revelación</t>
  </si>
  <si>
    <t>Decepción</t>
  </si>
  <si>
    <r>
      <rPr>
        <sz val="11"/>
        <color indexed="8"/>
        <rFont val="Arial"/>
      </rPr>
      <t xml:space="preserve">El premio del </t>
    </r>
    <r>
      <rPr>
        <b/>
        <i/>
        <sz val="11"/>
        <color indexed="8"/>
        <rFont val="Arial"/>
      </rPr>
      <t>3er puesto</t>
    </r>
    <r>
      <rPr>
        <sz val="11"/>
        <color indexed="8"/>
        <rFont val="Arial"/>
      </rPr>
      <t xml:space="preserve"> será equivalente al del </t>
    </r>
    <r>
      <rPr>
        <b/>
        <i/>
        <sz val="11"/>
        <color indexed="8"/>
        <rFont val="Arial"/>
      </rPr>
      <t>Mejor en Resultados Grupos</t>
    </r>
  </si>
  <si>
    <t>Mejor 1era Fase</t>
  </si>
  <si>
    <r>
      <rPr>
        <sz val="11"/>
        <color indexed="8"/>
        <rFont val="Arial"/>
      </rPr>
      <t xml:space="preserve">Si el </t>
    </r>
    <r>
      <rPr>
        <b/>
        <i/>
        <sz val="11"/>
        <color indexed="8"/>
        <rFont val="Arial"/>
      </rPr>
      <t>Mejor en Resultados Grupo</t>
    </r>
    <r>
      <rPr>
        <sz val="11"/>
        <color indexed="8"/>
        <rFont val="Arial"/>
      </rPr>
      <t xml:space="preserve">s, sale entre los 3 primeros en la general; entonces el premio de </t>
    </r>
    <r>
      <rPr>
        <b/>
        <i/>
        <sz val="11"/>
        <color indexed="8"/>
        <rFont val="Arial"/>
      </rPr>
      <t>Mejor en Resultados Grupos</t>
    </r>
    <r>
      <rPr>
        <sz val="11"/>
        <color indexed="8"/>
        <rFont val="Arial"/>
      </rPr>
      <t xml:space="preserve"> será adjudicado al siguiente (que no sea de los 3 primeros en la general).</t>
    </r>
  </si>
  <si>
    <t>Peor Equipo</t>
  </si>
  <si>
    <t>Revelación y Decepción</t>
  </si>
  <si>
    <t>Hay 4 clases de equipos, según su historia, importancia, vigencia y Ranking FIFA. Abajo podrán ver en qué clase entra cada equipo.</t>
  </si>
  <si>
    <r>
      <rPr>
        <sz val="11"/>
        <color indexed="8"/>
        <rFont val="Arial"/>
      </rPr>
      <t xml:space="preserve">El PEOR de los equipos CLASE 1, es automáticamente calificado como </t>
    </r>
    <r>
      <rPr>
        <b/>
        <sz val="11"/>
        <color indexed="8"/>
        <rFont val="Arial"/>
      </rPr>
      <t>Decepción</t>
    </r>
    <r>
      <rPr>
        <sz val="11"/>
        <color indexed="8"/>
        <rFont val="Arial"/>
      </rPr>
      <t>. (A su vez, existen 3 equipos clase 1´;  si hay "empate" entre un 1´y un 1, el Clase 1 será decepción)</t>
    </r>
  </si>
  <si>
    <r>
      <rPr>
        <sz val="11"/>
        <color indexed="8"/>
        <rFont val="Arial"/>
      </rPr>
      <t xml:space="preserve">Los equipos clase 2, 3 y 4 podrán ser </t>
    </r>
    <r>
      <rPr>
        <b/>
        <sz val="11"/>
        <color indexed="8"/>
        <rFont val="Arial"/>
      </rPr>
      <t>Revelación</t>
    </r>
    <r>
      <rPr>
        <sz val="11"/>
        <color indexed="8"/>
        <rFont val="Arial"/>
      </rPr>
      <t>.</t>
    </r>
  </si>
  <si>
    <t>Un clase 2 solo puede ser revelación si llega a Semis.</t>
  </si>
  <si>
    <t>Un clase 3 sólo puede ser revelación si llega a 4tos.</t>
  </si>
  <si>
    <t>Un clase 4 sólo puede ser revelación si pasa de grupos.</t>
  </si>
  <si>
    <r>
      <rPr>
        <sz val="11"/>
        <color indexed="8"/>
        <rFont val="Arial"/>
      </rPr>
      <t xml:space="preserve">El que haya llegado más lejos de los equipos clase 2, 3 o 4; será la </t>
    </r>
    <r>
      <rPr>
        <b/>
        <sz val="11"/>
        <color indexed="8"/>
        <rFont val="Arial"/>
      </rPr>
      <t>Revelación</t>
    </r>
    <r>
      <rPr>
        <sz val="11"/>
        <color indexed="8"/>
        <rFont val="Arial"/>
      </rPr>
      <t xml:space="preserve">. </t>
    </r>
  </si>
  <si>
    <t>En caso que lleguen a misma ronda, se valorará mejor a los equipos de peor clase. Dentro de una misma clase, se desempata por puntos/goles logrados según la tabla general.</t>
  </si>
  <si>
    <t>El último criterio de desempate para la tabla general (Total Results) será el Ranking FIFA según 1/4/2026 (el de peor ranking queda más alto).</t>
  </si>
  <si>
    <t>Puede darse que NO HAYA equipo revelación.</t>
  </si>
  <si>
    <t>Ranking FIFA</t>
  </si>
  <si>
    <t>País</t>
  </si>
  <si>
    <t>Clase</t>
  </si>
  <si>
    <t>Class 1´</t>
  </si>
  <si>
    <t>Francia</t>
  </si>
  <si>
    <t>España</t>
  </si>
  <si>
    <t>Argentina</t>
  </si>
  <si>
    <t>Inglaterra</t>
  </si>
  <si>
    <t>Portugal</t>
  </si>
  <si>
    <t>Brasil</t>
  </si>
  <si>
    <t>Paises Bajos</t>
  </si>
  <si>
    <t>Belgica</t>
  </si>
  <si>
    <t>Alemania</t>
  </si>
  <si>
    <t>Croacia</t>
  </si>
  <si>
    <t>Uruguay</t>
  </si>
  <si>
    <t>Marruecos</t>
  </si>
  <si>
    <t>Colombia</t>
  </si>
  <si>
    <t>Senegal</t>
  </si>
  <si>
    <t>Mexico</t>
  </si>
  <si>
    <t>Estados Unidos</t>
  </si>
  <si>
    <t>Japon</t>
  </si>
  <si>
    <t>Suiza</t>
  </si>
  <si>
    <t>Turquia</t>
  </si>
  <si>
    <t>Ecuador</t>
  </si>
  <si>
    <t>Corea del Sur</t>
  </si>
  <si>
    <t>Noruega</t>
  </si>
  <si>
    <t>Suecia</t>
  </si>
  <si>
    <t>Paraguay</t>
  </si>
  <si>
    <t>Austria</t>
  </si>
  <si>
    <t>Australia</t>
  </si>
  <si>
    <t>Argelia</t>
  </si>
  <si>
    <t>Egipto</t>
  </si>
  <si>
    <t>Canada</t>
  </si>
  <si>
    <t>Panama</t>
  </si>
  <si>
    <t>Costa de Marfil</t>
  </si>
  <si>
    <t>Repubilca Checa</t>
  </si>
  <si>
    <t>Escocia</t>
  </si>
  <si>
    <t>Tunez</t>
  </si>
  <si>
    <t>Sudafrica</t>
  </si>
  <si>
    <t>Arabia Saudita</t>
  </si>
  <si>
    <t>Bosnia</t>
  </si>
  <si>
    <t>Ghana</t>
  </si>
  <si>
    <t>Iran</t>
  </si>
  <si>
    <t>Congo</t>
  </si>
  <si>
    <t>Uzbekistan</t>
  </si>
  <si>
    <t>Qatar</t>
  </si>
  <si>
    <t>Irak</t>
  </si>
  <si>
    <t>Jordania</t>
  </si>
  <si>
    <t>Cabo Verde</t>
  </si>
  <si>
    <t>Curazao</t>
  </si>
  <si>
    <t>Haiti</t>
  </si>
  <si>
    <t>Nueva Zelanda</t>
  </si>
  <si>
    <t>-</t>
  </si>
  <si>
    <t>TOTAL</t>
  </si>
  <si>
    <t>TERCEROS</t>
  </si>
  <si>
    <t>Clasificó?</t>
  </si>
  <si>
    <t>Elección</t>
  </si>
  <si>
    <t>Partido</t>
  </si>
  <si>
    <t>Fecha</t>
  </si>
  <si>
    <t>Sede</t>
  </si>
  <si>
    <t>Grupo A</t>
  </si>
  <si>
    <t>G</t>
  </si>
  <si>
    <t>E</t>
  </si>
  <si>
    <t>P</t>
  </si>
  <si>
    <t>Dif</t>
  </si>
  <si>
    <t>G+</t>
  </si>
  <si>
    <t>G-</t>
  </si>
  <si>
    <t>J</t>
  </si>
  <si>
    <t>check</t>
  </si>
  <si>
    <t>Empate 1</t>
  </si>
  <si>
    <t>Empate?</t>
  </si>
  <si>
    <t>Extra</t>
  </si>
  <si>
    <t>Orden</t>
  </si>
  <si>
    <t>IN</t>
  </si>
  <si>
    <t xml:space="preserve"> - </t>
  </si>
  <si>
    <t>GA1</t>
  </si>
  <si>
    <t>1A</t>
  </si>
  <si>
    <t>OUT</t>
  </si>
  <si>
    <t>GA2</t>
  </si>
  <si>
    <t>2A</t>
  </si>
  <si>
    <t>GA3</t>
  </si>
  <si>
    <t>3A</t>
  </si>
  <si>
    <t>GA4</t>
  </si>
  <si>
    <t>GA5</t>
  </si>
  <si>
    <t>Completo?</t>
  </si>
  <si>
    <t>GA6</t>
  </si>
  <si>
    <t>Hay equipos empatados: completar tabla para definir sorteo (valores del 1 al 4, el 4 pasa de ronda)</t>
  </si>
  <si>
    <t>Grupo B</t>
  </si>
  <si>
    <t>GB1</t>
  </si>
  <si>
    <t>1B</t>
  </si>
  <si>
    <t>GB2</t>
  </si>
  <si>
    <t>2B</t>
  </si>
  <si>
    <t>GB3</t>
  </si>
  <si>
    <t>3B</t>
  </si>
  <si>
    <t>GB4</t>
  </si>
  <si>
    <t>GB5</t>
  </si>
  <si>
    <t>GB6</t>
  </si>
  <si>
    <t>Grupo C</t>
  </si>
  <si>
    <t>GC1</t>
  </si>
  <si>
    <t>1C</t>
  </si>
  <si>
    <t>GC2</t>
  </si>
  <si>
    <t>2C</t>
  </si>
  <si>
    <t>GC3</t>
  </si>
  <si>
    <t>3C</t>
  </si>
  <si>
    <t>GC4</t>
  </si>
  <si>
    <t>GC5</t>
  </si>
  <si>
    <t>GC6</t>
  </si>
  <si>
    <t>Grupo D</t>
  </si>
  <si>
    <t>GD1</t>
  </si>
  <si>
    <t>1D</t>
  </si>
  <si>
    <t>GD2</t>
  </si>
  <si>
    <t>2D</t>
  </si>
  <si>
    <t>GD3</t>
  </si>
  <si>
    <t>3D</t>
  </si>
  <si>
    <t>GD4</t>
  </si>
  <si>
    <t>GD5</t>
  </si>
  <si>
    <t>GD6</t>
  </si>
  <si>
    <t>Grupo E</t>
  </si>
  <si>
    <t>GE1</t>
  </si>
  <si>
    <t>1E</t>
  </si>
  <si>
    <t>GE2</t>
  </si>
  <si>
    <t>2E</t>
  </si>
  <si>
    <t>GE3</t>
  </si>
  <si>
    <t>3E</t>
  </si>
  <si>
    <t>GE4</t>
  </si>
  <si>
    <t>GE5</t>
  </si>
  <si>
    <t>GE6</t>
  </si>
  <si>
    <t>Grupo F</t>
  </si>
  <si>
    <t>GF1</t>
  </si>
  <si>
    <t>1F</t>
  </si>
  <si>
    <t>GF2</t>
  </si>
  <si>
    <t>2F</t>
  </si>
  <si>
    <t>GF3</t>
  </si>
  <si>
    <t>3F</t>
  </si>
  <si>
    <t>GF4</t>
  </si>
  <si>
    <t>GF5</t>
  </si>
  <si>
    <t>GF6</t>
  </si>
  <si>
    <t>Grupo G</t>
  </si>
  <si>
    <t>GG1</t>
  </si>
  <si>
    <t>1G</t>
  </si>
  <si>
    <t>GG2</t>
  </si>
  <si>
    <t>2G</t>
  </si>
  <si>
    <t>GG3</t>
  </si>
  <si>
    <t>3G</t>
  </si>
  <si>
    <t>GG4</t>
  </si>
  <si>
    <t>GG5</t>
  </si>
  <si>
    <t>GG6</t>
  </si>
  <si>
    <t>Grupo H</t>
  </si>
  <si>
    <t>GH1</t>
  </si>
  <si>
    <t>1H</t>
  </si>
  <si>
    <t>GH2</t>
  </si>
  <si>
    <t>2H</t>
  </si>
  <si>
    <t>GH3</t>
  </si>
  <si>
    <t>3H</t>
  </si>
  <si>
    <t>GH4</t>
  </si>
  <si>
    <t>GH5</t>
  </si>
  <si>
    <t>GH6</t>
  </si>
  <si>
    <t>Grupo I</t>
  </si>
  <si>
    <t>GI1</t>
  </si>
  <si>
    <t>1I</t>
  </si>
  <si>
    <t>GI2</t>
  </si>
  <si>
    <t>2I</t>
  </si>
  <si>
    <t>GI3</t>
  </si>
  <si>
    <t>3I</t>
  </si>
  <si>
    <t>GI4</t>
  </si>
  <si>
    <t>GI5</t>
  </si>
  <si>
    <t>GI6</t>
  </si>
  <si>
    <t>Grupo J</t>
  </si>
  <si>
    <t>GJ1</t>
  </si>
  <si>
    <t>1J</t>
  </si>
  <si>
    <t>GJ2</t>
  </si>
  <si>
    <t>2J</t>
  </si>
  <si>
    <t>GJ3</t>
  </si>
  <si>
    <t>3J</t>
  </si>
  <si>
    <t>GJ4</t>
  </si>
  <si>
    <t>GJ5</t>
  </si>
  <si>
    <t>GJ6</t>
  </si>
  <si>
    <t>Grupo K</t>
  </si>
  <si>
    <t>GK1</t>
  </si>
  <si>
    <t>1K</t>
  </si>
  <si>
    <t>GK2</t>
  </si>
  <si>
    <t>2K</t>
  </si>
  <si>
    <t>GK3</t>
  </si>
  <si>
    <t>3K</t>
  </si>
  <si>
    <t>GK4</t>
  </si>
  <si>
    <t>GK5</t>
  </si>
  <si>
    <t>GK6</t>
  </si>
  <si>
    <t>Grupo L</t>
  </si>
  <si>
    <t>GL1</t>
  </si>
  <si>
    <t>1L</t>
  </si>
  <si>
    <t>GL2</t>
  </si>
  <si>
    <t>2L</t>
  </si>
  <si>
    <t>GL3</t>
  </si>
  <si>
    <t>3L</t>
  </si>
  <si>
    <t>GL4</t>
  </si>
  <si>
    <t>GL5</t>
  </si>
  <si>
    <t>GL6</t>
  </si>
  <si>
    <t>W73</t>
  </si>
  <si>
    <t>W81</t>
  </si>
  <si>
    <t>W74</t>
  </si>
  <si>
    <t>W77</t>
  </si>
  <si>
    <t>W89</t>
  </si>
  <si>
    <t>W83</t>
  </si>
  <si>
    <t>W84</t>
  </si>
  <si>
    <t>W93</t>
  </si>
  <si>
    <t>M73</t>
  </si>
  <si>
    <t>M81</t>
  </si>
  <si>
    <t>M89</t>
  </si>
  <si>
    <t>M93</t>
  </si>
  <si>
    <t>Penales</t>
  </si>
  <si>
    <t>W82</t>
  </si>
  <si>
    <t>M74</t>
  </si>
  <si>
    <t>M82</t>
  </si>
  <si>
    <t>W75</t>
  </si>
  <si>
    <t>W90</t>
  </si>
  <si>
    <t>W94</t>
  </si>
  <si>
    <t>M75</t>
  </si>
  <si>
    <t>M83</t>
  </si>
  <si>
    <t>M90</t>
  </si>
  <si>
    <t>M94</t>
  </si>
  <si>
    <t>W76</t>
  </si>
  <si>
    <t>M76</t>
  </si>
  <si>
    <t>M84</t>
  </si>
  <si>
    <t>W85</t>
  </si>
  <si>
    <t>W78</t>
  </si>
  <si>
    <t>W91</t>
  </si>
  <si>
    <t>W86</t>
  </si>
  <si>
    <t>W88</t>
  </si>
  <si>
    <t>W95</t>
  </si>
  <si>
    <t>M77</t>
  </si>
  <si>
    <t>M85</t>
  </si>
  <si>
    <t>M91</t>
  </si>
  <si>
    <t>M95</t>
  </si>
  <si>
    <t>M78</t>
  </si>
  <si>
    <t>M86</t>
  </si>
  <si>
    <t>W79</t>
  </si>
  <si>
    <t>W87</t>
  </si>
  <si>
    <t>W80</t>
  </si>
  <si>
    <t>W92</t>
  </si>
  <si>
    <t>W96</t>
  </si>
  <si>
    <t>M79</t>
  </si>
  <si>
    <t>M87</t>
  </si>
  <si>
    <t>M92</t>
  </si>
  <si>
    <t>M96</t>
  </si>
  <si>
    <t>M80</t>
  </si>
  <si>
    <t>M88</t>
  </si>
  <si>
    <t>W97</t>
  </si>
  <si>
    <t>W99</t>
  </si>
  <si>
    <t>M97</t>
  </si>
  <si>
    <t>M99</t>
  </si>
  <si>
    <t>M104</t>
  </si>
  <si>
    <t>W98</t>
  </si>
  <si>
    <t>W100</t>
  </si>
  <si>
    <t>M98</t>
  </si>
  <si>
    <t>M100</t>
  </si>
  <si>
    <t>W101</t>
  </si>
  <si>
    <t>W102</t>
  </si>
  <si>
    <t>M103</t>
  </si>
  <si>
    <t>M101</t>
  </si>
  <si>
    <t>M102</t>
  </si>
  <si>
    <t>Fase</t>
  </si>
  <si>
    <t>Ptos*</t>
  </si>
  <si>
    <t>Puntos</t>
  </si>
  <si>
    <t>Sub-campeón</t>
  </si>
  <si>
    <t>3er puesto</t>
  </si>
  <si>
    <t>Semifinal</t>
  </si>
  <si>
    <t>4tos de final</t>
  </si>
  <si>
    <t>8vos de final</t>
  </si>
  <si>
    <t>16vos de final</t>
  </si>
  <si>
    <t>Groups stage</t>
  </si>
  <si>
    <t>Equipo 1</t>
  </si>
  <si>
    <t>G1</t>
  </si>
  <si>
    <t>G2</t>
  </si>
  <si>
    <t>Equipo 2</t>
  </si>
  <si>
    <t>Campeon</t>
  </si>
  <si>
    <t>2do</t>
  </si>
  <si>
    <t>4to</t>
  </si>
  <si>
    <t>Round of 32 (16vos de Final)</t>
  </si>
  <si>
    <t>Winner</t>
  </si>
  <si>
    <t>Round of 16 (8vos de Final)</t>
  </si>
  <si>
    <t>Semi-Finals</t>
  </si>
  <si>
    <t>Lost</t>
  </si>
  <si>
    <t>L101</t>
  </si>
  <si>
    <t>L102</t>
  </si>
  <si>
    <t>3rd Place</t>
  </si>
  <si>
    <t>3rd</t>
  </si>
  <si>
    <t>4th</t>
  </si>
  <si>
    <t>2nd</t>
  </si>
  <si>
    <t>Quater-finals</t>
  </si>
  <si>
    <t xml:space="preserve">1A 1B 1D 1E 1G 1I 1K 1L </t>
  </si>
  <si>
    <t>Mejores 3eros</t>
  </si>
  <si>
    <t>Primeros</t>
  </si>
  <si>
    <t>Terceros</t>
  </si>
  <si>
    <t>Ptos**</t>
  </si>
  <si>
    <t xml:space="preserve">1 3E 3J 3I 3F 3H 3G 3L 3K </t>
  </si>
  <si>
    <t>3eros</t>
  </si>
  <si>
    <t xml:space="preserve">2 3H 3G 3I 3D 3J 3F 3L 3K </t>
  </si>
  <si>
    <t xml:space="preserve">3 3E 3J 3I 3D 3H 3G 3L 3K </t>
  </si>
  <si>
    <t xml:space="preserve">4 3E 3J 3I 3D 3H 3F 3L 3K </t>
  </si>
  <si>
    <t xml:space="preserve">5 3E 3G 3I 3D 3J 3F 3L 3K </t>
  </si>
  <si>
    <t xml:space="preserve">6 3E 3G 3J 3D 3H 3F 3L 3K </t>
  </si>
  <si>
    <t xml:space="preserve">7 3E 3G 3I 3D 3H 3F 3L 3K </t>
  </si>
  <si>
    <t xml:space="preserve">8 3E 3G 3J 3D 3H 3F 3L 3I </t>
  </si>
  <si>
    <t>9 3E 3G 3J 3D 3H 3F 3I 3K</t>
  </si>
  <si>
    <t xml:space="preserve">10 3H 3G 3I 3C 3J 3F 3L 3K </t>
  </si>
  <si>
    <t xml:space="preserve">11 3E 3J 3I 3C 3H 3G 3L 3K </t>
  </si>
  <si>
    <t xml:space="preserve">12 3E 3J 3I 3C 3H 3F 3L 3K </t>
  </si>
  <si>
    <t xml:space="preserve">13 3E 3G 3I 3C 3J 3F 3L 3K </t>
  </si>
  <si>
    <t xml:space="preserve">14 3E 3G 3J 3C 3H 3F 3L 3K </t>
  </si>
  <si>
    <t xml:space="preserve">15 3E 3G 3I 3C 3H 3F 3L 3K </t>
  </si>
  <si>
    <t xml:space="preserve">16 3E 3G 3J 3C 3H 3F 3L 3I </t>
  </si>
  <si>
    <t xml:space="preserve">17 3E 3G 3J 3C 3H 3F 3I 3K </t>
  </si>
  <si>
    <t>18 3H 3G 3I 3C 3J 3D 3L 3K</t>
  </si>
  <si>
    <t>19 3C 3J 3I 3D 3H 3F 3L 3K</t>
  </si>
  <si>
    <t xml:space="preserve">20 3C 3G 3I 3D 3J 3F 3L 3K </t>
  </si>
  <si>
    <t xml:space="preserve">21 3C 3G 3J 3D 3H 3F 3L 3K </t>
  </si>
  <si>
    <t xml:space="preserve">22 3C 3G 3I 3D 3H 3F 3L 3K </t>
  </si>
  <si>
    <t xml:space="preserve">23 3C 3G 3J 3D 3H 3F 3L 3I </t>
  </si>
  <si>
    <t xml:space="preserve">24 3C 3G 3J 3D 3H 3F 3I 3K </t>
  </si>
  <si>
    <t xml:space="preserve">25 3E 3J 3I 3C 3H 3D 3L 3K </t>
  </si>
  <si>
    <t xml:space="preserve">26 3E 3G 3I 3C 3J 3D 3L 3K </t>
  </si>
  <si>
    <t xml:space="preserve">27 3E 3G 3J 3C 3H 3D 3L 3K </t>
  </si>
  <si>
    <t xml:space="preserve">28 3E 3G 3I 3C 3H 3D 3L 3K </t>
  </si>
  <si>
    <t xml:space="preserve">29 3E 3G 3J 3C 3H 3D 3L 3I </t>
  </si>
  <si>
    <t xml:space="preserve">30 3E 3G 3J 3C 3H 3D 3I 3K </t>
  </si>
  <si>
    <t xml:space="preserve">31 3C 3J 3E 3D 3I 3F 3L 3K </t>
  </si>
  <si>
    <t xml:space="preserve">32 3C 3J 3E 3D 3H 3F 3L 3K </t>
  </si>
  <si>
    <t xml:space="preserve">33 3C 3E 3I 3D 3H 3F 3L 3K </t>
  </si>
  <si>
    <t xml:space="preserve">34 3C 3J 3E 3D 3H 3F 3L 3I </t>
  </si>
  <si>
    <t xml:space="preserve">35 3C 3J 3E 3D 3H 3F 3I 3K </t>
  </si>
  <si>
    <t xml:space="preserve">36 3C 3G 3E 3D 3J 3F 3L 3K </t>
  </si>
  <si>
    <t xml:space="preserve">37 3C 3G 3E 3D 3I 3F 3L 3K </t>
  </si>
  <si>
    <t xml:space="preserve">38 3C 3G 3E 3D 3J 3F 3L 3I </t>
  </si>
  <si>
    <t xml:space="preserve">39 3C 3G 3E 3D 3J 3F 3I 3K </t>
  </si>
  <si>
    <t xml:space="preserve">40 3C 3G 3E 3D 3H 3F 3L 3K </t>
  </si>
  <si>
    <t xml:space="preserve">41 3C 3G 3J 3D 3H 3F 3L 3E </t>
  </si>
  <si>
    <t xml:space="preserve">42 3C 3G 3J 3D 3H 3F 3E 3K </t>
  </si>
  <si>
    <t xml:space="preserve">43 3C 3G 3E 3D 3H 3F 3L 3I </t>
  </si>
  <si>
    <t xml:space="preserve">44 3C 3G 3E 3D 3H 3F 3I 3K </t>
  </si>
  <si>
    <t xml:space="preserve">45 3C 3G 3J 3D 3H 3F 3E 3I </t>
  </si>
  <si>
    <t xml:space="preserve">46 3H 3J 3B 3F 3I 3G 3L 3K </t>
  </si>
  <si>
    <t>47 3E 3J 3I 3B 3H 3G 3L 3K</t>
  </si>
  <si>
    <t xml:space="preserve">48 3E 3J 3B 3F 3I 3H 3L 3K </t>
  </si>
  <si>
    <t xml:space="preserve">49 3E 3J 3B 3F 3I 3G 3L 3K </t>
  </si>
  <si>
    <t xml:space="preserve">50 3E 3J 3B 3F 3H 3G 3L 3K </t>
  </si>
  <si>
    <t xml:space="preserve">51 3E 3G 3B 3F 3I 3H 3L 3K </t>
  </si>
  <si>
    <t xml:space="preserve">52 3E 3J 3B 3F 3H 3G 3L 3I </t>
  </si>
  <si>
    <t xml:space="preserve">53 3E 3J 3B 3F 3H 3G 3I 3K </t>
  </si>
  <si>
    <t xml:space="preserve">54 3H 3J 3B 3D 3I 3G 3L 3K </t>
  </si>
  <si>
    <t xml:space="preserve">55 3H 3J 3B 3D 3I 3F 3L 3K </t>
  </si>
  <si>
    <t xml:space="preserve">56 3I 3G 3B 3D 3J 3F 3L 3K </t>
  </si>
  <si>
    <t xml:space="preserve">57 3H 3G 3B 3D 3J 3F 3L 3K </t>
  </si>
  <si>
    <t xml:space="preserve">58 3H 3G 3B 3D 3I 3F 3L 3K </t>
  </si>
  <si>
    <t xml:space="preserve">59 3H 3G 3B 3D 3J 3F 3L 3I </t>
  </si>
  <si>
    <t xml:space="preserve">60 3H 3G 3B 3D 3J 3F 3I 3K </t>
  </si>
  <si>
    <t xml:space="preserve">61 3E 3J 3B 3D 3I 3H 3L 3K </t>
  </si>
  <si>
    <t xml:space="preserve">62 3E 3J 3B 3D 3I 3G 3L 3K </t>
  </si>
  <si>
    <t xml:space="preserve">63 3E 3J 3B 3D 3H 3G 3L 3K </t>
  </si>
  <si>
    <t xml:space="preserve">64 3E 3G 3B 3D 3I 3H 3L 3K </t>
  </si>
  <si>
    <t xml:space="preserve">65 3E 3J 3B 3D 3H 3G 3L 3I </t>
  </si>
  <si>
    <t xml:space="preserve">66 3E 3J 3B 3D 3H 3G 3I 3K </t>
  </si>
  <si>
    <t xml:space="preserve">67 3E 3J 3B 3D 3I 3F 3L 3K </t>
  </si>
  <si>
    <t xml:space="preserve">68 3E 3J 3B 3D 3H 3F 3L 3K </t>
  </si>
  <si>
    <t xml:space="preserve">69 3E 3I 3B 3D 3H 3F 3L 3K </t>
  </si>
  <si>
    <t xml:space="preserve">70 3E 3J 3B 3D 3H 3F 3L 3I </t>
  </si>
  <si>
    <t xml:space="preserve">71 3E 3J 3B 3D 3H 3F 3I 3K </t>
  </si>
  <si>
    <t xml:space="preserve">72 3E 3G 3B 3D 3J 3F 3L 3K </t>
  </si>
  <si>
    <t xml:space="preserve">73 3E 3G 3B 3D 3I 3F 3L 3K </t>
  </si>
  <si>
    <t xml:space="preserve">74 3E 3G 3B 3D 3J 3F 3L 3I </t>
  </si>
  <si>
    <t xml:space="preserve">75 3E 3G 3B 3D 3J 3F 3I 3K </t>
  </si>
  <si>
    <t>76 3E 3G 3B 3D 3H 3F 3L 3K</t>
  </si>
  <si>
    <t xml:space="preserve">77 3H 3G 3B 3D 3J 3F 3L 3E </t>
  </si>
  <si>
    <t xml:space="preserve">78 3H 3G 3B 3D 3J 3F 3E 3K </t>
  </si>
  <si>
    <t xml:space="preserve">79 3E 3G 3B 3D 3H 3F 3L 3I </t>
  </si>
  <si>
    <t xml:space="preserve">80 3E 3G 3B 3D 3H 3F 3I 3K </t>
  </si>
  <si>
    <t xml:space="preserve">81 3H 3G 3B 3D 3J 3F 3E 3I </t>
  </si>
  <si>
    <t xml:space="preserve">82 3H 3J 3B 3C 3I 3G 3L 3K </t>
  </si>
  <si>
    <t xml:space="preserve">83 3H 3J 3B 3C 3I 3F 3L 3K </t>
  </si>
  <si>
    <t xml:space="preserve">84 3I 3G 3B 3C 3J 3F 3L 3K </t>
  </si>
  <si>
    <t xml:space="preserve">85 3H 3G 3B 3C 3J 3F 3L 3K </t>
  </si>
  <si>
    <t xml:space="preserve">86 3H 3G 3B 3C 3I 3F 3L 3K </t>
  </si>
  <si>
    <t xml:space="preserve">87 3H 3G 3B 3C 3J 3F 3L 3I </t>
  </si>
  <si>
    <t xml:space="preserve">88 3H 3G 3B 3C 3J 3F 3I 3K </t>
  </si>
  <si>
    <t xml:space="preserve">89 3E 3J 3B 3C 3I 3H 3L 3K </t>
  </si>
  <si>
    <t xml:space="preserve">90 3E 3J 3B 3C 3I 3G 3L 3K </t>
  </si>
  <si>
    <t xml:space="preserve">91 3E 3J 3B 3C 3H 3G 3L 3K </t>
  </si>
  <si>
    <t xml:space="preserve">92 3E 3G 3B 3C 3I 3H 3L 3K </t>
  </si>
  <si>
    <t xml:space="preserve">93 3E 3J 3B 3C 3H 3G 3L 3I </t>
  </si>
  <si>
    <t xml:space="preserve">94 3E 3J 3B 3C 3H 3G 3I 3K </t>
  </si>
  <si>
    <t xml:space="preserve">95 3E 3J 3B 3C 3I 3F 3L 3K </t>
  </si>
  <si>
    <t xml:space="preserve">96 3E 3J 3B 3C 3H 3F 3L 3K </t>
  </si>
  <si>
    <t xml:space="preserve">97 3E 3I 3B 3C 3H 3F 3L 3K </t>
  </si>
  <si>
    <t xml:space="preserve">98 3E 3J 3B 3C 3H 3F 3L 3I </t>
  </si>
  <si>
    <t>99 3E 3J 3B 3C 3H 3F 3I 3K</t>
  </si>
  <si>
    <t xml:space="preserve">100 3E 3G 3B 3C 3J 3F 3L 3K </t>
  </si>
  <si>
    <t xml:space="preserve">101 3E 3G 3B 3C 3I 3F 3L 3K </t>
  </si>
  <si>
    <t xml:space="preserve">102 3E 3G 3B 3C 3J 3F 3L 3I </t>
  </si>
  <si>
    <t xml:space="preserve">103 3E 3G 3B 3C 3J 3F 3I 3K </t>
  </si>
  <si>
    <t xml:space="preserve">104 3E 3G 3B 3C 3H 3F 3L 3K </t>
  </si>
  <si>
    <t>105 3H 3G 3B 3C 3J 3F 3L 3E</t>
  </si>
  <si>
    <t xml:space="preserve">106 3H 3G 3B 3C 3J 3F 3E 3K </t>
  </si>
  <si>
    <t xml:space="preserve">107 3E 3G 3B 3C 3H 3F 3L 3I </t>
  </si>
  <si>
    <t xml:space="preserve">108 3E 3G 3B 3C 3H 3F 3I 3K </t>
  </si>
  <si>
    <t xml:space="preserve">109 3H 3G 3B 3C 3J 3F 3E 3I </t>
  </si>
  <si>
    <t xml:space="preserve">110 3H 3J 3B 3C 3I 3D 3L 3K </t>
  </si>
  <si>
    <t xml:space="preserve">111 3I 3G 3B 3C 3J 3D 3L 3K </t>
  </si>
  <si>
    <t xml:space="preserve">112 3H 3G 3B 3C 3J 3D 3L 3K </t>
  </si>
  <si>
    <t xml:space="preserve">113 3H 3G 3B 3C 3I 3D 3L 3K </t>
  </si>
  <si>
    <t xml:space="preserve">114 3H 3G 3B 3C 3J 3D 3L 3I </t>
  </si>
  <si>
    <t xml:space="preserve">115 3H 3G 3B 3C 3J 3D 3I 3K </t>
  </si>
  <si>
    <t xml:space="preserve">116 3C 3J 3B 3D 3I 3F 3L 3K </t>
  </si>
  <si>
    <t xml:space="preserve">117 3C 3J 3B 3D 3H 3F 3L 3K </t>
  </si>
  <si>
    <t xml:space="preserve">118 3C 3I 3B 3D 3H 3F 3L 3K </t>
  </si>
  <si>
    <t xml:space="preserve">119 3C 3J 3B 3D 3H 3F 3L 3I </t>
  </si>
  <si>
    <t xml:space="preserve">120 3C 3J 3B 3D 3H 3F 3I 3K </t>
  </si>
  <si>
    <t xml:space="preserve">121 3C 3G 3B 3D 3J 3F 3L 3K </t>
  </si>
  <si>
    <t xml:space="preserve">122 3C 3G 3B 3D 3I 3F 3L 3K </t>
  </si>
  <si>
    <t xml:space="preserve">123 3C 3G 3B 3D 3J 3F 3L 3I </t>
  </si>
  <si>
    <t xml:space="preserve">124 3C 3G 3B 3D 3J 3F 3I 3K </t>
  </si>
  <si>
    <t xml:space="preserve">125 3C 3G 3B 3D 3H 3F 3L 3K </t>
  </si>
  <si>
    <t xml:space="preserve">126 3C 3G 3B 3D 3H 3F 3L 3J </t>
  </si>
  <si>
    <t>127 3H 3G 3B 3C 3J 3F 3D 3K</t>
  </si>
  <si>
    <t xml:space="preserve">128 3C 3G 3B 3D 3H 3F 3L 3I </t>
  </si>
  <si>
    <t xml:space="preserve">129 3C 3G 3B 3D 3H 3F 3I 3K </t>
  </si>
  <si>
    <t xml:space="preserve">130 3H 3G 3B 3C 3J 3F 3D 3I </t>
  </si>
  <si>
    <t xml:space="preserve">131 3E 3J 3B 3C 3I 3D 3L 3K </t>
  </si>
  <si>
    <t xml:space="preserve">132 3E 3J 3B 3C 3H 3D 3L 3K </t>
  </si>
  <si>
    <t xml:space="preserve">133 3E 3I 3B 3C 3H 3D 3L 3K </t>
  </si>
  <si>
    <t>134 3E 3J 3B 3C 3H 3D 3L 3I</t>
  </si>
  <si>
    <t xml:space="preserve">135 3E 3J 3B 3C 3H 3D 3I 3K </t>
  </si>
  <si>
    <t xml:space="preserve">136 3E 3G 3B 3C 3J 3D 3L 3K </t>
  </si>
  <si>
    <t xml:space="preserve">137 3E 3G 3B 3C 3I 3D 3L 3K </t>
  </si>
  <si>
    <t xml:space="preserve">138 3E 3G 3B 3C 3J 3D 3L 3I </t>
  </si>
  <si>
    <t xml:space="preserve">139 3E 3G 3B 3C 3J 3D 3I 3K </t>
  </si>
  <si>
    <t xml:space="preserve">140 3E 3G 3B 3C 3H 3D 3L 3K </t>
  </si>
  <si>
    <t xml:space="preserve">141 3H 3G 3B 3C 3J 3D 3L 3E </t>
  </si>
  <si>
    <t xml:space="preserve">142 3H 3G 3B 3C 3J 3D 3E 3K </t>
  </si>
  <si>
    <t xml:space="preserve">143 3E 3G 3B 3C 3H 3D 3L 3I </t>
  </si>
  <si>
    <t xml:space="preserve">144 3E 3G 3B 3C 3H 3D 3I 3K </t>
  </si>
  <si>
    <t xml:space="preserve">145 3H 3G 3B 3C 3J 3D 3E 3I </t>
  </si>
  <si>
    <t xml:space="preserve">146 3C 3J 3B 3D 3E 3F 3L 3K </t>
  </si>
  <si>
    <t xml:space="preserve">147 3C 3E 3B 3D 3I 3F 3L 3K </t>
  </si>
  <si>
    <t xml:space="preserve">148 3C 3J 3B 3D 3E 3F 3L 3I </t>
  </si>
  <si>
    <t xml:space="preserve">149 3C 3J 3B 3D 3E 3F 3I 3K </t>
  </si>
  <si>
    <t xml:space="preserve">150 3C 3E 3B 3D 3H 3F 3L 3K </t>
  </si>
  <si>
    <t xml:space="preserve">151 3C 3J 3B 3D 3H 3F 3L 3E </t>
  </si>
  <si>
    <t xml:space="preserve">152 3C 3J 3B 3D 3H 3F 3E 3K </t>
  </si>
  <si>
    <t xml:space="preserve">153 3C 3E 3B 3D 3H 3F 3L 3I </t>
  </si>
  <si>
    <t xml:space="preserve">154 3C 3E 3B 3D 3H 3F 3I 3K </t>
  </si>
  <si>
    <t xml:space="preserve">155 3C 3J 3B 3D 3H 3F 3E 3I </t>
  </si>
  <si>
    <t xml:space="preserve">156 3C 3G 3B 3D 3E 3F 3L 3K </t>
  </si>
  <si>
    <t xml:space="preserve">157 3C 3G 3B 3D 3J 3F 3L 3E </t>
  </si>
  <si>
    <t xml:space="preserve">158 3C 3G 3B 3D 3J 3F 3E 3K </t>
  </si>
  <si>
    <t xml:space="preserve">159 3C 3G 3B 3D 3E 3F 3L 3I </t>
  </si>
  <si>
    <t xml:space="preserve">160 3C 3G 3B 3D 3E 3F 3I 3K </t>
  </si>
  <si>
    <t xml:space="preserve">161 3C 3G 3B 3D 3J 3F 3E 3I </t>
  </si>
  <si>
    <t xml:space="preserve">162 3C 3G 3B 3D 3H 3F 3L 3E </t>
  </si>
  <si>
    <t>163 3C 3G 3B 3D 3H 3F 3E 3K</t>
  </si>
  <si>
    <t xml:space="preserve">164 3H 3G 3B 3C 3J 3F 3D 3E </t>
  </si>
  <si>
    <t xml:space="preserve">165 3C 3G 3B 3D 3H 3F 3E 3I </t>
  </si>
  <si>
    <t xml:space="preserve">166 3H 3J 3I 3F 3A 3G 3L 3K </t>
  </si>
  <si>
    <t xml:space="preserve">167 3E 3J 3I 3A 3H 3G 3L 3K </t>
  </si>
  <si>
    <t xml:space="preserve">168 3E 3J 3I 3F 3A 3H 3L 3K </t>
  </si>
  <si>
    <t xml:space="preserve">169 3E 3J 3I 3F 3A 3G 3L 3K </t>
  </si>
  <si>
    <t xml:space="preserve">170 3E 3G 3J 3F 3A 3H 3L 3K </t>
  </si>
  <si>
    <t xml:space="preserve">171 3E 3G 3I 3F 3A 3H 3L 3K </t>
  </si>
  <si>
    <t xml:space="preserve">172 3E 3G 3J 3F 3A 3H 3L 3I </t>
  </si>
  <si>
    <t xml:space="preserve">173 3E 3G 3J 3F 3A 3H 3I 3K </t>
  </si>
  <si>
    <t xml:space="preserve">174 3H 3J 3I 3D 3A 3G 3L 3K </t>
  </si>
  <si>
    <t xml:space="preserve">175 3H 3J 3I 3D 3A 3F 3L 3K </t>
  </si>
  <si>
    <t xml:space="preserve">176 3I 3G 3J 3D 3A 3F 3L 3K </t>
  </si>
  <si>
    <t xml:space="preserve">177 3H 3G 3J 3D 3A 3F 3L 3K </t>
  </si>
  <si>
    <t xml:space="preserve">178 3H 3G 3I 3D 3A 3F 3L 3K </t>
  </si>
  <si>
    <t xml:space="preserve">179 3H 3G 3J 3D 3A 3F 3L 3I </t>
  </si>
  <si>
    <t xml:space="preserve">180 3H 3G 3J 3D 3A 3F 3I 3K </t>
  </si>
  <si>
    <t xml:space="preserve">181 3E 3J 3I 3D 3A 3H 3L 3K </t>
  </si>
  <si>
    <t xml:space="preserve">182 3E 3J 3I 3D 3A 3G 3L 3K </t>
  </si>
  <si>
    <t xml:space="preserve">183 3E 3G 3J 3D 3A 3H 3L 3K </t>
  </si>
  <si>
    <t xml:space="preserve">184 3E 3G 3I 3D 3A 3H 3L 3K </t>
  </si>
  <si>
    <t xml:space="preserve">185 3E 3G 3J 3D 3A 3H 3L 3I </t>
  </si>
  <si>
    <t xml:space="preserve">186 3E 3G 3J 3D 3A 3H 3I 3K </t>
  </si>
  <si>
    <t xml:space="preserve">187 3E 3J 3I 3D 3A 3F 3L 3K </t>
  </si>
  <si>
    <t xml:space="preserve">188 3H 3J 3E 3D 3A 3F 3L 3K </t>
  </si>
  <si>
    <t xml:space="preserve">189 3H 3E 3I 3D 3A 3F 3L 3K </t>
  </si>
  <si>
    <t xml:space="preserve">190 3H 3J 3E 3D 3A 3F 3L 3I </t>
  </si>
  <si>
    <t xml:space="preserve">191 3H 3J 3E 3D 3A 3F 3I 3K </t>
  </si>
  <si>
    <t>192 3E 3G 3J 3D 3A 3F 3L 3K</t>
  </si>
  <si>
    <t xml:space="preserve">193 3E 3G 3I 3D 3A 3F 3L 3K </t>
  </si>
  <si>
    <t xml:space="preserve">194 3E 3G 3J 3D 3A 3F 3L 3I </t>
  </si>
  <si>
    <t xml:space="preserve">195 3E 3G 3J 3D 3A 3F 3I 3K </t>
  </si>
  <si>
    <t xml:space="preserve">196 3H 3G 3E 3D 3A 3F 3L 3K </t>
  </si>
  <si>
    <t xml:space="preserve">197 3H 3G 3J 3D 3A 3F 3L 3E </t>
  </si>
  <si>
    <t xml:space="preserve">198 3H 3G 3J 3D 3A 3F 3E 3K </t>
  </si>
  <si>
    <t xml:space="preserve">199 3H 3G 3E 3D 3A 3F 3L 3I </t>
  </si>
  <si>
    <t xml:space="preserve">200 3H 3G 3E 3D 3A 3F 3I 3K </t>
  </si>
  <si>
    <t xml:space="preserve">201 3H 3G 3J 3D 3A 3F 3E 3I </t>
  </si>
  <si>
    <t xml:space="preserve">202 3H 3J 3I 3C 3A 3G 3L 3K </t>
  </si>
  <si>
    <t xml:space="preserve">203 3H 3J 3I 3C 3A 3F 3L 3K </t>
  </si>
  <si>
    <t xml:space="preserve">204 3I 3G 3J 3C 3A 3F 3L 3K </t>
  </si>
  <si>
    <t xml:space="preserve">205 3H 3G 3J 3C 3A 3F 3L 3K </t>
  </si>
  <si>
    <t xml:space="preserve">206 3H 3G 3I 3C 3A 3F 3L 3K </t>
  </si>
  <si>
    <t xml:space="preserve">207 3H 3G 3J 3C 3A 3F 3L 3I </t>
  </si>
  <si>
    <t xml:space="preserve">208 3H 3G 3J 3C 3A 3F 3I 3K </t>
  </si>
  <si>
    <t xml:space="preserve">209 3E 3J 3I 3C 3A 3H 3L 3K </t>
  </si>
  <si>
    <t xml:space="preserve">210 3E 3J 3I 3C 3A 3G 3L 3K </t>
  </si>
  <si>
    <t xml:space="preserve">211 3E 3G 3J 3C 3A 3H 3L 3K </t>
  </si>
  <si>
    <t xml:space="preserve">212 3E 3G 3I 3C 3A 3H 3L 3K </t>
  </si>
  <si>
    <t xml:space="preserve">213 3E 3G 3J 3C 3A 3H 3L 3I </t>
  </si>
  <si>
    <t xml:space="preserve">214 3E 3G 3J 3C 3A 3H 3I 3K </t>
  </si>
  <si>
    <t xml:space="preserve">215 3E 3J 3I 3C 3A 3F 3L 3K </t>
  </si>
  <si>
    <t xml:space="preserve">216 3H 3J 3E 3C 3A 3F 3L 3K </t>
  </si>
  <si>
    <t xml:space="preserve">217 3H 3E 3I 3C 3A 3F 3L 3K </t>
  </si>
  <si>
    <t xml:space="preserve">218 3H 3J 3E 3C 3A 3F 3L 3I </t>
  </si>
  <si>
    <t xml:space="preserve">219 3H 3J 3E 3C 3A 3F 3I 3K </t>
  </si>
  <si>
    <t xml:space="preserve">220 3E 3G 3J 3C 3A 3F 3L 3K </t>
  </si>
  <si>
    <t>221 3E 3G 3I 3C 3A 3F 3L 3K</t>
  </si>
  <si>
    <t xml:space="preserve">222 3E 3G 3J 3C 3A 3F 3L 3I </t>
  </si>
  <si>
    <t xml:space="preserve">223 3E 3G 3J 3C 3A 3F 3I 3K </t>
  </si>
  <si>
    <t xml:space="preserve">224 3H 3G 3E 3C 3A 3F 3L 3K </t>
  </si>
  <si>
    <t xml:space="preserve">225 3H 3G 3J 3C 3A 3F 3L 3E </t>
  </si>
  <si>
    <t xml:space="preserve">226 3H 3G 3J 3C 3A 3F 3E 3K </t>
  </si>
  <si>
    <t xml:space="preserve">227 3H 3G 3E 3C 3A 3F 3L 3I </t>
  </si>
  <si>
    <t xml:space="preserve">228 3H 3G 3E 3C 3A 3F 3I 3K </t>
  </si>
  <si>
    <t xml:space="preserve">229 3H 3G 3J 3C 3A 3F 3E 3I </t>
  </si>
  <si>
    <t xml:space="preserve">230 3H 3J 3I 3C 3A 3D 3L 3K </t>
  </si>
  <si>
    <t xml:space="preserve">231 3I 3G 3J 3C 3A 3D 3L 3K </t>
  </si>
  <si>
    <t xml:space="preserve">232 3H 3G 3J 3C 3A 3D 3L 3K </t>
  </si>
  <si>
    <t xml:space="preserve">233 3H 3G 3I 3C 3A 3D 3L 3K </t>
  </si>
  <si>
    <t xml:space="preserve">234 3H 3G 3J 3C 3A 3D 3L 3I </t>
  </si>
  <si>
    <t xml:space="preserve">235 3H 3G 3J 3C 3A 3D 3I 3K </t>
  </si>
  <si>
    <t xml:space="preserve">236 3C 3J 3I 3D 3A 3F 3L 3K </t>
  </si>
  <si>
    <t xml:space="preserve">237 3H 3J 3F 3C 3A 3D 3L 3K </t>
  </si>
  <si>
    <t xml:space="preserve">238 3H 3F 3I 3C 3A 3D 3L 3K </t>
  </si>
  <si>
    <t xml:space="preserve">239 3H 3J 3F 3C 3A 3D 3L 3I </t>
  </si>
  <si>
    <t xml:space="preserve">240 3H 3J 3F 3C 3A 3D 3I 3K </t>
  </si>
  <si>
    <t xml:space="preserve">241 3C 3G 3J 3D 3A 3F 3L 3K </t>
  </si>
  <si>
    <t xml:space="preserve">242 3C 3G 3I 3D 3A 3F 3L 3K </t>
  </si>
  <si>
    <t xml:space="preserve">243 3C 3G 3J 3D 3A 3F 3L 3I </t>
  </si>
  <si>
    <t xml:space="preserve">244 3C 3G 3J 3D 3A 3F 3I 3K </t>
  </si>
  <si>
    <t xml:space="preserve">245 3H 3G 3F 3C 3A 3D 3L 3K </t>
  </si>
  <si>
    <t xml:space="preserve">246 3C 3G 3J 3D 3A 3F 3L 3H </t>
  </si>
  <si>
    <t xml:space="preserve">247 3H 3G 3J 3C 3A 3F 3D 3K </t>
  </si>
  <si>
    <t xml:space="preserve">248 3H 3G 3F 3C 3A 3D 3L 3I </t>
  </si>
  <si>
    <t xml:space="preserve">249 3H 3G 3F 3C 3A 3D 3I 3K </t>
  </si>
  <si>
    <t>250 3H 3G 3J 3C 3A 3F 3D 3I</t>
  </si>
  <si>
    <t xml:space="preserve">251 3E 3J 3I 3C 3A 3D 3L 3K </t>
  </si>
  <si>
    <t xml:space="preserve">252 3H 3J 3E 3C 3A 3D 3L 3K </t>
  </si>
  <si>
    <t xml:space="preserve">253 3H 3E 3I 3C 3A 3D 3L 3K </t>
  </si>
  <si>
    <t xml:space="preserve">254 3H 3J 3E 3C 3A 3D 3L 3I </t>
  </si>
  <si>
    <t xml:space="preserve">255 3H 3J 3E 3C 3A 3D 3I 3K </t>
  </si>
  <si>
    <t xml:space="preserve">256 3E 3G 3J 3C 3A 3D 3L 3K </t>
  </si>
  <si>
    <t xml:space="preserve">257 3E 3G 3I 3C 3A 3D 3L 3K </t>
  </si>
  <si>
    <t xml:space="preserve">258 3E 3G 3J 3C 3A 3D 3L 3I </t>
  </si>
  <si>
    <t xml:space="preserve">259 3E 3G 3J 3C 3A 3D 3I 3K </t>
  </si>
  <si>
    <t xml:space="preserve">260 3H 3G 3E 3C 3A 3D 3L 3K </t>
  </si>
  <si>
    <t xml:space="preserve">261 3H 3G 3J 3C 3A 3D 3L 3E </t>
  </si>
  <si>
    <t xml:space="preserve">262 3H 3G 3J 3C 3A 3D 3E 3K </t>
  </si>
  <si>
    <t xml:space="preserve">263 3H 3G 3E 3C 3A 3D 3L 3I </t>
  </si>
  <si>
    <t xml:space="preserve">264 3H 3G 3E 3C 3A 3D 3I 3K </t>
  </si>
  <si>
    <t xml:space="preserve">265 3H 3G 3J 3C 3A 3D 3E 3I </t>
  </si>
  <si>
    <t xml:space="preserve">266 3C 3J 3E 3D 3A 3F 3L 3K </t>
  </si>
  <si>
    <t xml:space="preserve">267 3C 3E 3I 3D 3A 3F 3L 3K </t>
  </si>
  <si>
    <t xml:space="preserve">268 3C 3J 3E 3D 3A 3F 3L 3I </t>
  </si>
  <si>
    <t xml:space="preserve">269 3C 3J 3E 3D 3A 3F 3I 3K </t>
  </si>
  <si>
    <t xml:space="preserve">270 3H 3E 3F 3C 3A 3D 3L 3K </t>
  </si>
  <si>
    <t xml:space="preserve">271 3H 3J 3F 3C 3A 3D 3L 3E </t>
  </si>
  <si>
    <t xml:space="preserve">272 3H 3J 3E 3C 3A 3F 3D 3K </t>
  </si>
  <si>
    <t xml:space="preserve">273 3H 3E 3F 3C 3A 3D 3L 3I </t>
  </si>
  <si>
    <t xml:space="preserve">274 3H 3E 3F 3C 3A 3D 3I 3K </t>
  </si>
  <si>
    <t xml:space="preserve">275 3H 3J 3E 3C 3A 3F 3D 3I </t>
  </si>
  <si>
    <t xml:space="preserve">276 3C 3G 3E 3D 3A 3F 3L 3K </t>
  </si>
  <si>
    <t xml:space="preserve">277 3C 3G 3J 3D 3A 3F 3L 3E </t>
  </si>
  <si>
    <t xml:space="preserve">278 3C 3G 3J 3D 3A 3F 3E 3K </t>
  </si>
  <si>
    <t>279 3C 3G 3E 3D 3A 3F 3L 3I</t>
  </si>
  <si>
    <t xml:space="preserve">280 3C 3G 3E 3D 3A 3F 3I 3K </t>
  </si>
  <si>
    <t xml:space="preserve">281 3C 3G 3J 3D 3A 3F 3E 3I </t>
  </si>
  <si>
    <t xml:space="preserve">282 3H 3G 3F 3C 3A 3D 3L 3E </t>
  </si>
  <si>
    <t xml:space="preserve">283 3H 3G 3E 3C 3A 3F 3D 3K </t>
  </si>
  <si>
    <t xml:space="preserve">284 3H 3G 3J 3C 3A 3F 3D 3E </t>
  </si>
  <si>
    <t xml:space="preserve">285 3H 3G 3E 3C 3A 3F 3D 3I </t>
  </si>
  <si>
    <t xml:space="preserve">286 3H 3J 3B 3A 3I 3G 3L 3K </t>
  </si>
  <si>
    <t xml:space="preserve">287 3H 3J 3B 3A 3I 3F 3L 3K </t>
  </si>
  <si>
    <t xml:space="preserve">288 3I 3J 3B 3F 3A 3G 3L 3K </t>
  </si>
  <si>
    <t xml:space="preserve">289 3H 3J 3B 3F 3A 3G 3L 3K </t>
  </si>
  <si>
    <t xml:space="preserve">290 3H 3G 3B 3A 3I 3F 3L 3K </t>
  </si>
  <si>
    <t xml:space="preserve">291 3H 3J 3B 3F 3A 3G 3L 3I </t>
  </si>
  <si>
    <t xml:space="preserve">292 3H 3J 3B 3F 3A 3G 3I 3K </t>
  </si>
  <si>
    <t xml:space="preserve">293 3E 3J 3B 3A 3I 3H 3L 3K </t>
  </si>
  <si>
    <t xml:space="preserve">294 3E 3J 3B 3A 3I 3G 3L 3K </t>
  </si>
  <si>
    <t xml:space="preserve">295 3E 3J 3B 3A 3H 3G 3L 3K </t>
  </si>
  <si>
    <t xml:space="preserve">296 3E 3G 3B 3A 3I 3H 3L 3K </t>
  </si>
  <si>
    <t xml:space="preserve">297 3E 3J 3B 3A 3H 3G 3L 3I </t>
  </si>
  <si>
    <t xml:space="preserve">298 3E 3J 3B 3A 3H 3G 3I 3K </t>
  </si>
  <si>
    <t xml:space="preserve">299 3E 3J 3B 3A 3I 3F 3L 3K </t>
  </si>
  <si>
    <t xml:space="preserve">300 3E 3J 3B 3F 3A 3H 3L 3K </t>
  </si>
  <si>
    <t xml:space="preserve">301 3E 3I 3B 3F 3A 3H 3L 3K </t>
  </si>
  <si>
    <t xml:space="preserve">302 3E 3J 3B 3F 3A 3H 3L 3I </t>
  </si>
  <si>
    <t xml:space="preserve">303 3E 3J 3B 3F 3A 3H 3I 3K </t>
  </si>
  <si>
    <t xml:space="preserve">304 3E 3J 3B 3F 3A 3G 3L 3K </t>
  </si>
  <si>
    <t xml:space="preserve">305 3E 3G 3B 3A 3I 3F 3L 3K </t>
  </si>
  <si>
    <t xml:space="preserve">306 3E 3J 3B 3F 3A 3G 3L 3I </t>
  </si>
  <si>
    <t xml:space="preserve">307 3E 3J 3B 3F 3A 3G 3I 3K </t>
  </si>
  <si>
    <t>308 3E 3G 3B 3F 3A 3H 3L 3K</t>
  </si>
  <si>
    <t xml:space="preserve">309 3H 3J 3B 3F 3A 3G 3L 3E </t>
  </si>
  <si>
    <t xml:space="preserve">310 3H 3J 3B 3F 3A 3G 3E 3K </t>
  </si>
  <si>
    <t xml:space="preserve">311 3E 3G 3B 3F 3A 3H 3L 3I </t>
  </si>
  <si>
    <t xml:space="preserve">312 3E 3G 3B 3F 3A 3H 3I 3K </t>
  </si>
  <si>
    <t xml:space="preserve">313 3H 3J 3B 3F 3A 3G 3E 3I </t>
  </si>
  <si>
    <t xml:space="preserve">314 3I 3J 3B 3D 3A 3H 3L 3K </t>
  </si>
  <si>
    <t xml:space="preserve">315 3I 3J 3B 3D 3A 3G 3L 3K </t>
  </si>
  <si>
    <t xml:space="preserve">316 3H 3J 3B 3D 3A 3G 3L 3K </t>
  </si>
  <si>
    <t xml:space="preserve">317 3I 3G 3B 3D 3A 3H 3L 3K </t>
  </si>
  <si>
    <t xml:space="preserve">318 3H 3J 3B 3D 3A 3G 3L 3I </t>
  </si>
  <si>
    <t xml:space="preserve">319 3H 3J 3B 3D 3A 3G 3I 3K </t>
  </si>
  <si>
    <t xml:space="preserve">320 3I 3J 3B 3D 3A 3F 3L 3K </t>
  </si>
  <si>
    <t xml:space="preserve">321 3H 3J 3B 3D 3A 3F 3L 3K </t>
  </si>
  <si>
    <t xml:space="preserve">322 3H 3I 3B 3D 3A 3F 3L 3K </t>
  </si>
  <si>
    <t xml:space="preserve">323 3H 3J 3B 3D 3A 3F 3L 3I </t>
  </si>
  <si>
    <t xml:space="preserve">324 3H 3J 3B 3D 3A 3F 3I 3K </t>
  </si>
  <si>
    <t xml:space="preserve">325 3F 3J 3B 3D 3A 3G 3L 3K </t>
  </si>
  <si>
    <t xml:space="preserve">326 3I 3G 3B 3D 3A 3F 3L 3K </t>
  </si>
  <si>
    <t xml:space="preserve">327 3F 3J 3B 3D 3A 3G 3L 3I </t>
  </si>
  <si>
    <t xml:space="preserve">328 3F 3J 3B 3D 3A 3G 3I 3K </t>
  </si>
  <si>
    <t xml:space="preserve">329 3H 3G 3B 3D 3A 3F 3L 3K </t>
  </si>
  <si>
    <t xml:space="preserve">330 3H 3G 3B 3D 3A 3F 3L 3J </t>
  </si>
  <si>
    <t xml:space="preserve">331 3H 3G 3B 3D 3A 3F 3J 3K </t>
  </si>
  <si>
    <t xml:space="preserve">332 3H 3G 3B 3D 3A 3F 3L 3I </t>
  </si>
  <si>
    <t xml:space="preserve">333 3H 3G 3B 3D 3A 3F 3I 3K </t>
  </si>
  <si>
    <t xml:space="preserve">334 3H 3G 3B 3D 3A 3F 3I 3J </t>
  </si>
  <si>
    <t xml:space="preserve">335 3E 3J 3B 3A 3I 3D 3L 3K </t>
  </si>
  <si>
    <t xml:space="preserve">336 3E 3J 3B 3D 3A 3H 3L 3K </t>
  </si>
  <si>
    <t>337 3E 3I 3B 3D 3A 3H 3L 3K</t>
  </si>
  <si>
    <t xml:space="preserve">338 3E 3J 3B 3D 3A 3H 3L 3I </t>
  </si>
  <si>
    <t xml:space="preserve">339 3E 3J 3B 3D 3A 3H 3I 3K </t>
  </si>
  <si>
    <t xml:space="preserve">340 3E 3J 3B 3D 3A 3G 3L 3K </t>
  </si>
  <si>
    <t xml:space="preserve">341 3E 3G 3B 3A 3I 3D 3L 3K </t>
  </si>
  <si>
    <t xml:space="preserve">342 3E 3J 3B 3D 3A 3G 3L 3I </t>
  </si>
  <si>
    <t xml:space="preserve">343 3E 3J 3B 3D 3A 3G 3I 3K </t>
  </si>
  <si>
    <t xml:space="preserve">344 3E 3G 3B 3D 3A 3H 3L 3K </t>
  </si>
  <si>
    <t xml:space="preserve">345 3H 3J 3B 3D 3A 3G 3L 3E </t>
  </si>
  <si>
    <t xml:space="preserve">346 3H 3J 3B 3D 3A 3G 3E 3K </t>
  </si>
  <si>
    <t xml:space="preserve">347 3E 3G 3B 3D 3A 3H 3L 3I </t>
  </si>
  <si>
    <t xml:space="preserve">348 3E 3G 3B 3D 3A 3H 3I 3K </t>
  </si>
  <si>
    <t xml:space="preserve">349 3H 3J 3B 3D 3A 3G 3E 3I </t>
  </si>
  <si>
    <t xml:space="preserve">350 3E 3J 3B 3D 3A 3F 3L 3K </t>
  </si>
  <si>
    <t xml:space="preserve">351 3E 3I 3B 3D 3A 3F 3L 3K </t>
  </si>
  <si>
    <t xml:space="preserve">352 3E 3J 3B 3D 3A 3F 3L 3I </t>
  </si>
  <si>
    <t xml:space="preserve">353 3E 3J 3B 3D 3A 3F 3I 3K </t>
  </si>
  <si>
    <t xml:space="preserve">354 3H 3E 3B 3D 3A 3F 3L 3K </t>
  </si>
  <si>
    <t xml:space="preserve">355 3H 3J 3B 3D 3A 3F 3L 3E </t>
  </si>
  <si>
    <t xml:space="preserve">356 3H 3J 3B 3D 3A 3F 3E 3K </t>
  </si>
  <si>
    <t xml:space="preserve">357 3H 3E 3B 3D 3A 3F 3L 3I </t>
  </si>
  <si>
    <t xml:space="preserve">358 3H 3E 3B 3D 3A 3F 3I 3K </t>
  </si>
  <si>
    <t xml:space="preserve">359 3H 3J 3B 3D 3A 3F 3E 3I </t>
  </si>
  <si>
    <t xml:space="preserve">360 3E 3G 3B 3D 3A 3F 3L 3K </t>
  </si>
  <si>
    <t xml:space="preserve">361 3E 3G 3B 3D 3A 3F 3L 3J </t>
  </si>
  <si>
    <t xml:space="preserve">362 3E 3G 3B 3D 3A 3F 3J 3K </t>
  </si>
  <si>
    <t xml:space="preserve">363 3E 3G 3B 3D 3A 3F 3L 3I </t>
  </si>
  <si>
    <t xml:space="preserve">364 3E 3G 3B 3D 3A 3F 3I 3K </t>
  </si>
  <si>
    <t xml:space="preserve">365 3E 3G 3B 3D 3A 3F 3I 3J </t>
  </si>
  <si>
    <t>366 3H 3G 3B 3D 3A 3F 3L 3E</t>
  </si>
  <si>
    <t xml:space="preserve">367 3H 3G 3B 3D 3A 3F 3E 3K </t>
  </si>
  <si>
    <t xml:space="preserve">368 3H 3G 3B 3D 3A 3F 3E 3J </t>
  </si>
  <si>
    <t xml:space="preserve">369 3H 3G 3B 3D 3A 3F 3E 3I </t>
  </si>
  <si>
    <t xml:space="preserve">370 3I 3J 3B 3C 3A 3H 3L 3K </t>
  </si>
  <si>
    <t xml:space="preserve">371 3I 3J 3B 3C 3A 3G 3L 3K </t>
  </si>
  <si>
    <t xml:space="preserve">372 3H 3J 3B 3C 3A 3G 3L 3K </t>
  </si>
  <si>
    <t xml:space="preserve">373 3I 3G 3B 3C 3A 3H 3L 3K </t>
  </si>
  <si>
    <t xml:space="preserve">374 3H 3J 3B 3C 3A 3G 3L 3I </t>
  </si>
  <si>
    <t xml:space="preserve">375 3H 3J 3B 3C 3A 3G 3I 3K </t>
  </si>
  <si>
    <t xml:space="preserve">376 3I 3J 3B 3C 3A 3F 3L 3K </t>
  </si>
  <si>
    <t xml:space="preserve">377 3H 3J 3B 3C 3A 3F 3L 3K </t>
  </si>
  <si>
    <t xml:space="preserve">378 3H 3I 3B 3C 3A 3F 3L 3K </t>
  </si>
  <si>
    <t xml:space="preserve">379 3H 3J 3B 3C 3A 3F 3L 3I </t>
  </si>
  <si>
    <t xml:space="preserve">380 3H 3J 3B 3C 3A 3F 3I 3K </t>
  </si>
  <si>
    <t xml:space="preserve">381 3C 3J 3B 3F 3A 3G 3L 3K </t>
  </si>
  <si>
    <t xml:space="preserve">382 3I 3G 3B 3C 3A 3F 3L 3K </t>
  </si>
  <si>
    <t xml:space="preserve">383 3C 3J 3B 3F 3A 3G 3L 3I </t>
  </si>
  <si>
    <t xml:space="preserve">384 3C 3J 3B 3F 3A 3G 3I 3K </t>
  </si>
  <si>
    <t xml:space="preserve">385 3H 3G 3B 3C 3A 3F 3L 3K </t>
  </si>
  <si>
    <t xml:space="preserve">386 3H 3G 3B 3C 3A 3F 3L 3J </t>
  </si>
  <si>
    <t xml:space="preserve">387 3H 3G 3B 3C 3A 3F 3J 3K </t>
  </si>
  <si>
    <t xml:space="preserve">388 3H 3G 3B 3C 3A 3F 3L 3I </t>
  </si>
  <si>
    <t xml:space="preserve">389 3H 3G 3B 3C 3A 3F 3I 3K </t>
  </si>
  <si>
    <t xml:space="preserve">390 3H 3G 3B 3C 3A 3F 3I 3J </t>
  </si>
  <si>
    <t xml:space="preserve">391 3E 3J 3B 3A 3I 3C 3L 3K </t>
  </si>
  <si>
    <t xml:space="preserve">392 3E 3J 3B 3C 3A 3H 3L 3K </t>
  </si>
  <si>
    <t xml:space="preserve">393 3E 3I 3B 3C 3A 3H 3L 3K </t>
  </si>
  <si>
    <t xml:space="preserve">394 3E 3J 3B 3C 3A 3H 3L 3I </t>
  </si>
  <si>
    <t>395 3E 3J 3B 3C 3A 3H 3I 3K</t>
  </si>
  <si>
    <t xml:space="preserve">396 3E 3J 3B 3C 3A 3G 3L 3K </t>
  </si>
  <si>
    <t xml:space="preserve">397 3E 3G 3B 3A 3I 3C 3L 3K </t>
  </si>
  <si>
    <t xml:space="preserve">398 3E 3J 3B 3C 3A 3G 3L 3I </t>
  </si>
  <si>
    <t xml:space="preserve">399 3E 3J 3B 3C 3A 3G 3I 3K </t>
  </si>
  <si>
    <t xml:space="preserve">400 3E 3G 3B 3C 3A 3H 3L 3K </t>
  </si>
  <si>
    <t xml:space="preserve">401 3H 3J 3B 3C 3A 3G 3L 3E </t>
  </si>
  <si>
    <t xml:space="preserve">402 3H 3J 3B 3C 3A 3G 3E 3K </t>
  </si>
  <si>
    <t xml:space="preserve">403 3E 3G 3B 3C 3A 3H 3L 3I </t>
  </si>
  <si>
    <t xml:space="preserve">404 3E 3G 3B 3C 3A 3H 3I 3K </t>
  </si>
  <si>
    <t xml:space="preserve">405 3H 3J 3B 3C 3A 3G 3E 3I </t>
  </si>
  <si>
    <t xml:space="preserve">406 3E 3J 3B 3C 3A 3F 3L 3K </t>
  </si>
  <si>
    <t xml:space="preserve">407 3E 3I 3B 3C 3A 3F 3L 3K </t>
  </si>
  <si>
    <t xml:space="preserve">408 3E 3J 3B 3C 3A 3F 3L 3I </t>
  </si>
  <si>
    <t xml:space="preserve">409 3E 3J 3B 3C 3A 3F 3I 3K </t>
  </si>
  <si>
    <t xml:space="preserve">410 3H 3E 3B 3C 3A 3F 3L 3K </t>
  </si>
  <si>
    <t xml:space="preserve">411 3H 3J 3B 3C 3A 3F 3L 3E </t>
  </si>
  <si>
    <t xml:space="preserve">412 3H 3J 3B 3C 3A 3F 3E 3K </t>
  </si>
  <si>
    <t xml:space="preserve">413 3H 3E 3B 3C 3A 3F 3L 3I </t>
  </si>
  <si>
    <t xml:space="preserve">414 3H 3E 3B 3C 3A 3F 3I 3K </t>
  </si>
  <si>
    <t xml:space="preserve">415 3H 3J 3B 3C 3A 3F 3E 3I </t>
  </si>
  <si>
    <t xml:space="preserve">416 3E 3G 3B 3C 3A 3F 3L 3K </t>
  </si>
  <si>
    <t xml:space="preserve">417 3E 3G 3B 3C 3A 3F 3L 3J </t>
  </si>
  <si>
    <t xml:space="preserve">418 3E 3G 3B 3C 3A 3F 3J 3K </t>
  </si>
  <si>
    <t xml:space="preserve">419 3E 3G 3B 3C 3A 3F 3L 3I </t>
  </si>
  <si>
    <t xml:space="preserve">420 3E 3G 3B 3C 3A 3F 3I 3K </t>
  </si>
  <si>
    <t xml:space="preserve">421 3E 3G 3B 3C 3A 3F 3I 3J </t>
  </si>
  <si>
    <t xml:space="preserve">422 3H 3G 3B 3C 3A 3F 3L 3E </t>
  </si>
  <si>
    <t xml:space="preserve">423 3H 3G 3B 3C 3A 3F 3E 3K </t>
  </si>
  <si>
    <t>424 3H 3G 3B 3C 3A 3F 3E 3J</t>
  </si>
  <si>
    <t xml:space="preserve">425 3H 3G 3B 3C 3A 3F 3E 3I </t>
  </si>
  <si>
    <t xml:space="preserve">426 3I 3J 3B 3C 3A 3D 3L 3K </t>
  </si>
  <si>
    <t xml:space="preserve">427 3H 3J 3B 3C 3A 3D 3L 3K </t>
  </si>
  <si>
    <t xml:space="preserve">428 3H 3I 3B 3C 3A 3D 3L 3K </t>
  </si>
  <si>
    <t xml:space="preserve">429 3H 3J 3B 3C 3A 3D 3L 3I </t>
  </si>
  <si>
    <t xml:space="preserve">430 3H 3J 3B 3C 3A 3D 3I 3K </t>
  </si>
  <si>
    <t xml:space="preserve">431 3C 3J 3B 3D 3A 3G 3L 3K </t>
  </si>
  <si>
    <t xml:space="preserve">432 3I 3G 3B 3C 3A 3D 3L 3K </t>
  </si>
  <si>
    <t xml:space="preserve">433 3C 3J 3B 3D 3A 3G 3L 3I </t>
  </si>
  <si>
    <t xml:space="preserve">434 3C 3J 3B 3D 3A 3G 3I 3K </t>
  </si>
  <si>
    <t xml:space="preserve">435 3H 3G 3B 3C 3A 3D 3L 3K </t>
  </si>
  <si>
    <t xml:space="preserve">436 3H 3G 3B 3C 3A 3D 3L 3J </t>
  </si>
  <si>
    <t xml:space="preserve">437 3H 3G 3B 3C 3A 3D 3J 3K </t>
  </si>
  <si>
    <t xml:space="preserve">438 3H 3G 3B 3C 3A 3D 3L 3I </t>
  </si>
  <si>
    <t xml:space="preserve">439 3H 3G 3B 3C 3A 3D 3I 3K </t>
  </si>
  <si>
    <t xml:space="preserve">440 3H 3G 3B 3C 3A 3D 3I 3J </t>
  </si>
  <si>
    <t xml:space="preserve">441 3C 3J 3B 3D 3A 3F 3L 3K </t>
  </si>
  <si>
    <t xml:space="preserve">442 3C 3I 3B 3D 3A 3F 3L 3K </t>
  </si>
  <si>
    <t xml:space="preserve">443 3C 3J 3B 3D 3A 3F 3L 3I </t>
  </si>
  <si>
    <t xml:space="preserve">444 3C 3J 3B 3D 3A 3F 3I 3K </t>
  </si>
  <si>
    <t xml:space="preserve">445 3H 3F 3B 3C 3A 3D 3L 3K </t>
  </si>
  <si>
    <t xml:space="preserve">446 3C 3J 3B 3D 3A 3F 3L 3H </t>
  </si>
  <si>
    <t xml:space="preserve">447 3H 3J 3B 3C 3A 3F 3D 3K </t>
  </si>
  <si>
    <t xml:space="preserve">448 3H 3F 3B 3C 3A 3D 3L 3I </t>
  </si>
  <si>
    <t xml:space="preserve">449 3H 3F 3B 3C 3A 3D 3I 3K </t>
  </si>
  <si>
    <t xml:space="preserve">450 3H 3J 3B 3C 3A 3F 3D 3I </t>
  </si>
  <si>
    <t xml:space="preserve">451 3C 3G 3B 3D 3A 3F 3L 3K </t>
  </si>
  <si>
    <t xml:space="preserve">452 3C 3G 3B 3D 3A 3F 3L 3J </t>
  </si>
  <si>
    <t>453 3C 3G 3B 3D 3A 3F 3J 3K</t>
  </si>
  <si>
    <t xml:space="preserve">454 3C 3G 3B 3D 3A 3F 3L 3I </t>
  </si>
  <si>
    <t xml:space="preserve">455 3C 3G 3B 3D 3A 3F 3I 3K </t>
  </si>
  <si>
    <t xml:space="preserve">456 3C 3G 3B 3D 3A 3F 3I 3J </t>
  </si>
  <si>
    <t xml:space="preserve">457 3C 3G 3B 3D 3A 3F 3L 3H </t>
  </si>
  <si>
    <t xml:space="preserve">458 3H 3G 3B 3C 3A 3F 3D 3K </t>
  </si>
  <si>
    <t xml:space="preserve">459 3H 3G 3B 3C 3A 3F 3D 3J </t>
  </si>
  <si>
    <t xml:space="preserve">460 3H 3G 3B 3C 3A 3F 3D 3I </t>
  </si>
  <si>
    <t xml:space="preserve">461 3E 3J 3B 3C 3A 3D 3L 3K </t>
  </si>
  <si>
    <t xml:space="preserve">462 3E 3I 3B 3C 3A 3D 3L 3K </t>
  </si>
  <si>
    <t xml:space="preserve">463 3E 3J 3B 3C 3A 3D 3L 3I </t>
  </si>
  <si>
    <t xml:space="preserve">464 3E 3J 3B 3C 3A 3D 3I 3K </t>
  </si>
  <si>
    <t xml:space="preserve">465 3H 3E 3B 3C 3A 3D 3L 3K </t>
  </si>
  <si>
    <t xml:space="preserve">466 3H 3J 3B 3C 3A 3D 3L 3E </t>
  </si>
  <si>
    <t xml:space="preserve">467 3H 3J 3B 3C 3A 3D 3E 3K </t>
  </si>
  <si>
    <t xml:space="preserve">468 3H 3E 3B 3C 3A 3D 3L 3I </t>
  </si>
  <si>
    <t xml:space="preserve">469 3H 3E 3B 3C 3A 3D 3I 3K </t>
  </si>
  <si>
    <t xml:space="preserve">470 3H 3J 3B 3C 3A 3D 3E 3I </t>
  </si>
  <si>
    <t xml:space="preserve">471 3E 3G 3B 3C 3A 3D 3L 3K </t>
  </si>
  <si>
    <t xml:space="preserve">472 3E 3G 3B 3C 3A 3D 3L 3J </t>
  </si>
  <si>
    <t xml:space="preserve">473 3E 3G 3B 3C 3A 3D 3J 3K </t>
  </si>
  <si>
    <t xml:space="preserve">474 3E 3G 3B 3C 3A 3D 3L 3I </t>
  </si>
  <si>
    <t xml:space="preserve">475 3E 3G 3B 3C 3A 3D 3I 3K </t>
  </si>
  <si>
    <t xml:space="preserve">476 3E 3G 3B 3C 3A 3D 3I 3J </t>
  </si>
  <si>
    <t xml:space="preserve">477 3H 3G 3B 3C 3A 3D 3L 3E </t>
  </si>
  <si>
    <t xml:space="preserve">478 3H 3G 3B 3C 3A 3D 3E 3K </t>
  </si>
  <si>
    <t xml:space="preserve">479 3H 3G 3B 3C 3A 3D 3E 3J </t>
  </si>
  <si>
    <t xml:space="preserve">480 3H 3G 3B 3C 3A 3D 3E 3I </t>
  </si>
  <si>
    <t xml:space="preserve">481 3C 3E 3B 3D 3A 3F 3L 3K </t>
  </si>
  <si>
    <t>482 3C 3J 3B 3D 3A 3F 3L 3E</t>
  </si>
  <si>
    <t xml:space="preserve">483 3C 3J 3B 3D 3A 3F 3E 3K </t>
  </si>
  <si>
    <t xml:space="preserve">484 3C 3E 3B 3D 3A 3F 3L 3I </t>
  </si>
  <si>
    <t xml:space="preserve">485 3C 3E 3B 3D 3A 3F 3I 3K </t>
  </si>
  <si>
    <t xml:space="preserve">486 3C 3J 3B 3D 3A 3F 3E 3I </t>
  </si>
  <si>
    <t xml:space="preserve">487 3H 3F 3B 3C 3A 3D 3L 3E </t>
  </si>
  <si>
    <t xml:space="preserve">488 3H 3E 3B 3C 3A 3F 3D 3K </t>
  </si>
  <si>
    <t xml:space="preserve">489 3H 3J 3B 3C 3A 3F 3D 3E </t>
  </si>
  <si>
    <t xml:space="preserve">490 3H 3E 3B 3C 3A 3F 3D 3I </t>
  </si>
  <si>
    <t xml:space="preserve">491 3C 3G 3B 3D 3A 3F 3L 3E </t>
  </si>
  <si>
    <t xml:space="preserve">492 3C 3G 3B 3D 3A 3F 3E 3K </t>
  </si>
  <si>
    <t xml:space="preserve">493 3C 3G 3B 3D 3A 3F 3E 3J </t>
  </si>
  <si>
    <t xml:space="preserve">494 3C 3G 3B 3D 3A 3F 3E 3I </t>
  </si>
  <si>
    <t>495 3H 3G 3B 3C 3A 3F 3D 3E</t>
  </si>
  <si>
    <t>GRUPOS</t>
  </si>
  <si>
    <t>3er Puesto</t>
  </si>
  <si>
    <t>Semi final</t>
  </si>
  <si>
    <t>Puntos Clasif</t>
  </si>
  <si>
    <t>Dif G</t>
  </si>
  <si>
    <t>Ptos fase</t>
  </si>
  <si>
    <t>Ptos+clase</t>
  </si>
  <si>
    <t>Class 1</t>
  </si>
  <si>
    <t>Puntos fase</t>
  </si>
  <si>
    <t>MAX</t>
  </si>
  <si>
    <t>Semis</t>
  </si>
  <si>
    <t>3ro</t>
  </si>
  <si>
    <t>Sub</t>
  </si>
  <si>
    <t>camp</t>
  </si>
  <si>
    <t>Best of class</t>
  </si>
  <si>
    <t>Ponderación</t>
  </si>
  <si>
    <t>BEST</t>
  </si>
  <si>
    <t>Min clase 1</t>
  </si>
  <si>
    <t>Puntos Fase</t>
  </si>
  <si>
    <t>Min clase 1´</t>
  </si>
  <si>
    <t>Usted ha apostado por la verdeamarela como campeón. Históricamente, los mejores; aunque hoy no atraviesen su mejor momento - el intento desesperado de llamar a Ancelotti así lo demuestra. Amamos a los brasileros y a su fútbol (excepto a Vini Jr, obviamente). Neymar merece una copa. Si usted es brasilero, lo felicito; uno siempre debe apostar por su equipo - usted es una persona de bien. Si usted no es brasilero, igual "aceptamos" su decisión.</t>
  </si>
  <si>
    <t>Usted elgió a Alemania… qué hacer con Alemania… fútbol apático si los hay… ganan un munidal cada 20 años básicamente. La lógica indicaría que ganarán el 2034, pero no esta copa… Su elección de campeón es por lo menos "rara"… pero bueno, cada uno es libre de elegir lo que quiera</t>
  </si>
  <si>
    <t>Uff… eligió a Holanda… Recordamos aquellos buenos tiempos donde Holanda era un equipo "simpático"; un "grande sin copa".  Pero luego vendió su alma al diablo, casándose con uno de los personajes más siniestros y detestables en la historia del fútbol: Louis van Gaal. Realmetne no se nos ocurre cómo alguien hoy podría elegir a Holanda. Lo invitamos a recapacitar y pensar bien lo que está haciendo. Andá pa´allá, bobo...</t>
  </si>
  <si>
    <t>Béliga Campeón - una apuesta riesgosa… hoy tenemos una Bélgica en capa caída, dejó pasar su chance allá en el 2018. Sólo quedan trazas de aquella selección de grandes jugadores. Pero el optimismo no hay que perderlo nunca. Le deseamos suerte.</t>
  </si>
  <si>
    <t>Y… usted apuesta a "lo seguro"… Una España renovada siendo sin duda top 3 del mundo por estos tiempos. Su elección es la clásica elección del cobarde, aquel que no sabe disfrutar de las hermosas cosas que el fútbol nos ofrece, aquel que quiere anteponer la razón al corazón. Lo cual, en este mundo, sólo lo hará caer al  más profundo abismo de la desolación.</t>
  </si>
  <si>
    <t>La garra charrúa. No nos decidimos sobre qué sería más sorpresivo: que Uruguay gane un mundial luego de 76 años, o que Bielsa gane algo en su vida (después de los 2000…). Los queremos a los uruguayos. Desconocemos las razones por la que usted habrá elegido a este campeón, pero claramente usted es persona de fútbol y de bien.</t>
  </si>
  <si>
    <t>No podés elegir a Francia… dale… buuuuuhhh Francia buuuuuhhh… no te quiere nadie… hay que ser raro para elegir Francia eh… está usted bien? No se sorprenda si la comisión decide aplicar las sanciones pertinentes... Usted es el único responsable de sus actos</t>
  </si>
  <si>
    <t>Usted es una persona de bien: ha elegido a Argentina como campeón. No le tiene miedo a apostar por un bi-campeonato, algo que estadisticamente es muy dificil. Pero sabe que la scaloneta y messi todo lo pueden. Este tipo de elecciones son las que lo definen a uno en la vida; y quédese tranquilo, usted va por el buen camino.</t>
  </si>
  <si>
    <t>Usted ha eligido a la Portugal de Cr7 como campeona... Esto sólo puede ser por alguna de las siguientes razones: 
a) entiende que el mundail está arreglado para que cr7 deje de llorar y tenga por fin su copa; 
b) tiene un sano deseo de que cr7 no juegue ni un minuto pero que Portugal salga campeón sin él, mostrando que realmente tienen un equipazo y que cr7 es un lastre...
Pero si usted, en su mente perversa, quiere que cr7 salga campeón genuinamente, lamentamos comunicarle que esto lo define como una persona de moralidad, al menos, cuestionable...
Lo invitamos a imaginar qué tipo de repercuciones tendrá su elección - no solo en el puntaje de este simple Prode, sino también en la vida misma.</t>
  </si>
  <si>
    <t>Usted eligió a Inglaterra como campeón. Ergo, usted ha sido descalificado de este Prode. El costo de inscripción no será devuelto. Cualqueir duda lo invitamos a dirigirse a la comisión organizadora, aunque le adelantamos que cualquier reclamo al respecto será desestimado.</t>
  </si>
  <si>
    <t>Qué locura Croacia… el país existe hace 35 años y tienen un subcampeonato + dos 3eros puestos. Un país de 3.8M de personas... Cracks. Bien por usted. La comisión evaluará la posibilidad de otorgarle un premio directamente, sólo por haberse animado a dar a Croacia como Campeón.</t>
  </si>
  <si>
    <t>Lamine</t>
  </si>
  <si>
    <t>Mbappe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</si>
</sst>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0000"/>
    <numFmt numFmtId="166" formatCode="#,##0&quot; &quot;;&quot;-&quot;#,##0&quot; &quot;"/>
    <numFmt numFmtId="167" formatCode="&quot; &quot;* #,##0&quot; &quot;;&quot;-&quot;* #,##0&quot; &quot;;&quot; &quot;* &quot;-&quot;??&quot; &quot;"/>
    <numFmt numFmtId="168" formatCode="0.0"/>
  </numFmts>
  <fonts count="56">
    <font>
      <sz val="11"/>
      <color indexed="8"/>
      <name val="Arial"/>
    </font>
    <font>
      <b/>
      <sz val="11"/>
      <color indexed="8"/>
      <name val="Arial"/>
    </font>
    <font>
      <b/>
      <sz val="11"/>
      <color indexed="11"/>
      <name val="Arial"/>
    </font>
    <font>
      <b/>
      <sz val="11"/>
      <color indexed="12"/>
      <name val="Arial"/>
    </font>
    <font>
      <sz val="11"/>
      <color indexed="11"/>
      <name val="Arial"/>
    </font>
    <font>
      <b/>
      <sz val="11"/>
      <color indexed="13"/>
      <name val="Arial"/>
    </font>
    <font>
      <b/>
      <i/>
      <sz val="11"/>
      <color indexed="8"/>
      <name val="Arial"/>
    </font>
    <font>
      <u/>
      <sz val="11"/>
      <color indexed="8"/>
      <name val="Arial"/>
    </font>
    <font>
      <sz val="10"/>
      <color indexed="11"/>
      <name val="Arial"/>
    </font>
    <font>
      <sz val="11"/>
      <color indexed="8"/>
      <name val="Helvetica Neue"/>
    </font>
    <font>
      <sz val="10"/>
      <color indexed="8"/>
      <name val="Arial"/>
    </font>
    <font>
      <sz val="11"/>
      <color indexed="8"/>
      <name val="72"/>
    </font>
    <font>
      <sz val="11"/>
      <color indexed="11"/>
      <name val="72"/>
    </font>
    <font>
      <b/>
      <sz val="11"/>
      <color indexed="8"/>
      <name val="72"/>
    </font>
    <font>
      <sz val="11"/>
      <color indexed="18"/>
      <name val="72"/>
    </font>
    <font>
      <sz val="11"/>
      <color indexed="23"/>
      <name val="72"/>
    </font>
    <font>
      <b/>
      <sz val="11"/>
      <color indexed="23"/>
      <name val="72"/>
    </font>
    <font>
      <sz val="11"/>
      <color indexed="14"/>
      <name val="72"/>
    </font>
    <font>
      <sz val="11"/>
      <color indexed="25"/>
      <name val="72"/>
    </font>
    <font>
      <b/>
      <sz val="11"/>
      <color indexed="18"/>
      <name val="72"/>
    </font>
    <font>
      <b/>
      <sz val="11"/>
      <color indexed="13"/>
      <name val="72"/>
    </font>
    <font>
      <sz val="11"/>
      <color indexed="9"/>
      <name val="72"/>
    </font>
    <font>
      <b/>
      <sz val="10"/>
      <color indexed="45"/>
      <name val="72"/>
    </font>
    <font>
      <b/>
      <sz val="9"/>
      <color indexed="45"/>
      <name val="72"/>
    </font>
    <font>
      <b/>
      <sz val="11"/>
      <color indexed="9"/>
      <name val="72"/>
    </font>
    <font>
      <b/>
      <i/>
      <sz val="11"/>
      <color indexed="9"/>
      <name val="72"/>
    </font>
    <font>
      <b/>
      <sz val="11"/>
      <color indexed="40"/>
      <name val="72"/>
    </font>
    <font>
      <b/>
      <sz val="11"/>
      <color indexed="43"/>
      <name val="72"/>
    </font>
    <font>
      <b/>
      <sz val="11"/>
      <color indexed="25"/>
      <name val="72"/>
    </font>
    <font>
      <sz val="8"/>
      <color indexed="8"/>
      <name val="72"/>
    </font>
    <font>
      <b/>
      <sz val="22"/>
      <color indexed="8"/>
      <name val="72"/>
    </font>
    <font>
      <b/>
      <sz val="18"/>
      <color indexed="8"/>
      <name val="72"/>
    </font>
    <font>
      <b/>
      <sz val="11"/>
      <color indexed="11"/>
      <name val="72"/>
    </font>
    <font>
      <b/>
      <sz val="9"/>
      <color indexed="14"/>
      <name val="72"/>
    </font>
    <font>
      <b/>
      <sz val="11"/>
      <color indexed="14"/>
      <name val="72"/>
    </font>
    <font>
      <sz val="10"/>
      <color indexed="8"/>
      <name val="72"/>
    </font>
    <font>
      <b/>
      <i/>
      <sz val="11"/>
      <color indexed="48"/>
      <name val="72"/>
    </font>
    <font>
      <sz val="10"/>
      <color indexed="48"/>
      <name val="72"/>
    </font>
    <font>
      <b/>
      <sz val="18"/>
      <color indexed="9"/>
      <name val="Arial"/>
    </font>
    <font>
      <b/>
      <sz val="16"/>
      <color indexed="11"/>
      <name val="Arial"/>
    </font>
    <font>
      <b/>
      <sz val="16"/>
      <color indexed="8"/>
      <name val="Arial"/>
    </font>
    <font>
      <sz val="14"/>
      <color indexed="11"/>
      <name val="Arial"/>
    </font>
    <font>
      <sz val="14"/>
      <color indexed="8"/>
      <name val="Arial"/>
    </font>
    <font>
      <sz val="9"/>
      <color indexed="11"/>
      <name val="Arial"/>
    </font>
    <font>
      <sz val="11"/>
      <color indexed="14"/>
      <name val="Arial"/>
    </font>
    <font>
      <sz val="11"/>
      <color indexed="52"/>
      <name val="Arial"/>
    </font>
    <font>
      <sz val="11"/>
      <color indexed="45"/>
      <name val="Arial"/>
    </font>
    <font>
      <sz val="11"/>
      <color indexed="8"/>
      <name val="Segoe UI"/>
    </font>
    <font>
      <b/>
      <sz val="11"/>
      <color indexed="11"/>
      <name val="Segoe UI"/>
    </font>
    <font>
      <sz val="11"/>
      <color indexed="48"/>
      <name val="Segoe UI"/>
    </font>
    <font>
      <sz val="11"/>
      <color indexed="12"/>
      <name val="Segoe UI"/>
    </font>
    <font>
      <sz val="11"/>
      <color indexed="13"/>
      <name val="Segoe UI"/>
    </font>
    <font>
      <b/>
      <sz val="11"/>
      <color indexed="44"/>
      <name val="Arial"/>
    </font>
    <font>
      <sz val="11"/>
      <color indexed="54"/>
      <name val="Arial"/>
    </font>
    <font>
      <b/>
      <sz val="11"/>
      <color indexed="48"/>
      <name val="Arial"/>
    </font>
    <font>
      <sz val="11"/>
      <color indexed="44"/>
      <name val="Arial"/>
    </font>
  </fonts>
  <fills count="32">
    <fill>
      <patternFill patternType="none"/>
    </fill>
    <fill>
      <patternFill patternType="gray125"/>
    </fill>
    <fill>
      <patternFill patternType="solid">
        <fgColor indexed="9"/>
        <bgColor auto="1"/>
      </patternFill>
    </fill>
    <fill>
      <patternFill patternType="solid">
        <fgColor indexed="14"/>
        <bgColor auto="1"/>
      </patternFill>
    </fill>
    <fill>
      <patternFill patternType="solid">
        <fgColor indexed="15"/>
        <bgColor auto="1"/>
      </patternFill>
    </fill>
    <fill>
      <patternFill patternType="solid">
        <fgColor indexed="17"/>
        <bgColor auto="1"/>
      </patternFill>
    </fill>
    <fill>
      <patternFill patternType="solid">
        <fgColor indexed="22"/>
        <bgColor auto="1"/>
      </patternFill>
    </fill>
    <fill>
      <patternFill patternType="solid">
        <fgColor indexed="24"/>
        <bgColor auto="1"/>
      </patternFill>
    </fill>
    <fill>
      <patternFill patternType="solid">
        <fgColor indexed="26"/>
        <bgColor auto="1"/>
      </patternFill>
    </fill>
    <fill>
      <patternFill patternType="solid">
        <fgColor indexed="27"/>
        <bgColor auto="1"/>
      </patternFill>
    </fill>
    <fill>
      <patternFill patternType="solid">
        <fgColor indexed="28"/>
        <bgColor auto="1"/>
      </patternFill>
    </fill>
    <fill>
      <patternFill patternType="solid">
        <fgColor indexed="29"/>
        <bgColor auto="1"/>
      </patternFill>
    </fill>
    <fill>
      <patternFill patternType="solid">
        <fgColor indexed="30"/>
        <bgColor auto="1"/>
      </patternFill>
    </fill>
    <fill>
      <patternFill patternType="solid">
        <fgColor indexed="31"/>
        <bgColor auto="1"/>
      </patternFill>
    </fill>
    <fill>
      <patternFill patternType="solid">
        <fgColor indexed="32"/>
        <bgColor auto="1"/>
      </patternFill>
    </fill>
    <fill>
      <patternFill patternType="solid">
        <fgColor indexed="33"/>
        <bgColor auto="1"/>
      </patternFill>
    </fill>
    <fill>
      <patternFill patternType="solid">
        <fgColor indexed="34"/>
        <bgColor auto="1"/>
      </patternFill>
    </fill>
    <fill>
      <patternFill patternType="solid">
        <fgColor indexed="35"/>
        <bgColor auto="1"/>
      </patternFill>
    </fill>
    <fill>
      <patternFill patternType="solid">
        <fgColor indexed="36"/>
        <bgColor auto="1"/>
      </patternFill>
    </fill>
    <fill>
      <patternFill patternType="solid">
        <fgColor indexed="37"/>
        <bgColor auto="1"/>
      </patternFill>
    </fill>
    <fill>
      <patternFill patternType="solid">
        <fgColor indexed="38"/>
        <bgColor auto="1"/>
      </patternFill>
    </fill>
    <fill>
      <patternFill patternType="solid">
        <fgColor indexed="39"/>
        <bgColor auto="1"/>
      </patternFill>
    </fill>
    <fill>
      <patternFill patternType="solid">
        <fgColor indexed="40"/>
        <bgColor auto="1"/>
      </patternFill>
    </fill>
    <fill>
      <patternFill patternType="solid">
        <fgColor indexed="41"/>
        <bgColor auto="1"/>
      </patternFill>
    </fill>
    <fill>
      <patternFill patternType="solid">
        <fgColor indexed="42"/>
        <bgColor auto="1"/>
      </patternFill>
    </fill>
    <fill>
      <patternFill patternType="solid">
        <fgColor indexed="43"/>
        <bgColor auto="1"/>
      </patternFill>
    </fill>
    <fill>
      <patternFill patternType="solid">
        <fgColor indexed="8"/>
        <bgColor auto="1"/>
      </patternFill>
    </fill>
    <fill>
      <patternFill patternType="solid">
        <fgColor indexed="25"/>
        <bgColor auto="1"/>
      </patternFill>
    </fill>
    <fill>
      <patternFill patternType="solid">
        <fgColor indexed="50"/>
        <bgColor auto="1"/>
      </patternFill>
    </fill>
    <fill>
      <patternFill patternType="solid">
        <fgColor indexed="45"/>
        <bgColor auto="1"/>
      </patternFill>
    </fill>
    <fill>
      <patternFill patternType="solid">
        <fgColor indexed="51"/>
        <bgColor auto="1"/>
      </patternFill>
    </fill>
    <fill>
      <patternFill patternType="solid">
        <fgColor indexed="53"/>
        <bgColor auto="1"/>
      </patternFill>
    </fill>
  </fills>
  <borders count="206">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style="thin">
        <color indexed="8"/>
      </bottom>
      <diagonal/>
    </border>
    <border>
      <left/>
      <right/>
      <top/>
      <bottom style="thin">
        <color indexed="8"/>
      </bottom>
      <diagonal/>
    </border>
    <border>
      <left/>
      <right/>
      <top/>
      <bottom/>
      <diagonal/>
    </border>
    <border>
      <left/>
      <right style="thin">
        <color indexed="10"/>
      </right>
      <top/>
      <bottom style="thin">
        <color indexed="8"/>
      </bottom>
      <diagonal/>
    </border>
    <border>
      <left style="thin">
        <color indexed="10"/>
      </left>
      <right/>
      <top style="thin">
        <color indexed="8"/>
      </top>
      <bottom/>
      <diagonal/>
    </border>
    <border>
      <left/>
      <right/>
      <top style="thin">
        <color indexed="8"/>
      </top>
      <bottom/>
      <diagonal/>
    </border>
    <border>
      <left/>
      <right style="thin">
        <color indexed="10"/>
      </right>
      <top style="thin">
        <color indexed="8"/>
      </top>
      <bottom/>
      <diagonal/>
    </border>
    <border>
      <left style="thin">
        <color indexed="10"/>
      </left>
      <right/>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10"/>
      </left>
      <right/>
      <top style="thin">
        <color indexed="10"/>
      </top>
      <bottom style="thin">
        <color indexed="8"/>
      </bottom>
      <diagonal/>
    </border>
    <border>
      <left/>
      <right/>
      <top style="thin">
        <color indexed="10"/>
      </top>
      <bottom style="thin">
        <color indexed="8"/>
      </bottom>
      <diagonal/>
    </border>
    <border>
      <left/>
      <right style="medium">
        <color indexed="8"/>
      </right>
      <top style="thin">
        <color indexed="10"/>
      </top>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16"/>
      </right>
      <top style="thin">
        <color indexed="8"/>
      </top>
      <bottom style="thin">
        <color indexed="8"/>
      </bottom>
      <diagonal/>
    </border>
    <border>
      <left style="thin">
        <color indexed="16"/>
      </left>
      <right style="thin">
        <color indexed="8"/>
      </right>
      <top style="thin">
        <color indexed="8"/>
      </top>
      <bottom style="thin">
        <color indexed="8"/>
      </bottom>
      <diagonal/>
    </border>
    <border>
      <left style="thin">
        <color indexed="16"/>
      </left>
      <right style="thin">
        <color indexed="16"/>
      </right>
      <top style="thin">
        <color indexed="8"/>
      </top>
      <bottom style="thin">
        <color indexed="8"/>
      </bottom>
      <diagonal/>
    </border>
    <border>
      <left style="thin">
        <color indexed="16"/>
      </left>
      <right/>
      <top style="thin">
        <color indexed="8"/>
      </top>
      <bottom style="thin">
        <color indexed="8"/>
      </bottom>
      <diagonal/>
    </border>
    <border>
      <left/>
      <right style="medium">
        <color indexed="8"/>
      </right>
      <top/>
      <bottom/>
      <diagonal/>
    </border>
    <border>
      <left style="medium">
        <color indexed="8"/>
      </left>
      <right/>
      <top style="thin">
        <color indexed="8"/>
      </top>
      <bottom/>
      <diagonal/>
    </border>
    <border>
      <left/>
      <right style="medium">
        <color indexed="8"/>
      </right>
      <top style="thin">
        <color indexed="8"/>
      </top>
      <bottom/>
      <diagonal/>
    </border>
    <border>
      <left style="thin">
        <color indexed="8"/>
      </left>
      <right style="thin">
        <color indexed="16"/>
      </right>
      <top style="thin">
        <color indexed="8"/>
      </top>
      <bottom style="thin">
        <color indexed="16"/>
      </bottom>
      <diagonal/>
    </border>
    <border>
      <left style="thin">
        <color indexed="16"/>
      </left>
      <right style="thin">
        <color indexed="8"/>
      </right>
      <top style="thin">
        <color indexed="8"/>
      </top>
      <bottom style="thin">
        <color indexed="16"/>
      </bottom>
      <diagonal/>
    </border>
    <border>
      <left style="thin">
        <color indexed="16"/>
      </left>
      <right style="thin">
        <color indexed="16"/>
      </right>
      <top style="thin">
        <color indexed="8"/>
      </top>
      <bottom style="thin">
        <color indexed="16"/>
      </bottom>
      <diagonal/>
    </border>
    <border>
      <left style="thin">
        <color indexed="16"/>
      </left>
      <right/>
      <top style="thin">
        <color indexed="8"/>
      </top>
      <bottom style="thin">
        <color indexed="16"/>
      </bottom>
      <diagonal/>
    </border>
    <border>
      <left/>
      <right style="thin">
        <color indexed="8"/>
      </right>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bottom/>
      <diagonal/>
    </border>
    <border>
      <left style="medium">
        <color indexed="8"/>
      </left>
      <right/>
      <top/>
      <bottom/>
      <diagonal/>
    </border>
    <border>
      <left style="thin">
        <color indexed="8"/>
      </left>
      <right style="thin">
        <color indexed="16"/>
      </right>
      <top style="thin">
        <color indexed="16"/>
      </top>
      <bottom style="thin">
        <color indexed="16"/>
      </bottom>
      <diagonal/>
    </border>
    <border>
      <left style="thin">
        <color indexed="16"/>
      </left>
      <right style="thin">
        <color indexed="8"/>
      </right>
      <top style="thin">
        <color indexed="16"/>
      </top>
      <bottom style="thin">
        <color indexed="16"/>
      </bottom>
      <diagonal/>
    </border>
    <border>
      <left style="thin">
        <color indexed="16"/>
      </left>
      <right style="thin">
        <color indexed="16"/>
      </right>
      <top style="thin">
        <color indexed="16"/>
      </top>
      <bottom style="thin">
        <color indexed="16"/>
      </bottom>
      <diagonal/>
    </border>
    <border>
      <left style="thin">
        <color indexed="16"/>
      </left>
      <right/>
      <top style="thin">
        <color indexed="16"/>
      </top>
      <bottom style="thin">
        <color indexed="16"/>
      </bottom>
      <diagonal/>
    </border>
    <border>
      <left style="thin">
        <color indexed="8"/>
      </left>
      <right style="thin">
        <color indexed="16"/>
      </right>
      <top style="thin">
        <color indexed="16"/>
      </top>
      <bottom style="thin">
        <color indexed="8"/>
      </bottom>
      <diagonal/>
    </border>
    <border>
      <left style="thin">
        <color indexed="16"/>
      </left>
      <right style="thin">
        <color indexed="8"/>
      </right>
      <top style="thin">
        <color indexed="16"/>
      </top>
      <bottom style="thin">
        <color indexed="8"/>
      </bottom>
      <diagonal/>
    </border>
    <border>
      <left style="thin">
        <color indexed="16"/>
      </left>
      <right style="thin">
        <color indexed="16"/>
      </right>
      <top style="thin">
        <color indexed="16"/>
      </top>
      <bottom style="thin">
        <color indexed="8"/>
      </bottom>
      <diagonal/>
    </border>
    <border>
      <left style="thin">
        <color indexed="16"/>
      </left>
      <right/>
      <top style="thin">
        <color indexed="16"/>
      </top>
      <bottom style="thin">
        <color indexed="8"/>
      </bottom>
      <diagonal/>
    </border>
    <border>
      <left style="thin">
        <color indexed="8"/>
      </left>
      <right/>
      <top/>
      <bottom style="thin">
        <color indexed="8"/>
      </bottom>
      <diagonal/>
    </border>
    <border>
      <left/>
      <right style="thin">
        <color indexed="8"/>
      </right>
      <top/>
      <bottom style="thin">
        <color indexed="8"/>
      </bottom>
      <diagonal/>
    </border>
    <border>
      <left style="thin">
        <color indexed="10"/>
      </left>
      <right/>
      <top style="thin">
        <color indexed="8"/>
      </top>
      <bottom style="thin">
        <color indexed="8"/>
      </bottom>
      <diagonal/>
    </border>
    <border>
      <left/>
      <right style="medium">
        <color indexed="8"/>
      </right>
      <top/>
      <bottom style="thin">
        <color indexed="8"/>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top style="medium">
        <color indexed="8"/>
      </top>
      <bottom/>
      <diagonal/>
    </border>
    <border>
      <left/>
      <right style="thin">
        <color indexed="10"/>
      </right>
      <top style="medium">
        <color indexed="8"/>
      </top>
      <bottom/>
      <diagonal/>
    </border>
    <border>
      <left/>
      <right style="thin">
        <color indexed="8"/>
      </right>
      <top style="thin">
        <color indexed="10"/>
      </top>
      <bottom/>
      <diagonal/>
    </border>
    <border>
      <left style="thin">
        <color indexed="8"/>
      </left>
      <right style="thin">
        <color indexed="8"/>
      </right>
      <top style="thin">
        <color indexed="10"/>
      </top>
      <bottom/>
      <diagonal/>
    </border>
    <border>
      <left style="thin">
        <color indexed="8"/>
      </left>
      <right/>
      <top style="thin">
        <color indexed="10"/>
      </top>
      <bottom/>
      <diagonal/>
    </border>
    <border>
      <left style="thin">
        <color indexed="10"/>
      </left>
      <right/>
      <top/>
      <bottom style="thick">
        <color indexed="44"/>
      </bottom>
      <diagonal/>
    </border>
    <border>
      <left/>
      <right/>
      <top/>
      <bottom style="thick">
        <color indexed="44"/>
      </bottom>
      <diagonal/>
    </border>
    <border>
      <left/>
      <right/>
      <top/>
      <bottom style="thick">
        <color indexed="12"/>
      </bottom>
      <diagonal/>
    </border>
    <border>
      <left style="thick">
        <color indexed="44"/>
      </left>
      <right style="thin">
        <color indexed="8"/>
      </right>
      <top style="thick">
        <color indexed="44"/>
      </top>
      <bottom/>
      <diagonal/>
    </border>
    <border>
      <left style="thin">
        <color indexed="8"/>
      </left>
      <right/>
      <top style="thick">
        <color indexed="44"/>
      </top>
      <bottom/>
      <diagonal/>
    </border>
    <border>
      <left/>
      <right/>
      <top style="thick">
        <color indexed="44"/>
      </top>
      <bottom/>
      <diagonal/>
    </border>
    <border>
      <left/>
      <right style="thick">
        <color indexed="44"/>
      </right>
      <top style="thick">
        <color indexed="44"/>
      </top>
      <bottom/>
      <diagonal/>
    </border>
    <border>
      <left style="thick">
        <color indexed="44"/>
      </left>
      <right style="thick">
        <color indexed="12"/>
      </right>
      <top/>
      <bottom/>
      <diagonal/>
    </border>
    <border>
      <left style="thick">
        <color indexed="12"/>
      </left>
      <right style="thin">
        <color indexed="8"/>
      </right>
      <top style="thick">
        <color indexed="12"/>
      </top>
      <bottom/>
      <diagonal/>
    </border>
    <border>
      <left style="thin">
        <color indexed="8"/>
      </left>
      <right/>
      <top style="thick">
        <color indexed="12"/>
      </top>
      <bottom/>
      <diagonal/>
    </border>
    <border>
      <left/>
      <right/>
      <top style="thick">
        <color indexed="12"/>
      </top>
      <bottom/>
      <diagonal/>
    </border>
    <border>
      <left/>
      <right style="thick">
        <color indexed="12"/>
      </right>
      <top style="thick">
        <color indexed="12"/>
      </top>
      <bottom/>
      <diagonal/>
    </border>
    <border>
      <left style="thick">
        <color indexed="12"/>
      </left>
      <right style="thin">
        <color indexed="8"/>
      </right>
      <top/>
      <bottom/>
      <diagonal/>
    </border>
    <border>
      <left style="thin">
        <color indexed="8"/>
      </left>
      <right style="thick">
        <color indexed="44"/>
      </right>
      <top/>
      <bottom/>
      <diagonal/>
    </border>
    <border>
      <left style="thick">
        <color indexed="12"/>
      </left>
      <right style="thin">
        <color indexed="10"/>
      </right>
      <top/>
      <bottom/>
      <diagonal/>
    </border>
    <border>
      <left style="thick">
        <color indexed="44"/>
      </left>
      <right style="thin">
        <color indexed="8"/>
      </right>
      <top/>
      <bottom/>
      <diagonal/>
    </border>
    <border>
      <left/>
      <right style="thin">
        <color indexed="30"/>
      </right>
      <top/>
      <bottom/>
      <diagonal/>
    </border>
    <border>
      <left style="thin">
        <color indexed="30"/>
      </left>
      <right/>
      <top/>
      <bottom/>
      <diagonal/>
    </border>
    <border>
      <left/>
      <right style="thick">
        <color indexed="44"/>
      </right>
      <top/>
      <bottom/>
      <diagonal/>
    </border>
    <border>
      <left/>
      <right style="thick">
        <color indexed="12"/>
      </right>
      <top/>
      <bottom/>
      <diagonal/>
    </border>
    <border>
      <left style="thick">
        <color indexed="44"/>
      </left>
      <right style="thin">
        <color indexed="8"/>
      </right>
      <top/>
      <bottom style="thick">
        <color indexed="44"/>
      </bottom>
      <diagonal/>
    </border>
    <border>
      <left style="thin">
        <color indexed="8"/>
      </left>
      <right/>
      <top/>
      <bottom style="thick">
        <color indexed="44"/>
      </bottom>
      <diagonal/>
    </border>
    <border>
      <left/>
      <right style="thick">
        <color indexed="44"/>
      </right>
      <top/>
      <bottom style="thick">
        <color indexed="44"/>
      </bottom>
      <diagonal/>
    </border>
    <border>
      <left style="thick">
        <color indexed="12"/>
      </left>
      <right style="thin">
        <color indexed="8"/>
      </right>
      <top/>
      <bottom style="thick">
        <color indexed="12"/>
      </bottom>
      <diagonal/>
    </border>
    <border>
      <left style="thin">
        <color indexed="8"/>
      </left>
      <right/>
      <top/>
      <bottom style="thick">
        <color indexed="12"/>
      </bottom>
      <diagonal/>
    </border>
    <border>
      <left/>
      <right style="thick">
        <color indexed="12"/>
      </right>
      <top/>
      <bottom style="thick">
        <color indexed="12"/>
      </bottom>
      <diagonal/>
    </border>
    <border>
      <left style="thin">
        <color indexed="10"/>
      </left>
      <right/>
      <top style="thick">
        <color indexed="44"/>
      </top>
      <bottom style="thick">
        <color indexed="44"/>
      </bottom>
      <diagonal/>
    </border>
    <border>
      <left/>
      <right/>
      <top style="thick">
        <color indexed="44"/>
      </top>
      <bottom style="thick">
        <color indexed="44"/>
      </bottom>
      <diagonal/>
    </border>
    <border>
      <left/>
      <right/>
      <top style="thick">
        <color indexed="12"/>
      </top>
      <bottom style="thick">
        <color indexed="12"/>
      </bottom>
      <diagonal/>
    </border>
    <border>
      <left style="thin">
        <color indexed="10"/>
      </left>
      <right/>
      <top style="thick">
        <color indexed="44"/>
      </top>
      <bottom style="thick">
        <color indexed="33"/>
      </bottom>
      <diagonal/>
    </border>
    <border>
      <left/>
      <right/>
      <top style="thick">
        <color indexed="44"/>
      </top>
      <bottom style="thick">
        <color indexed="33"/>
      </bottom>
      <diagonal/>
    </border>
    <border>
      <left style="thick">
        <color indexed="33"/>
      </left>
      <right style="thin">
        <color indexed="8"/>
      </right>
      <top style="thick">
        <color indexed="33"/>
      </top>
      <bottom/>
      <diagonal/>
    </border>
    <border>
      <left style="thin">
        <color indexed="8"/>
      </left>
      <right/>
      <top style="thick">
        <color indexed="33"/>
      </top>
      <bottom/>
      <diagonal/>
    </border>
    <border>
      <left/>
      <right/>
      <top style="thick">
        <color indexed="33"/>
      </top>
      <bottom/>
      <diagonal/>
    </border>
    <border>
      <left/>
      <right style="thick">
        <color indexed="33"/>
      </right>
      <top style="thick">
        <color indexed="33"/>
      </top>
      <bottom/>
      <diagonal/>
    </border>
    <border>
      <left style="thick">
        <color indexed="33"/>
      </left>
      <right style="thick">
        <color indexed="12"/>
      </right>
      <top/>
      <bottom/>
      <diagonal/>
    </border>
    <border>
      <left style="thick">
        <color indexed="33"/>
      </left>
      <right style="thin">
        <color indexed="8"/>
      </right>
      <top/>
      <bottom/>
      <diagonal/>
    </border>
    <border>
      <left/>
      <right style="thick">
        <color indexed="33"/>
      </right>
      <top/>
      <bottom/>
      <diagonal/>
    </border>
    <border>
      <left style="thick">
        <color indexed="33"/>
      </left>
      <right style="thin">
        <color indexed="8"/>
      </right>
      <top/>
      <bottom style="thick">
        <color indexed="33"/>
      </bottom>
      <diagonal/>
    </border>
    <border>
      <left style="thin">
        <color indexed="8"/>
      </left>
      <right/>
      <top/>
      <bottom style="thick">
        <color indexed="33"/>
      </bottom>
      <diagonal/>
    </border>
    <border>
      <left/>
      <right/>
      <top/>
      <bottom style="thick">
        <color indexed="33"/>
      </bottom>
      <diagonal/>
    </border>
    <border>
      <left/>
      <right style="thick">
        <color indexed="33"/>
      </right>
      <top/>
      <bottom style="thick">
        <color indexed="33"/>
      </bottom>
      <diagonal/>
    </border>
    <border>
      <left style="thin">
        <color indexed="10"/>
      </left>
      <right/>
      <top style="thick">
        <color indexed="33"/>
      </top>
      <bottom style="thick">
        <color indexed="44"/>
      </bottom>
      <diagonal/>
    </border>
    <border>
      <left/>
      <right/>
      <top style="thick">
        <color indexed="33"/>
      </top>
      <bottom style="thick">
        <color indexed="44"/>
      </bottom>
      <diagonal/>
    </border>
    <border>
      <left/>
      <right/>
      <top style="thick">
        <color indexed="12"/>
      </top>
      <bottom style="thick">
        <color indexed="46"/>
      </bottom>
      <diagonal/>
    </border>
    <border>
      <left/>
      <right/>
      <top/>
      <bottom style="thick">
        <color indexed="46"/>
      </bottom>
      <diagonal/>
    </border>
    <border>
      <left style="thick">
        <color indexed="44"/>
      </left>
      <right style="thick">
        <color indexed="46"/>
      </right>
      <top/>
      <bottom/>
      <diagonal/>
    </border>
    <border>
      <left style="thick">
        <color indexed="46"/>
      </left>
      <right style="thin">
        <color indexed="8"/>
      </right>
      <top style="thick">
        <color indexed="46"/>
      </top>
      <bottom/>
      <diagonal/>
    </border>
    <border>
      <left style="thin">
        <color indexed="8"/>
      </left>
      <right/>
      <top style="thick">
        <color indexed="46"/>
      </top>
      <bottom/>
      <diagonal/>
    </border>
    <border>
      <left/>
      <right/>
      <top style="thick">
        <color indexed="46"/>
      </top>
      <bottom/>
      <diagonal/>
    </border>
    <border>
      <left/>
      <right style="thick">
        <color indexed="46"/>
      </right>
      <top style="thick">
        <color indexed="46"/>
      </top>
      <bottom/>
      <diagonal/>
    </border>
    <border>
      <left style="thick">
        <color indexed="46"/>
      </left>
      <right style="thin">
        <color indexed="8"/>
      </right>
      <top/>
      <bottom/>
      <diagonal/>
    </border>
    <border>
      <left style="thin">
        <color indexed="8"/>
      </left>
      <right style="thick">
        <color indexed="33"/>
      </right>
      <top/>
      <bottom/>
      <diagonal/>
    </border>
    <border>
      <left style="thick">
        <color indexed="33"/>
      </left>
      <right style="thick">
        <color indexed="46"/>
      </right>
      <top/>
      <bottom/>
      <diagonal/>
    </border>
    <border>
      <left style="thick">
        <color indexed="46"/>
      </left>
      <right style="thin">
        <color indexed="10"/>
      </right>
      <top/>
      <bottom/>
      <diagonal/>
    </border>
    <border>
      <left/>
      <right style="thick">
        <color indexed="46"/>
      </right>
      <top/>
      <bottom/>
      <diagonal/>
    </border>
    <border>
      <left style="thick">
        <color indexed="46"/>
      </left>
      <right style="thin">
        <color indexed="8"/>
      </right>
      <top/>
      <bottom style="thick">
        <color indexed="46"/>
      </bottom>
      <diagonal/>
    </border>
    <border>
      <left style="thin">
        <color indexed="8"/>
      </left>
      <right/>
      <top/>
      <bottom style="thick">
        <color indexed="46"/>
      </bottom>
      <diagonal/>
    </border>
    <border>
      <left/>
      <right style="thick">
        <color indexed="46"/>
      </right>
      <top/>
      <bottom style="thick">
        <color indexed="46"/>
      </bottom>
      <diagonal/>
    </border>
    <border>
      <left/>
      <right/>
      <top style="thick">
        <color indexed="46"/>
      </top>
      <bottom style="thick">
        <color indexed="46"/>
      </bottom>
      <diagonal/>
    </border>
    <border>
      <left style="thin">
        <color indexed="10"/>
      </left>
      <right/>
      <top style="thick">
        <color indexed="33"/>
      </top>
      <bottom style="thick">
        <color indexed="33"/>
      </bottom>
      <diagonal/>
    </border>
    <border>
      <left/>
      <right/>
      <top style="thick">
        <color indexed="33"/>
      </top>
      <bottom style="thick">
        <color indexed="33"/>
      </bottom>
      <diagonal/>
    </border>
    <border>
      <left style="thin">
        <color indexed="10"/>
      </left>
      <right/>
      <top style="thick">
        <color indexed="33"/>
      </top>
      <bottom/>
      <diagonal/>
    </border>
    <border>
      <left/>
      <right style="thin">
        <color indexed="8"/>
      </right>
      <top/>
      <bottom style="thin">
        <color indexed="10"/>
      </bottom>
      <diagonal/>
    </border>
    <border>
      <left style="thin">
        <color indexed="8"/>
      </left>
      <right style="thin">
        <color indexed="8"/>
      </right>
      <top/>
      <bottom style="thin">
        <color indexed="10"/>
      </bottom>
      <diagonal/>
    </border>
    <border>
      <left style="thin">
        <color indexed="8"/>
      </left>
      <right/>
      <top/>
      <bottom style="thin">
        <color indexed="10"/>
      </bottom>
      <diagonal/>
    </border>
    <border>
      <left/>
      <right/>
      <top/>
      <bottom style="medium">
        <color indexed="12"/>
      </bottom>
      <diagonal/>
    </border>
    <border>
      <left style="thin">
        <color indexed="8"/>
      </left>
      <right style="thin">
        <color indexed="8"/>
      </right>
      <top style="thin">
        <color indexed="8"/>
      </top>
      <bottom/>
      <diagonal/>
    </border>
    <border>
      <left style="thin">
        <color indexed="8"/>
      </left>
      <right style="medium">
        <color indexed="12"/>
      </right>
      <top/>
      <bottom/>
      <diagonal/>
    </border>
    <border>
      <left style="medium">
        <color indexed="12"/>
      </left>
      <right style="medium">
        <color indexed="12"/>
      </right>
      <top style="medium">
        <color indexed="12"/>
      </top>
      <bottom/>
      <diagonal/>
    </border>
    <border>
      <left style="medium">
        <color indexed="12"/>
      </left>
      <right/>
      <top style="medium">
        <color indexed="12"/>
      </top>
      <bottom/>
      <diagonal/>
    </border>
    <border>
      <left/>
      <right style="thin">
        <color indexed="12"/>
      </right>
      <top style="medium">
        <color indexed="12"/>
      </top>
      <bottom/>
      <diagonal/>
    </border>
    <border>
      <left style="thin">
        <color indexed="12"/>
      </left>
      <right/>
      <top style="medium">
        <color indexed="12"/>
      </top>
      <bottom/>
      <diagonal/>
    </border>
    <border>
      <left/>
      <right style="medium">
        <color indexed="12"/>
      </right>
      <top style="medium">
        <color indexed="12"/>
      </top>
      <bottom/>
      <diagonal/>
    </border>
    <border>
      <left style="medium">
        <color indexed="12"/>
      </left>
      <right/>
      <top/>
      <bottom/>
      <diagonal/>
    </border>
    <border>
      <left style="medium">
        <color indexed="12"/>
      </left>
      <right style="medium">
        <color indexed="12"/>
      </right>
      <top/>
      <bottom/>
      <diagonal/>
    </border>
    <border>
      <left/>
      <right style="thin">
        <color indexed="12"/>
      </right>
      <top/>
      <bottom/>
      <diagonal/>
    </border>
    <border>
      <left style="thin">
        <color indexed="12"/>
      </left>
      <right/>
      <top/>
      <bottom/>
      <diagonal/>
    </border>
    <border>
      <left/>
      <right style="medium">
        <color indexed="12"/>
      </right>
      <top/>
      <bottom/>
      <diagonal/>
    </border>
    <border>
      <left style="thin">
        <color indexed="8"/>
      </left>
      <right style="thin">
        <color indexed="8"/>
      </right>
      <top/>
      <bottom style="thin">
        <color indexed="8"/>
      </bottom>
      <diagonal/>
    </border>
    <border>
      <left style="medium">
        <color indexed="12"/>
      </left>
      <right style="medium">
        <color indexed="12"/>
      </right>
      <top/>
      <bottom style="medium">
        <color indexed="12"/>
      </bottom>
      <diagonal/>
    </border>
    <border>
      <left style="medium">
        <color indexed="12"/>
      </left>
      <right/>
      <top/>
      <bottom style="medium">
        <color indexed="12"/>
      </bottom>
      <diagonal/>
    </border>
    <border>
      <left/>
      <right style="thin">
        <color indexed="12"/>
      </right>
      <top/>
      <bottom style="medium">
        <color indexed="12"/>
      </bottom>
      <diagonal/>
    </border>
    <border>
      <left style="thin">
        <color indexed="12"/>
      </left>
      <right/>
      <top/>
      <bottom style="medium">
        <color indexed="12"/>
      </bottom>
      <diagonal/>
    </border>
    <border>
      <left/>
      <right style="medium">
        <color indexed="12"/>
      </right>
      <top/>
      <bottom style="medium">
        <color indexed="12"/>
      </bottom>
      <diagonal/>
    </border>
    <border>
      <left/>
      <right/>
      <top style="medium">
        <color indexed="12"/>
      </top>
      <bottom/>
      <diagonal/>
    </border>
    <border>
      <left/>
      <right/>
      <top/>
      <bottom style="medium">
        <color indexed="47"/>
      </bottom>
      <diagonal/>
    </border>
    <border>
      <left style="thin">
        <color indexed="8"/>
      </left>
      <right style="medium">
        <color indexed="47"/>
      </right>
      <top/>
      <bottom/>
      <diagonal/>
    </border>
    <border>
      <left style="medium">
        <color indexed="47"/>
      </left>
      <right style="medium">
        <color indexed="47"/>
      </right>
      <top style="medium">
        <color indexed="47"/>
      </top>
      <bottom/>
      <diagonal/>
    </border>
    <border>
      <left style="medium">
        <color indexed="47"/>
      </left>
      <right/>
      <top style="medium">
        <color indexed="47"/>
      </top>
      <bottom/>
      <diagonal/>
    </border>
    <border>
      <left/>
      <right/>
      <top style="medium">
        <color indexed="47"/>
      </top>
      <bottom/>
      <diagonal/>
    </border>
    <border>
      <left/>
      <right style="medium">
        <color indexed="47"/>
      </right>
      <top style="medium">
        <color indexed="47"/>
      </top>
      <bottom/>
      <diagonal/>
    </border>
    <border>
      <left style="medium">
        <color indexed="47"/>
      </left>
      <right/>
      <top/>
      <bottom/>
      <diagonal/>
    </border>
    <border>
      <left style="medium">
        <color indexed="47"/>
      </left>
      <right style="medium">
        <color indexed="47"/>
      </right>
      <top/>
      <bottom/>
      <diagonal/>
    </border>
    <border>
      <left/>
      <right style="medium">
        <color indexed="47"/>
      </right>
      <top/>
      <bottom/>
      <diagonal/>
    </border>
    <border>
      <left style="medium">
        <color indexed="47"/>
      </left>
      <right style="medium">
        <color indexed="47"/>
      </right>
      <top/>
      <bottom style="medium">
        <color indexed="47"/>
      </bottom>
      <diagonal/>
    </border>
    <border>
      <left style="medium">
        <color indexed="47"/>
      </left>
      <right/>
      <top/>
      <bottom style="medium">
        <color indexed="47"/>
      </bottom>
      <diagonal/>
    </border>
    <border>
      <left/>
      <right style="medium">
        <color indexed="47"/>
      </right>
      <top/>
      <bottom style="medium">
        <color indexed="47"/>
      </bottom>
      <diagonal/>
    </border>
    <border>
      <left/>
      <right/>
      <top/>
      <bottom style="thin">
        <color indexed="16"/>
      </bottom>
      <diagonal/>
    </border>
    <border>
      <left/>
      <right/>
      <top style="thin">
        <color indexed="16"/>
      </top>
      <bottom style="thin">
        <color indexed="16"/>
      </bottom>
      <diagonal/>
    </border>
    <border>
      <left/>
      <right/>
      <top style="thin">
        <color indexed="16"/>
      </top>
      <bottom/>
      <diagonal/>
    </border>
    <border>
      <left style="thin">
        <color indexed="10"/>
      </left>
      <right style="thin">
        <color indexed="8"/>
      </right>
      <top/>
      <bottom style="thin">
        <color indexed="49"/>
      </bottom>
      <diagonal/>
    </border>
    <border>
      <left style="thin">
        <color indexed="8"/>
      </left>
      <right/>
      <top/>
      <bottom style="thin">
        <color indexed="49"/>
      </bottom>
      <diagonal/>
    </border>
    <border>
      <left/>
      <right/>
      <top/>
      <bottom style="thin">
        <color indexed="49"/>
      </bottom>
      <diagonal/>
    </border>
    <border>
      <left/>
      <right style="thin">
        <color indexed="8"/>
      </right>
      <top/>
      <bottom style="thin">
        <color indexed="49"/>
      </bottom>
      <diagonal/>
    </border>
    <border>
      <left style="thin">
        <color indexed="10"/>
      </left>
      <right style="thin">
        <color indexed="8"/>
      </right>
      <top style="thin">
        <color indexed="49"/>
      </top>
      <bottom style="thin">
        <color indexed="49"/>
      </bottom>
      <diagonal/>
    </border>
    <border>
      <left style="thin">
        <color indexed="8"/>
      </left>
      <right/>
      <top style="thin">
        <color indexed="49"/>
      </top>
      <bottom style="thin">
        <color indexed="49"/>
      </bottom>
      <diagonal/>
    </border>
    <border>
      <left/>
      <right/>
      <top style="thin">
        <color indexed="49"/>
      </top>
      <bottom style="thin">
        <color indexed="49"/>
      </bottom>
      <diagonal/>
    </border>
    <border>
      <left/>
      <right style="thin">
        <color indexed="8"/>
      </right>
      <top style="thin">
        <color indexed="49"/>
      </top>
      <bottom style="thin">
        <color indexed="49"/>
      </bottom>
      <diagonal/>
    </border>
    <border>
      <left style="thin">
        <color indexed="10"/>
      </left>
      <right style="thin">
        <color indexed="8"/>
      </right>
      <top style="thin">
        <color indexed="49"/>
      </top>
      <bottom/>
      <diagonal/>
    </border>
    <border>
      <left style="thin">
        <color indexed="8"/>
      </left>
      <right/>
      <top style="thin">
        <color indexed="49"/>
      </top>
      <bottom/>
      <diagonal/>
    </border>
    <border>
      <left/>
      <right/>
      <top style="thin">
        <color indexed="49"/>
      </top>
      <bottom/>
      <diagonal/>
    </border>
    <border>
      <left/>
      <right style="thin">
        <color indexed="8"/>
      </right>
      <top style="thin">
        <color indexed="49"/>
      </top>
      <bottom/>
      <diagonal/>
    </border>
    <border>
      <left style="thin">
        <color indexed="10"/>
      </left>
      <right style="thin">
        <color indexed="8"/>
      </right>
      <top/>
      <bottom/>
      <diagonal/>
    </border>
    <border>
      <left style="thin">
        <color indexed="10"/>
      </left>
      <right style="thin">
        <color indexed="8"/>
      </right>
      <top/>
      <bottom style="thin">
        <color indexed="15"/>
      </bottom>
      <diagonal/>
    </border>
    <border>
      <left style="thin">
        <color indexed="8"/>
      </left>
      <right/>
      <top/>
      <bottom style="thin">
        <color indexed="15"/>
      </bottom>
      <diagonal/>
    </border>
    <border>
      <left/>
      <right/>
      <top/>
      <bottom style="thin">
        <color indexed="15"/>
      </bottom>
      <diagonal/>
    </border>
    <border>
      <left/>
      <right style="thin">
        <color indexed="8"/>
      </right>
      <top/>
      <bottom style="thin">
        <color indexed="15"/>
      </bottom>
      <diagonal/>
    </border>
    <border>
      <left style="thin">
        <color indexed="10"/>
      </left>
      <right style="thin">
        <color indexed="8"/>
      </right>
      <top style="thin">
        <color indexed="15"/>
      </top>
      <bottom/>
      <diagonal/>
    </border>
    <border>
      <left style="thin">
        <color indexed="8"/>
      </left>
      <right/>
      <top style="thin">
        <color indexed="15"/>
      </top>
      <bottom/>
      <diagonal/>
    </border>
    <border>
      <left/>
      <right/>
      <top style="thin">
        <color indexed="15"/>
      </top>
      <bottom/>
      <diagonal/>
    </border>
    <border>
      <left/>
      <right style="thin">
        <color indexed="8"/>
      </right>
      <top style="thin">
        <color indexed="15"/>
      </top>
      <bottom/>
      <diagonal/>
    </border>
    <border>
      <left style="thin">
        <color indexed="10"/>
      </left>
      <right style="thin">
        <color indexed="8"/>
      </right>
      <top/>
      <bottom style="thin">
        <color indexed="8"/>
      </bottom>
      <diagonal/>
    </border>
    <border>
      <left style="thin">
        <color indexed="10"/>
      </left>
      <right style="thin">
        <color indexed="8"/>
      </right>
      <top style="thin">
        <color indexed="8"/>
      </top>
      <bottom/>
      <diagonal/>
    </border>
    <border>
      <left style="thin">
        <color indexed="10"/>
      </left>
      <right style="thin">
        <color indexed="10"/>
      </right>
      <top style="thin">
        <color indexed="10"/>
      </top>
      <bottom style="thin">
        <color indexed="8"/>
      </bottom>
      <diagonal/>
    </border>
    <border>
      <left style="thin">
        <color indexed="10"/>
      </left>
      <right style="thin">
        <color indexed="8"/>
      </right>
      <top style="thin">
        <color indexed="10"/>
      </top>
      <bottom style="thin">
        <color indexed="8"/>
      </bottom>
      <diagonal/>
    </border>
    <border>
      <left style="thin">
        <color indexed="8"/>
      </left>
      <right/>
      <top style="thin">
        <color indexed="16"/>
      </top>
      <bottom style="thin">
        <color indexed="16"/>
      </bottom>
      <diagonal/>
    </border>
    <border>
      <left style="thin">
        <color indexed="10"/>
      </left>
      <right style="thin">
        <color indexed="10"/>
      </right>
      <top style="thin">
        <color indexed="8"/>
      </top>
      <bottom style="thin">
        <color indexed="10"/>
      </bottom>
      <diagonal/>
    </border>
    <border>
      <left style="thin">
        <color indexed="10"/>
      </left>
      <right style="thin">
        <color indexed="8"/>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8"/>
      </right>
      <top style="thin">
        <color indexed="10"/>
      </top>
      <bottom style="thin">
        <color indexed="10"/>
      </bottom>
      <diagonal/>
    </border>
    <border>
      <left style="thin">
        <color indexed="8"/>
      </left>
      <right style="thin">
        <color indexed="10"/>
      </right>
      <top style="thin">
        <color indexed="16"/>
      </top>
      <bottom style="thin">
        <color indexed="10"/>
      </bottom>
      <diagonal/>
    </border>
    <border>
      <left style="thin">
        <color indexed="10"/>
      </left>
      <right/>
      <top style="thin">
        <color indexed="16"/>
      </top>
      <bottom style="thin">
        <color indexed="10"/>
      </bottom>
      <diagonal/>
    </border>
    <border>
      <left style="thin">
        <color indexed="8"/>
      </left>
      <right style="thin">
        <color indexed="10"/>
      </right>
      <top style="thin">
        <color indexed="10"/>
      </top>
      <bottom style="thin">
        <color indexed="10"/>
      </bottom>
      <diagonal/>
    </border>
    <border>
      <left style="thin">
        <color indexed="10"/>
      </left>
      <right/>
      <top style="thin">
        <color indexed="10"/>
      </top>
      <bottom style="thin">
        <color indexed="10"/>
      </bottom>
      <diagonal/>
    </border>
    <border>
      <left style="thin">
        <color indexed="10"/>
      </left>
      <right style="thin">
        <color indexed="10"/>
      </right>
      <top style="thin">
        <color indexed="8"/>
      </top>
      <bottom style="thin">
        <color indexed="8"/>
      </bottom>
      <diagonal/>
    </border>
    <border>
      <left style="thin">
        <color indexed="10"/>
      </left>
      <right style="thin">
        <color indexed="8"/>
      </right>
      <top style="thin">
        <color indexed="8"/>
      </top>
      <bottom style="thin">
        <color indexed="8"/>
      </bottom>
      <diagonal/>
    </border>
    <border>
      <left style="thin">
        <color indexed="8"/>
      </left>
      <right style="thin">
        <color indexed="10"/>
      </right>
      <top style="thin">
        <color indexed="10"/>
      </top>
      <bottom style="thin">
        <color indexed="8"/>
      </bottom>
      <diagonal/>
    </border>
    <border>
      <left style="thin">
        <color indexed="8"/>
      </left>
      <right style="thin">
        <color indexed="8"/>
      </right>
      <top style="thin">
        <color indexed="10"/>
      </top>
      <bottom style="thin">
        <color indexed="8"/>
      </bottom>
      <diagonal/>
    </border>
    <border>
      <left style="thin">
        <color indexed="8"/>
      </left>
      <right style="thin">
        <color indexed="16"/>
      </right>
      <top style="thin">
        <color indexed="10"/>
      </top>
      <bottom/>
      <diagonal/>
    </border>
    <border>
      <left style="thin">
        <color indexed="8"/>
      </left>
      <right style="thin">
        <color indexed="10"/>
      </right>
      <top style="thin">
        <color indexed="8"/>
      </top>
      <bottom style="thin">
        <color indexed="10"/>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diagonal/>
    </border>
    <border>
      <left/>
      <right style="thin">
        <color indexed="10"/>
      </right>
      <top style="thin">
        <color indexed="10"/>
      </top>
      <bottom style="thin">
        <color indexed="10"/>
      </bottom>
      <diagonal/>
    </border>
  </borders>
  <cellStyleXfs count="1">
    <xf numFmtId="0" fontId="0" fillId="0" borderId="0" applyNumberFormat="0" applyFill="0" applyBorder="0" applyProtection="0"/>
  </cellStyleXfs>
  <cellXfs count="805">
    <xf numFmtId="0" fontId="0" fillId="0" borderId="0" xfId="0" applyFont="1" applyAlignment="1"/>
    <xf numFmtId="0" fontId="0" fillId="0" borderId="0" xfId="0" applyNumberFormat="1" applyFont="1" applyAlignment="1"/>
    <xf numFmtId="0" fontId="0" fillId="2" borderId="1" xfId="0" applyFont="1" applyFill="1" applyBorder="1" applyAlignment="1"/>
    <xf numFmtId="0" fontId="0" fillId="2" borderId="2" xfId="0" applyFont="1" applyFill="1" applyBorder="1" applyAlignment="1"/>
    <xf numFmtId="0" fontId="0" fillId="2" borderId="3" xfId="0" applyFont="1" applyFill="1" applyBorder="1" applyAlignment="1"/>
    <xf numFmtId="0" fontId="0" fillId="2" borderId="4" xfId="0" applyFont="1" applyFill="1" applyBorder="1" applyAlignment="1"/>
    <xf numFmtId="0" fontId="0" fillId="2" borderId="5" xfId="0" applyFont="1" applyFill="1" applyBorder="1" applyAlignment="1"/>
    <xf numFmtId="49" fontId="1" fillId="2" borderId="5" xfId="0" applyNumberFormat="1" applyFont="1" applyFill="1" applyBorder="1" applyAlignment="1">
      <alignment horizontal="right"/>
    </xf>
    <xf numFmtId="49" fontId="2" fillId="2" borderId="5" xfId="0" applyNumberFormat="1" applyFont="1" applyFill="1" applyBorder="1" applyAlignment="1">
      <alignment horizontal="right"/>
    </xf>
    <xf numFmtId="0" fontId="0" fillId="2" borderId="6" xfId="0" applyFont="1" applyFill="1" applyBorder="1" applyAlignment="1"/>
    <xf numFmtId="49" fontId="1" fillId="2" borderId="5" xfId="0" applyNumberFormat="1" applyFont="1" applyFill="1" applyBorder="1" applyAlignment="1">
      <alignment horizontal="left"/>
    </xf>
    <xf numFmtId="0" fontId="0" fillId="2" borderId="7" xfId="0" applyFont="1" applyFill="1" applyBorder="1" applyAlignment="1"/>
    <xf numFmtId="49" fontId="0" fillId="2" borderId="9" xfId="0" applyNumberFormat="1" applyFont="1" applyFill="1" applyBorder="1" applyAlignment="1"/>
    <xf numFmtId="0" fontId="3" fillId="2" borderId="9" xfId="0" applyNumberFormat="1" applyFont="1" applyFill="1" applyBorder="1" applyAlignment="1"/>
    <xf numFmtId="0" fontId="0" fillId="2" borderId="9" xfId="0" applyNumberFormat="1" applyFont="1" applyFill="1" applyBorder="1" applyAlignment="1"/>
    <xf numFmtId="0" fontId="5" fillId="2" borderId="10" xfId="0" applyNumberFormat="1" applyFont="1" applyFill="1" applyBorder="1" applyAlignment="1"/>
    <xf numFmtId="49" fontId="0" fillId="2" borderId="6" xfId="0" applyNumberFormat="1" applyFont="1" applyFill="1" applyBorder="1" applyAlignment="1"/>
    <xf numFmtId="0" fontId="3" fillId="2" borderId="6" xfId="0" applyNumberFormat="1" applyFont="1" applyFill="1" applyBorder="1" applyAlignment="1"/>
    <xf numFmtId="0" fontId="0" fillId="2" borderId="6" xfId="0" applyNumberFormat="1" applyFont="1" applyFill="1" applyBorder="1" applyAlignment="1"/>
    <xf numFmtId="0" fontId="5" fillId="2" borderId="12" xfId="0" applyNumberFormat="1" applyFont="1" applyFill="1" applyBorder="1" applyAlignment="1"/>
    <xf numFmtId="49" fontId="0" fillId="2" borderId="5" xfId="0" applyNumberFormat="1" applyFont="1" applyFill="1" applyBorder="1" applyAlignment="1"/>
    <xf numFmtId="0" fontId="3" fillId="2" borderId="5" xfId="0" applyNumberFormat="1" applyFont="1" applyFill="1" applyBorder="1" applyAlignment="1"/>
    <xf numFmtId="0" fontId="0" fillId="2" borderId="5" xfId="0" applyNumberFormat="1" applyFont="1" applyFill="1" applyBorder="1" applyAlignment="1"/>
    <xf numFmtId="0" fontId="5" fillId="2" borderId="7" xfId="0" applyNumberFormat="1" applyFont="1" applyFill="1" applyBorder="1" applyAlignment="1"/>
    <xf numFmtId="0" fontId="0" fillId="2" borderId="9" xfId="0" applyFont="1" applyFill="1" applyBorder="1" applyAlignment="1"/>
    <xf numFmtId="0" fontId="0" fillId="2" borderId="10" xfId="0" applyFont="1" applyFill="1" applyBorder="1" applyAlignment="1"/>
    <xf numFmtId="0" fontId="0" fillId="2" borderId="12" xfId="0" applyFont="1" applyFill="1" applyBorder="1" applyAlignment="1"/>
    <xf numFmtId="0" fontId="0" fillId="2" borderId="8" xfId="0" applyFont="1" applyFill="1" applyBorder="1" applyAlignment="1"/>
    <xf numFmtId="0" fontId="0" fillId="2" borderId="11" xfId="0" applyFont="1" applyFill="1" applyBorder="1" applyAlignment="1"/>
    <xf numFmtId="49" fontId="7" fillId="2" borderId="11" xfId="0" applyNumberFormat="1" applyFont="1" applyFill="1" applyBorder="1" applyAlignment="1"/>
    <xf numFmtId="49" fontId="0" fillId="2" borderId="11" xfId="0" applyNumberFormat="1" applyFont="1" applyFill="1" applyBorder="1" applyAlignment="1"/>
    <xf numFmtId="49" fontId="8" fillId="2" borderId="4" xfId="0" applyNumberFormat="1" applyFont="1" applyFill="1" applyBorder="1" applyAlignment="1">
      <alignment horizontal="center"/>
    </xf>
    <xf numFmtId="49" fontId="10" fillId="2" borderId="5" xfId="0" applyNumberFormat="1" applyFont="1" applyFill="1" applyBorder="1" applyAlignment="1"/>
    <xf numFmtId="49" fontId="10" fillId="2" borderId="5" xfId="0" applyNumberFormat="1" applyFont="1" applyFill="1" applyBorder="1" applyAlignment="1">
      <alignment horizontal="center"/>
    </xf>
    <xf numFmtId="0" fontId="8" fillId="2" borderId="8" xfId="0" applyNumberFormat="1" applyFont="1" applyFill="1" applyBorder="1" applyAlignment="1">
      <alignment horizontal="center"/>
    </xf>
    <xf numFmtId="49" fontId="10" fillId="2" borderId="9" xfId="0" applyNumberFormat="1" applyFont="1" applyFill="1" applyBorder="1" applyAlignment="1"/>
    <xf numFmtId="0" fontId="10" fillId="2" borderId="9" xfId="0" applyNumberFormat="1" applyFont="1" applyFill="1" applyBorder="1" applyAlignment="1">
      <alignment horizontal="center"/>
    </xf>
    <xf numFmtId="0" fontId="8" fillId="2" borderId="11" xfId="0" applyNumberFormat="1" applyFont="1" applyFill="1" applyBorder="1" applyAlignment="1">
      <alignment horizontal="center"/>
    </xf>
    <xf numFmtId="49" fontId="10" fillId="2" borderId="6" xfId="0" applyNumberFormat="1" applyFont="1" applyFill="1" applyBorder="1" applyAlignment="1"/>
    <xf numFmtId="0" fontId="10" fillId="2" borderId="6" xfId="0" applyNumberFormat="1" applyFont="1" applyFill="1" applyBorder="1" applyAlignment="1">
      <alignment horizontal="center"/>
    </xf>
    <xf numFmtId="0" fontId="10" fillId="2" borderId="6" xfId="0" applyFont="1" applyFill="1" applyBorder="1" applyAlignment="1">
      <alignment horizontal="center"/>
    </xf>
    <xf numFmtId="0" fontId="8" fillId="2" borderId="13" xfId="0" applyNumberFormat="1" applyFont="1" applyFill="1" applyBorder="1" applyAlignment="1">
      <alignment horizontal="center"/>
    </xf>
    <xf numFmtId="49" fontId="10" fillId="2" borderId="14" xfId="0" applyNumberFormat="1" applyFont="1" applyFill="1" applyBorder="1" applyAlignment="1"/>
    <xf numFmtId="0" fontId="10" fillId="2" borderId="14" xfId="0" applyNumberFormat="1" applyFont="1" applyFill="1" applyBorder="1" applyAlignment="1">
      <alignment horizontal="center"/>
    </xf>
    <xf numFmtId="0" fontId="10" fillId="2" borderId="14" xfId="0" applyFont="1" applyFill="1" applyBorder="1" applyAlignment="1">
      <alignment horizontal="center"/>
    </xf>
    <xf numFmtId="0" fontId="0" fillId="2" borderId="14" xfId="0" applyFont="1" applyFill="1" applyBorder="1" applyAlignment="1"/>
    <xf numFmtId="0" fontId="0" fillId="2" borderId="15" xfId="0" applyFont="1" applyFill="1" applyBorder="1" applyAlignment="1"/>
    <xf numFmtId="0" fontId="0" fillId="3" borderId="0" xfId="0" applyNumberFormat="1" applyFont="1" applyFill="1" applyAlignment="1"/>
    <xf numFmtId="0" fontId="11" fillId="3" borderId="16" xfId="0" applyFont="1" applyFill="1" applyBorder="1" applyAlignment="1"/>
    <xf numFmtId="0" fontId="0" fillId="3" borderId="17" xfId="0" applyFont="1" applyFill="1" applyBorder="1" applyAlignment="1"/>
    <xf numFmtId="0" fontId="0" fillId="3" borderId="2" xfId="0" applyFont="1" applyFill="1" applyBorder="1" applyAlignment="1"/>
    <xf numFmtId="2" fontId="0" fillId="3" borderId="2" xfId="0" applyNumberFormat="1" applyFont="1" applyFill="1" applyBorder="1" applyAlignment="1"/>
    <xf numFmtId="0" fontId="0" fillId="3" borderId="2" xfId="0" applyNumberFormat="1" applyFont="1" applyFill="1" applyBorder="1" applyAlignment="1"/>
    <xf numFmtId="0" fontId="11" fillId="3" borderId="2" xfId="0" applyFont="1" applyFill="1" applyBorder="1" applyAlignment="1">
      <alignment horizontal="center"/>
    </xf>
    <xf numFmtId="49" fontId="12" fillId="3" borderId="2" xfId="0" applyNumberFormat="1" applyFont="1" applyFill="1" applyBorder="1" applyAlignment="1">
      <alignment horizontal="center"/>
    </xf>
    <xf numFmtId="0" fontId="0" fillId="3" borderId="18" xfId="0" applyFont="1" applyFill="1" applyBorder="1" applyAlignment="1"/>
    <xf numFmtId="49" fontId="13" fillId="2" borderId="19" xfId="0" applyNumberFormat="1" applyFont="1" applyFill="1" applyBorder="1" applyAlignment="1">
      <alignment horizontal="left"/>
    </xf>
    <xf numFmtId="49" fontId="13" fillId="2" borderId="20" xfId="0" applyNumberFormat="1" applyFont="1" applyFill="1" applyBorder="1" applyAlignment="1">
      <alignment horizontal="center"/>
    </xf>
    <xf numFmtId="49" fontId="13" fillId="2" borderId="21" xfId="0" applyNumberFormat="1" applyFont="1" applyFill="1" applyBorder="1" applyAlignment="1">
      <alignment horizontal="center"/>
    </xf>
    <xf numFmtId="49" fontId="0" fillId="4" borderId="22" xfId="0" applyNumberFormat="1" applyFont="1" applyFill="1" applyBorder="1" applyAlignment="1"/>
    <xf numFmtId="49" fontId="0" fillId="4" borderId="23" xfId="0" applyNumberFormat="1" applyFont="1" applyFill="1" applyBorder="1" applyAlignment="1"/>
    <xf numFmtId="0" fontId="0" fillId="4" borderId="24" xfId="0" applyFont="1" applyFill="1" applyBorder="1" applyAlignment="1"/>
    <xf numFmtId="49" fontId="13" fillId="4" borderId="22" xfId="0" applyNumberFormat="1" applyFont="1" applyFill="1" applyBorder="1" applyAlignment="1"/>
    <xf numFmtId="0" fontId="13" fillId="4" borderId="23" xfId="0" applyFont="1" applyFill="1" applyBorder="1" applyAlignment="1"/>
    <xf numFmtId="0" fontId="13" fillId="4" borderId="24" xfId="0" applyFont="1" applyFill="1" applyBorder="1" applyAlignment="1"/>
    <xf numFmtId="0" fontId="0" fillId="3" borderId="25" xfId="0" applyFont="1" applyFill="1" applyBorder="1" applyAlignment="1"/>
    <xf numFmtId="49" fontId="0" fillId="3" borderId="25" xfId="0" applyNumberFormat="1" applyFont="1" applyFill="1" applyBorder="1" applyAlignment="1"/>
    <xf numFmtId="0" fontId="11" fillId="3" borderId="25" xfId="0" applyFont="1" applyFill="1" applyBorder="1" applyAlignment="1">
      <alignment horizontal="left"/>
    </xf>
    <xf numFmtId="49" fontId="11" fillId="3" borderId="25" xfId="0" applyNumberFormat="1" applyFont="1" applyFill="1" applyBorder="1" applyAlignment="1">
      <alignment horizontal="center"/>
    </xf>
    <xf numFmtId="0" fontId="11" fillId="3" borderId="25" xfId="0" applyFont="1" applyFill="1" applyBorder="1" applyAlignment="1">
      <alignment horizontal="center"/>
    </xf>
    <xf numFmtId="49" fontId="11" fillId="4" borderId="26" xfId="0" applyNumberFormat="1" applyFont="1" applyFill="1" applyBorder="1" applyAlignment="1">
      <alignment horizontal="center"/>
    </xf>
    <xf numFmtId="49" fontId="11" fillId="4" borderId="28" xfId="0" applyNumberFormat="1" applyFont="1" applyFill="1" applyBorder="1" applyAlignment="1">
      <alignment horizontal="center"/>
    </xf>
    <xf numFmtId="49" fontId="13" fillId="4" borderId="29" xfId="0" applyNumberFormat="1" applyFont="1" applyFill="1" applyBorder="1" applyAlignment="1">
      <alignment horizontal="center"/>
    </xf>
    <xf numFmtId="0" fontId="13" fillId="5" borderId="6" xfId="0" applyFont="1" applyFill="1" applyBorder="1" applyAlignment="1">
      <alignment horizontal="center"/>
    </xf>
    <xf numFmtId="0" fontId="0" fillId="3" borderId="6" xfId="0" applyFont="1" applyFill="1" applyBorder="1" applyAlignment="1"/>
    <xf numFmtId="49" fontId="11" fillId="3" borderId="6" xfId="0" applyNumberFormat="1" applyFont="1" applyFill="1" applyBorder="1" applyAlignment="1">
      <alignment horizontal="center"/>
    </xf>
    <xf numFmtId="0" fontId="11" fillId="3" borderId="6" xfId="0" applyFont="1" applyFill="1" applyBorder="1" applyAlignment="1">
      <alignment horizontal="center"/>
    </xf>
    <xf numFmtId="0" fontId="11" fillId="3" borderId="5" xfId="0" applyFont="1" applyFill="1" applyBorder="1" applyAlignment="1">
      <alignment horizontal="center"/>
    </xf>
    <xf numFmtId="0" fontId="0" fillId="3" borderId="5" xfId="0" applyFont="1" applyFill="1" applyBorder="1" applyAlignment="1"/>
    <xf numFmtId="0" fontId="11" fillId="3" borderId="6" xfId="0" applyFont="1" applyFill="1" applyBorder="1" applyAlignment="1">
      <alignment horizontal="left"/>
    </xf>
    <xf numFmtId="49" fontId="11" fillId="3" borderId="6" xfId="0" applyNumberFormat="1" applyFont="1" applyFill="1" applyBorder="1" applyAlignment="1">
      <alignment horizontal="left"/>
    </xf>
    <xf numFmtId="0" fontId="12" fillId="3" borderId="6" xfId="0" applyNumberFormat="1" applyFont="1" applyFill="1" applyBorder="1" applyAlignment="1">
      <alignment horizontal="center"/>
    </xf>
    <xf numFmtId="0" fontId="0" fillId="3" borderId="30" xfId="0" applyFont="1" applyFill="1" applyBorder="1" applyAlignment="1"/>
    <xf numFmtId="0" fontId="0" fillId="2" borderId="31" xfId="0" applyFont="1" applyFill="1" applyBorder="1" applyAlignment="1"/>
    <xf numFmtId="49" fontId="0" fillId="2" borderId="32" xfId="0" applyNumberFormat="1" applyFont="1" applyFill="1" applyBorder="1" applyAlignment="1"/>
    <xf numFmtId="49" fontId="0" fillId="2" borderId="22" xfId="0" applyNumberFormat="1" applyFont="1" applyFill="1" applyBorder="1" applyAlignment="1"/>
    <xf numFmtId="14" fontId="0" fillId="2" borderId="23" xfId="0" applyNumberFormat="1" applyFont="1" applyFill="1" applyBorder="1" applyAlignment="1"/>
    <xf numFmtId="0" fontId="0" fillId="2" borderId="23" xfId="0" applyFont="1" applyFill="1" applyBorder="1" applyAlignment="1"/>
    <xf numFmtId="0" fontId="0" fillId="2" borderId="24" xfId="0" applyFont="1" applyFill="1" applyBorder="1" applyAlignment="1"/>
    <xf numFmtId="0" fontId="0" fillId="6" borderId="23" xfId="0" applyNumberFormat="1" applyFont="1" applyFill="1" applyBorder="1" applyAlignment="1"/>
    <xf numFmtId="49" fontId="0" fillId="2" borderId="24" xfId="0" applyNumberFormat="1" applyFont="1" applyFill="1" applyBorder="1" applyAlignment="1"/>
    <xf numFmtId="0" fontId="11" fillId="3" borderId="25" xfId="0" applyNumberFormat="1" applyFont="1" applyFill="1" applyBorder="1" applyAlignment="1">
      <alignment horizontal="center"/>
    </xf>
    <xf numFmtId="1" fontId="11" fillId="3" borderId="25" xfId="0" applyNumberFormat="1" applyFont="1" applyFill="1" applyBorder="1" applyAlignment="1">
      <alignment horizontal="center"/>
    </xf>
    <xf numFmtId="0" fontId="15" fillId="7" borderId="33" xfId="0" applyFont="1" applyFill="1" applyBorder="1" applyAlignment="1"/>
    <xf numFmtId="0" fontId="15" fillId="7" borderId="34" xfId="0" applyFont="1" applyFill="1" applyBorder="1" applyAlignment="1"/>
    <xf numFmtId="0" fontId="15" fillId="7" borderId="33" xfId="0" applyNumberFormat="1" applyFont="1" applyFill="1" applyBorder="1" applyAlignment="1">
      <alignment horizontal="center"/>
    </xf>
    <xf numFmtId="0" fontId="15" fillId="7" borderId="35" xfId="0" applyNumberFormat="1" applyFont="1" applyFill="1" applyBorder="1" applyAlignment="1">
      <alignment horizontal="center"/>
    </xf>
    <xf numFmtId="1" fontId="16" fillId="7" borderId="36" xfId="0" applyNumberFormat="1" applyFont="1" applyFill="1" applyBorder="1" applyAlignment="1">
      <alignment horizontal="center"/>
    </xf>
    <xf numFmtId="1" fontId="16" fillId="7" borderId="6" xfId="0" applyNumberFormat="1" applyFont="1" applyFill="1" applyBorder="1" applyAlignment="1">
      <alignment horizontal="center"/>
    </xf>
    <xf numFmtId="1" fontId="11" fillId="3" borderId="6" xfId="0" applyNumberFormat="1" applyFont="1" applyFill="1" applyBorder="1" applyAlignment="1">
      <alignment horizontal="center"/>
    </xf>
    <xf numFmtId="1" fontId="0" fillId="3" borderId="6" xfId="0" applyNumberFormat="1" applyFont="1" applyFill="1" applyBorder="1" applyAlignment="1"/>
    <xf numFmtId="0" fontId="17" fillId="3" borderId="37" xfId="0" applyFont="1" applyFill="1" applyBorder="1" applyAlignment="1"/>
    <xf numFmtId="0" fontId="0" fillId="3" borderId="25" xfId="0" applyNumberFormat="1" applyFont="1" applyFill="1" applyBorder="1" applyAlignment="1"/>
    <xf numFmtId="0" fontId="18" fillId="3" borderId="25" xfId="0" applyNumberFormat="1" applyFont="1" applyFill="1" applyBorder="1" applyAlignment="1"/>
    <xf numFmtId="0" fontId="17" fillId="3" borderId="38" xfId="0" applyFont="1" applyFill="1" applyBorder="1" applyAlignment="1"/>
    <xf numFmtId="0" fontId="17" fillId="3" borderId="39" xfId="0" applyFont="1" applyFill="1" applyBorder="1" applyAlignment="1"/>
    <xf numFmtId="0" fontId="0" fillId="3" borderId="40" xfId="0" applyFont="1" applyFill="1" applyBorder="1" applyAlignment="1"/>
    <xf numFmtId="2" fontId="11" fillId="3" borderId="6" xfId="0" applyNumberFormat="1" applyFont="1" applyFill="1" applyBorder="1" applyAlignment="1">
      <alignment horizontal="center"/>
    </xf>
    <xf numFmtId="0" fontId="11" fillId="3" borderId="6" xfId="0" applyFont="1" applyFill="1" applyBorder="1" applyAlignment="1">
      <alignment horizontal="right"/>
    </xf>
    <xf numFmtId="0" fontId="12" fillId="2" borderId="23" xfId="0" applyFont="1" applyFill="1" applyBorder="1" applyAlignment="1">
      <alignment horizontal="right"/>
    </xf>
    <xf numFmtId="0" fontId="12" fillId="6" borderId="23" xfId="0" applyNumberFormat="1" applyFont="1" applyFill="1" applyBorder="1" applyAlignment="1">
      <alignment horizontal="center"/>
    </xf>
    <xf numFmtId="0" fontId="11" fillId="3" borderId="6" xfId="0" applyNumberFormat="1" applyFont="1" applyFill="1" applyBorder="1" applyAlignment="1">
      <alignment horizontal="left"/>
    </xf>
    <xf numFmtId="0" fontId="11" fillId="3" borderId="6" xfId="0" applyNumberFormat="1" applyFont="1" applyFill="1" applyBorder="1" applyAlignment="1">
      <alignment horizontal="center"/>
    </xf>
    <xf numFmtId="164" fontId="11" fillId="3" borderId="6" xfId="0" applyNumberFormat="1" applyFont="1" applyFill="1" applyBorder="1" applyAlignment="1">
      <alignment horizontal="center"/>
    </xf>
    <xf numFmtId="0" fontId="0" fillId="3" borderId="6" xfId="0" applyNumberFormat="1" applyFont="1" applyFill="1" applyBorder="1" applyAlignment="1"/>
    <xf numFmtId="0" fontId="0" fillId="2" borderId="41" xfId="0" applyFont="1" applyFill="1" applyBorder="1" applyAlignment="1"/>
    <xf numFmtId="49" fontId="0" fillId="2" borderId="30" xfId="0" applyNumberFormat="1" applyFont="1" applyFill="1" applyBorder="1" applyAlignment="1"/>
    <xf numFmtId="0" fontId="15" fillId="7" borderId="42" xfId="0" applyFont="1" applyFill="1" applyBorder="1" applyAlignment="1"/>
    <xf numFmtId="0" fontId="15" fillId="7" borderId="43" xfId="0" applyFont="1" applyFill="1" applyBorder="1" applyAlignment="1"/>
    <xf numFmtId="0" fontId="15" fillId="7" borderId="42" xfId="0" applyNumberFormat="1" applyFont="1" applyFill="1" applyBorder="1" applyAlignment="1">
      <alignment horizontal="center"/>
    </xf>
    <xf numFmtId="0" fontId="15" fillId="7" borderId="44" xfId="0" applyNumberFormat="1" applyFont="1" applyFill="1" applyBorder="1" applyAlignment="1">
      <alignment horizontal="center"/>
    </xf>
    <xf numFmtId="1" fontId="16" fillId="7" borderId="45" xfId="0" applyNumberFormat="1" applyFont="1" applyFill="1" applyBorder="1" applyAlignment="1">
      <alignment horizontal="center"/>
    </xf>
    <xf numFmtId="0" fontId="17" fillId="3" borderId="40" xfId="0" applyFont="1" applyFill="1" applyBorder="1" applyAlignment="1"/>
    <xf numFmtId="0" fontId="12" fillId="3" borderId="6" xfId="0" applyFont="1" applyFill="1" applyBorder="1" applyAlignment="1">
      <alignment horizontal="center"/>
    </xf>
    <xf numFmtId="0" fontId="0" fillId="2" borderId="30" xfId="0" applyFont="1" applyFill="1" applyBorder="1" applyAlignment="1"/>
    <xf numFmtId="0" fontId="14" fillId="8" borderId="42" xfId="0" applyFont="1" applyFill="1" applyBorder="1" applyAlignment="1"/>
    <xf numFmtId="0" fontId="14" fillId="8" borderId="43" xfId="0" applyFont="1" applyFill="1" applyBorder="1" applyAlignment="1"/>
    <xf numFmtId="0" fontId="14" fillId="8" borderId="42" xfId="0" applyNumberFormat="1" applyFont="1" applyFill="1" applyBorder="1" applyAlignment="1">
      <alignment horizontal="center"/>
    </xf>
    <xf numFmtId="0" fontId="14" fillId="8" borderId="44" xfId="0" applyNumberFormat="1" applyFont="1" applyFill="1" applyBorder="1" applyAlignment="1">
      <alignment horizontal="center"/>
    </xf>
    <xf numFmtId="1" fontId="19" fillId="8" borderId="45" xfId="0" applyNumberFormat="1" applyFont="1" applyFill="1" applyBorder="1" applyAlignment="1">
      <alignment horizontal="center"/>
    </xf>
    <xf numFmtId="1" fontId="19" fillId="8" borderId="6" xfId="0" applyNumberFormat="1" applyFont="1" applyFill="1" applyBorder="1" applyAlignment="1">
      <alignment horizontal="center"/>
    </xf>
    <xf numFmtId="0" fontId="14" fillId="8" borderId="46" xfId="0" applyFont="1" applyFill="1" applyBorder="1" applyAlignment="1"/>
    <xf numFmtId="0" fontId="14" fillId="8" borderId="47" xfId="0" applyFont="1" applyFill="1" applyBorder="1" applyAlignment="1"/>
    <xf numFmtId="0" fontId="14" fillId="8" borderId="46" xfId="0" applyNumberFormat="1" applyFont="1" applyFill="1" applyBorder="1" applyAlignment="1">
      <alignment horizontal="center"/>
    </xf>
    <xf numFmtId="0" fontId="14" fillId="8" borderId="48" xfId="0" applyNumberFormat="1" applyFont="1" applyFill="1" applyBorder="1" applyAlignment="1">
      <alignment horizontal="center"/>
    </xf>
    <xf numFmtId="1" fontId="19" fillId="8" borderId="49" xfId="0" applyNumberFormat="1" applyFont="1" applyFill="1" applyBorder="1" applyAlignment="1">
      <alignment horizontal="center"/>
    </xf>
    <xf numFmtId="0" fontId="17" fillId="3" borderId="50" xfId="0" applyFont="1" applyFill="1" applyBorder="1" applyAlignment="1"/>
    <xf numFmtId="0" fontId="17" fillId="3" borderId="51" xfId="0" applyFont="1" applyFill="1" applyBorder="1" applyAlignment="1"/>
    <xf numFmtId="0" fontId="0" fillId="3" borderId="9" xfId="0" applyFont="1" applyFill="1" applyBorder="1" applyAlignment="1"/>
    <xf numFmtId="49" fontId="11" fillId="3" borderId="6" xfId="0" applyNumberFormat="1" applyFont="1" applyFill="1" applyBorder="1" applyAlignment="1">
      <alignment horizontal="right"/>
    </xf>
    <xf numFmtId="49" fontId="17" fillId="3" borderId="6" xfId="0" applyNumberFormat="1" applyFont="1" applyFill="1" applyBorder="1" applyAlignment="1"/>
    <xf numFmtId="0" fontId="11" fillId="3" borderId="52" xfId="0" applyFont="1" applyFill="1" applyBorder="1" applyAlignment="1">
      <alignment horizontal="center"/>
    </xf>
    <xf numFmtId="22" fontId="11" fillId="3" borderId="23" xfId="0" applyNumberFormat="1" applyFont="1" applyFill="1" applyBorder="1" applyAlignment="1">
      <alignment horizontal="center"/>
    </xf>
    <xf numFmtId="0" fontId="11" fillId="3" borderId="23" xfId="0" applyFont="1" applyFill="1" applyBorder="1" applyAlignment="1">
      <alignment horizontal="center"/>
    </xf>
    <xf numFmtId="0" fontId="0" fillId="3" borderId="23" xfId="0" applyFont="1" applyFill="1" applyBorder="1" applyAlignment="1"/>
    <xf numFmtId="0" fontId="11" fillId="3" borderId="23" xfId="0" applyFont="1" applyFill="1" applyBorder="1" applyAlignment="1">
      <alignment horizontal="right"/>
    </xf>
    <xf numFmtId="0" fontId="11" fillId="3" borderId="23" xfId="0" applyFont="1" applyFill="1" applyBorder="1" applyAlignment="1">
      <alignment horizontal="left"/>
    </xf>
    <xf numFmtId="0" fontId="0" fillId="3" borderId="53" xfId="0" applyFont="1" applyFill="1" applyBorder="1" applyAlignment="1"/>
    <xf numFmtId="0" fontId="11" fillId="2" borderId="6" xfId="0" applyFont="1" applyFill="1" applyBorder="1" applyAlignment="1">
      <alignment horizontal="center"/>
    </xf>
    <xf numFmtId="49" fontId="11" fillId="2" borderId="30" xfId="0" applyNumberFormat="1" applyFont="1" applyFill="1" applyBorder="1" applyAlignment="1">
      <alignment horizontal="center"/>
    </xf>
    <xf numFmtId="0" fontId="11" fillId="3" borderId="52" xfId="0" applyFont="1" applyFill="1" applyBorder="1" applyAlignment="1"/>
    <xf numFmtId="2" fontId="0" fillId="3" borderId="9" xfId="0" applyNumberFormat="1" applyFont="1" applyFill="1" applyBorder="1" applyAlignment="1"/>
    <xf numFmtId="0" fontId="0" fillId="3" borderId="9" xfId="0" applyNumberFormat="1" applyFont="1" applyFill="1" applyBorder="1" applyAlignment="1"/>
    <xf numFmtId="2" fontId="11" fillId="3" borderId="9" xfId="0" applyNumberFormat="1" applyFont="1" applyFill="1" applyBorder="1" applyAlignment="1">
      <alignment horizontal="center"/>
    </xf>
    <xf numFmtId="0" fontId="0" fillId="3" borderId="32" xfId="0" applyFont="1" applyFill="1" applyBorder="1" applyAlignment="1"/>
    <xf numFmtId="49" fontId="0" fillId="9" borderId="22" xfId="0" applyNumberFormat="1" applyFont="1" applyFill="1" applyBorder="1" applyAlignment="1"/>
    <xf numFmtId="49" fontId="0" fillId="9" borderId="23" xfId="0" applyNumberFormat="1" applyFont="1" applyFill="1" applyBorder="1" applyAlignment="1"/>
    <xf numFmtId="0" fontId="0" fillId="9" borderId="24" xfId="0" applyFont="1" applyFill="1" applyBorder="1" applyAlignment="1"/>
    <xf numFmtId="49" fontId="13" fillId="9" borderId="22" xfId="0" applyNumberFormat="1" applyFont="1" applyFill="1" applyBorder="1" applyAlignment="1"/>
    <xf numFmtId="0" fontId="13" fillId="9" borderId="23" xfId="0" applyFont="1" applyFill="1" applyBorder="1" applyAlignment="1"/>
    <xf numFmtId="0" fontId="13" fillId="9" borderId="24" xfId="0" applyFont="1" applyFill="1" applyBorder="1" applyAlignment="1"/>
    <xf numFmtId="49" fontId="11" fillId="9" borderId="26" xfId="0" applyNumberFormat="1" applyFont="1" applyFill="1" applyBorder="1" applyAlignment="1">
      <alignment horizontal="center"/>
    </xf>
    <xf numFmtId="49" fontId="11" fillId="9" borderId="28" xfId="0" applyNumberFormat="1" applyFont="1" applyFill="1" applyBorder="1" applyAlignment="1">
      <alignment horizontal="center"/>
    </xf>
    <xf numFmtId="49" fontId="13" fillId="9" borderId="29" xfId="0" applyNumberFormat="1" applyFont="1" applyFill="1" applyBorder="1" applyAlignment="1">
      <alignment horizontal="center"/>
    </xf>
    <xf numFmtId="0" fontId="13" fillId="10" borderId="6" xfId="0" applyFont="1" applyFill="1" applyBorder="1" applyAlignment="1">
      <alignment horizontal="center"/>
    </xf>
    <xf numFmtId="0" fontId="0" fillId="2" borderId="54" xfId="0" applyFont="1" applyFill="1" applyBorder="1" applyAlignment="1"/>
    <xf numFmtId="0" fontId="0" fillId="2" borderId="55" xfId="0" applyFont="1" applyFill="1" applyBorder="1" applyAlignment="1"/>
    <xf numFmtId="49" fontId="0" fillId="2" borderId="56" xfId="0" applyNumberFormat="1" applyFont="1" applyFill="1" applyBorder="1" applyAlignment="1"/>
    <xf numFmtId="0" fontId="20" fillId="3" borderId="57" xfId="0" applyFont="1" applyFill="1" applyBorder="1" applyAlignment="1"/>
    <xf numFmtId="0" fontId="11" fillId="3" borderId="57" xfId="0" applyFont="1" applyFill="1" applyBorder="1" applyAlignment="1"/>
    <xf numFmtId="0" fontId="0" fillId="3" borderId="58" xfId="0" applyFont="1" applyFill="1" applyBorder="1" applyAlignment="1"/>
    <xf numFmtId="0" fontId="11" fillId="3" borderId="6" xfId="0" applyNumberFormat="1" applyFont="1" applyFill="1" applyBorder="1" applyAlignment="1"/>
    <xf numFmtId="0" fontId="0" fillId="3" borderId="12" xfId="0" applyFont="1" applyFill="1" applyBorder="1" applyAlignment="1"/>
    <xf numFmtId="0" fontId="11" fillId="3" borderId="6" xfId="0" applyFont="1" applyFill="1" applyBorder="1" applyAlignment="1"/>
    <xf numFmtId="0" fontId="11" fillId="3" borderId="7" xfId="0" applyFont="1" applyFill="1" applyBorder="1" applyAlignment="1">
      <alignment horizontal="center"/>
    </xf>
    <xf numFmtId="0" fontId="0" fillId="3" borderId="10" xfId="0" applyFont="1" applyFill="1" applyBorder="1" applyAlignment="1"/>
    <xf numFmtId="49" fontId="0" fillId="11" borderId="22" xfId="0" applyNumberFormat="1" applyFont="1" applyFill="1" applyBorder="1" applyAlignment="1"/>
    <xf numFmtId="49" fontId="0" fillId="11" borderId="23" xfId="0" applyNumberFormat="1" applyFont="1" applyFill="1" applyBorder="1" applyAlignment="1"/>
    <xf numFmtId="0" fontId="0" fillId="11" borderId="24" xfId="0" applyFont="1" applyFill="1" applyBorder="1" applyAlignment="1"/>
    <xf numFmtId="49" fontId="13" fillId="11" borderId="22" xfId="0" applyNumberFormat="1" applyFont="1" applyFill="1" applyBorder="1" applyAlignment="1"/>
    <xf numFmtId="0" fontId="13" fillId="11" borderId="23" xfId="0" applyFont="1" applyFill="1" applyBorder="1" applyAlignment="1"/>
    <xf numFmtId="0" fontId="13" fillId="11" borderId="24" xfId="0" applyFont="1" applyFill="1" applyBorder="1" applyAlignment="1"/>
    <xf numFmtId="49" fontId="11" fillId="11" borderId="26" xfId="0" applyNumberFormat="1" applyFont="1" applyFill="1" applyBorder="1" applyAlignment="1">
      <alignment horizontal="center"/>
    </xf>
    <xf numFmtId="49" fontId="11" fillId="11" borderId="28" xfId="0" applyNumberFormat="1" applyFont="1" applyFill="1" applyBorder="1" applyAlignment="1">
      <alignment horizontal="center"/>
    </xf>
    <xf numFmtId="49" fontId="13" fillId="11" borderId="29" xfId="0" applyNumberFormat="1" applyFont="1" applyFill="1" applyBorder="1" applyAlignment="1">
      <alignment horizontal="center"/>
    </xf>
    <xf numFmtId="0" fontId="13" fillId="12" borderId="6" xfId="0" applyFont="1" applyFill="1" applyBorder="1" applyAlignment="1">
      <alignment horizontal="center"/>
    </xf>
    <xf numFmtId="49" fontId="0" fillId="13" borderId="22" xfId="0" applyNumberFormat="1" applyFont="1" applyFill="1" applyBorder="1" applyAlignment="1"/>
    <xf numFmtId="49" fontId="0" fillId="13" borderId="23" xfId="0" applyNumberFormat="1" applyFont="1" applyFill="1" applyBorder="1" applyAlignment="1"/>
    <xf numFmtId="0" fontId="0" fillId="13" borderId="24" xfId="0" applyFont="1" applyFill="1" applyBorder="1" applyAlignment="1"/>
    <xf numFmtId="49" fontId="13" fillId="13" borderId="22" xfId="0" applyNumberFormat="1" applyFont="1" applyFill="1" applyBorder="1" applyAlignment="1"/>
    <xf numFmtId="0" fontId="13" fillId="13" borderId="23" xfId="0" applyFont="1" applyFill="1" applyBorder="1" applyAlignment="1"/>
    <xf numFmtId="0" fontId="13" fillId="13" borderId="24" xfId="0" applyFont="1" applyFill="1" applyBorder="1" applyAlignment="1"/>
    <xf numFmtId="49" fontId="11" fillId="13" borderId="26" xfId="0" applyNumberFormat="1" applyFont="1" applyFill="1" applyBorder="1" applyAlignment="1">
      <alignment horizontal="center"/>
    </xf>
    <xf numFmtId="49" fontId="11" fillId="13" borderId="28" xfId="0" applyNumberFormat="1" applyFont="1" applyFill="1" applyBorder="1" applyAlignment="1">
      <alignment horizontal="center"/>
    </xf>
    <xf numFmtId="49" fontId="13" fillId="13" borderId="29" xfId="0" applyNumberFormat="1" applyFont="1" applyFill="1" applyBorder="1" applyAlignment="1">
      <alignment horizontal="center"/>
    </xf>
    <xf numFmtId="0" fontId="13" fillId="14" borderId="6" xfId="0" applyFont="1" applyFill="1" applyBorder="1" applyAlignment="1">
      <alignment horizontal="center"/>
    </xf>
    <xf numFmtId="49" fontId="0" fillId="15" borderId="22" xfId="0" applyNumberFormat="1" applyFont="1" applyFill="1" applyBorder="1" applyAlignment="1"/>
    <xf numFmtId="49" fontId="0" fillId="15" borderId="23" xfId="0" applyNumberFormat="1" applyFont="1" applyFill="1" applyBorder="1" applyAlignment="1"/>
    <xf numFmtId="0" fontId="0" fillId="15" borderId="24" xfId="0" applyFont="1" applyFill="1" applyBorder="1" applyAlignment="1"/>
    <xf numFmtId="49" fontId="13" fillId="15" borderId="22" xfId="0" applyNumberFormat="1" applyFont="1" applyFill="1" applyBorder="1" applyAlignment="1"/>
    <xf numFmtId="0" fontId="13" fillId="15" borderId="23" xfId="0" applyFont="1" applyFill="1" applyBorder="1" applyAlignment="1"/>
    <xf numFmtId="0" fontId="13" fillId="15" borderId="24" xfId="0" applyFont="1" applyFill="1" applyBorder="1" applyAlignment="1"/>
    <xf numFmtId="49" fontId="11" fillId="15" borderId="26" xfId="0" applyNumberFormat="1" applyFont="1" applyFill="1" applyBorder="1" applyAlignment="1">
      <alignment horizontal="center"/>
    </xf>
    <xf numFmtId="49" fontId="11" fillId="15" borderId="28" xfId="0" applyNumberFormat="1" applyFont="1" applyFill="1" applyBorder="1" applyAlignment="1">
      <alignment horizontal="center"/>
    </xf>
    <xf numFmtId="49" fontId="13" fillId="15" borderId="29" xfId="0" applyNumberFormat="1" applyFont="1" applyFill="1" applyBorder="1" applyAlignment="1">
      <alignment horizontal="center"/>
    </xf>
    <xf numFmtId="0" fontId="13" fillId="16" borderId="6" xfId="0" applyFont="1" applyFill="1" applyBorder="1" applyAlignment="1">
      <alignment horizontal="center"/>
    </xf>
    <xf numFmtId="49" fontId="0" fillId="17" borderId="22" xfId="0" applyNumberFormat="1" applyFont="1" applyFill="1" applyBorder="1" applyAlignment="1"/>
    <xf numFmtId="49" fontId="0" fillId="17" borderId="23" xfId="0" applyNumberFormat="1" applyFont="1" applyFill="1" applyBorder="1" applyAlignment="1"/>
    <xf numFmtId="0" fontId="0" fillId="17" borderId="24" xfId="0" applyFont="1" applyFill="1" applyBorder="1" applyAlignment="1"/>
    <xf numFmtId="49" fontId="13" fillId="17" borderId="22" xfId="0" applyNumberFormat="1" applyFont="1" applyFill="1" applyBorder="1" applyAlignment="1"/>
    <xf numFmtId="0" fontId="13" fillId="17" borderId="23" xfId="0" applyFont="1" applyFill="1" applyBorder="1" applyAlignment="1"/>
    <xf numFmtId="0" fontId="13" fillId="17" borderId="24" xfId="0" applyFont="1" applyFill="1" applyBorder="1" applyAlignment="1"/>
    <xf numFmtId="49" fontId="11" fillId="17" borderId="26" xfId="0" applyNumberFormat="1" applyFont="1" applyFill="1" applyBorder="1" applyAlignment="1">
      <alignment horizontal="center"/>
    </xf>
    <xf numFmtId="49" fontId="11" fillId="17" borderId="28" xfId="0" applyNumberFormat="1" applyFont="1" applyFill="1" applyBorder="1" applyAlignment="1">
      <alignment horizontal="center"/>
    </xf>
    <xf numFmtId="49" fontId="13" fillId="17" borderId="29" xfId="0" applyNumberFormat="1" applyFont="1" applyFill="1" applyBorder="1" applyAlignment="1">
      <alignment horizontal="center"/>
    </xf>
    <xf numFmtId="0" fontId="13" fillId="18" borderId="6" xfId="0" applyFont="1" applyFill="1" applyBorder="1" applyAlignment="1">
      <alignment horizontal="center"/>
    </xf>
    <xf numFmtId="49" fontId="0" fillId="19" borderId="22" xfId="0" applyNumberFormat="1" applyFont="1" applyFill="1" applyBorder="1" applyAlignment="1"/>
    <xf numFmtId="49" fontId="0" fillId="19" borderId="23" xfId="0" applyNumberFormat="1" applyFont="1" applyFill="1" applyBorder="1" applyAlignment="1"/>
    <xf numFmtId="0" fontId="0" fillId="19" borderId="24" xfId="0" applyFont="1" applyFill="1" applyBorder="1" applyAlignment="1"/>
    <xf numFmtId="49" fontId="13" fillId="19" borderId="22" xfId="0" applyNumberFormat="1" applyFont="1" applyFill="1" applyBorder="1" applyAlignment="1"/>
    <xf numFmtId="0" fontId="13" fillId="19" borderId="23" xfId="0" applyFont="1" applyFill="1" applyBorder="1" applyAlignment="1"/>
    <xf numFmtId="0" fontId="13" fillId="19" borderId="24" xfId="0" applyFont="1" applyFill="1" applyBorder="1" applyAlignment="1"/>
    <xf numFmtId="49" fontId="11" fillId="19" borderId="26" xfId="0" applyNumberFormat="1" applyFont="1" applyFill="1" applyBorder="1" applyAlignment="1">
      <alignment horizontal="center"/>
    </xf>
    <xf numFmtId="49" fontId="11" fillId="19" borderId="28" xfId="0" applyNumberFormat="1" applyFont="1" applyFill="1" applyBorder="1" applyAlignment="1">
      <alignment horizontal="center"/>
    </xf>
    <xf numFmtId="49" fontId="13" fillId="19" borderId="29" xfId="0" applyNumberFormat="1" applyFont="1" applyFill="1" applyBorder="1" applyAlignment="1">
      <alignment horizontal="center"/>
    </xf>
    <xf numFmtId="49" fontId="0" fillId="20" borderId="22" xfId="0" applyNumberFormat="1" applyFont="1" applyFill="1" applyBorder="1" applyAlignment="1"/>
    <xf numFmtId="49" fontId="0" fillId="20" borderId="23" xfId="0" applyNumberFormat="1" applyFont="1" applyFill="1" applyBorder="1" applyAlignment="1"/>
    <xf numFmtId="0" fontId="0" fillId="20" borderId="24" xfId="0" applyFont="1" applyFill="1" applyBorder="1" applyAlignment="1"/>
    <xf numFmtId="49" fontId="13" fillId="20" borderId="22" xfId="0" applyNumberFormat="1" applyFont="1" applyFill="1" applyBorder="1" applyAlignment="1"/>
    <xf numFmtId="0" fontId="13" fillId="20" borderId="23" xfId="0" applyFont="1" applyFill="1" applyBorder="1" applyAlignment="1"/>
    <xf numFmtId="0" fontId="13" fillId="20" borderId="24" xfId="0" applyFont="1" applyFill="1" applyBorder="1" applyAlignment="1"/>
    <xf numFmtId="49" fontId="11" fillId="20" borderId="26" xfId="0" applyNumberFormat="1" applyFont="1" applyFill="1" applyBorder="1" applyAlignment="1">
      <alignment horizontal="center"/>
    </xf>
    <xf numFmtId="49" fontId="11" fillId="20" borderId="28" xfId="0" applyNumberFormat="1" applyFont="1" applyFill="1" applyBorder="1" applyAlignment="1">
      <alignment horizontal="center"/>
    </xf>
    <xf numFmtId="49" fontId="13" fillId="20" borderId="29" xfId="0" applyNumberFormat="1" applyFont="1" applyFill="1" applyBorder="1" applyAlignment="1">
      <alignment horizontal="center"/>
    </xf>
    <xf numFmtId="0" fontId="13" fillId="21" borderId="6" xfId="0" applyFont="1" applyFill="1" applyBorder="1" applyAlignment="1">
      <alignment horizontal="center"/>
    </xf>
    <xf numFmtId="165" fontId="11" fillId="3" borderId="6" xfId="0" applyNumberFormat="1" applyFont="1" applyFill="1" applyBorder="1" applyAlignment="1">
      <alignment horizontal="center"/>
    </xf>
    <xf numFmtId="49" fontId="0" fillId="22" borderId="22" xfId="0" applyNumberFormat="1" applyFont="1" applyFill="1" applyBorder="1" applyAlignment="1"/>
    <xf numFmtId="49" fontId="0" fillId="22" borderId="23" xfId="0" applyNumberFormat="1" applyFont="1" applyFill="1" applyBorder="1" applyAlignment="1"/>
    <xf numFmtId="0" fontId="0" fillId="22" borderId="24" xfId="0" applyFont="1" applyFill="1" applyBorder="1" applyAlignment="1"/>
    <xf numFmtId="49" fontId="13" fillId="22" borderId="22" xfId="0" applyNumberFormat="1" applyFont="1" applyFill="1" applyBorder="1" applyAlignment="1"/>
    <xf numFmtId="0" fontId="13" fillId="22" borderId="23" xfId="0" applyFont="1" applyFill="1" applyBorder="1" applyAlignment="1"/>
    <xf numFmtId="0" fontId="13" fillId="22" borderId="24" xfId="0" applyFont="1" applyFill="1" applyBorder="1" applyAlignment="1"/>
    <xf numFmtId="49" fontId="11" fillId="22" borderId="26" xfId="0" applyNumberFormat="1" applyFont="1" applyFill="1" applyBorder="1" applyAlignment="1">
      <alignment horizontal="center"/>
    </xf>
    <xf numFmtId="49" fontId="11" fillId="22" borderId="28" xfId="0" applyNumberFormat="1" applyFont="1" applyFill="1" applyBorder="1" applyAlignment="1">
      <alignment horizontal="center"/>
    </xf>
    <xf numFmtId="49" fontId="13" fillId="22" borderId="29" xfId="0" applyNumberFormat="1" applyFont="1" applyFill="1" applyBorder="1" applyAlignment="1">
      <alignment horizontal="center"/>
    </xf>
    <xf numFmtId="49" fontId="0" fillId="23" borderId="22" xfId="0" applyNumberFormat="1" applyFont="1" applyFill="1" applyBorder="1" applyAlignment="1"/>
    <xf numFmtId="49" fontId="0" fillId="23" borderId="23" xfId="0" applyNumberFormat="1" applyFont="1" applyFill="1" applyBorder="1" applyAlignment="1"/>
    <xf numFmtId="0" fontId="0" fillId="23" borderId="24" xfId="0" applyFont="1" applyFill="1" applyBorder="1" applyAlignment="1"/>
    <xf numFmtId="49" fontId="13" fillId="23" borderId="22" xfId="0" applyNumberFormat="1" applyFont="1" applyFill="1" applyBorder="1" applyAlignment="1"/>
    <xf numFmtId="0" fontId="13" fillId="23" borderId="23" xfId="0" applyFont="1" applyFill="1" applyBorder="1" applyAlignment="1"/>
    <xf numFmtId="0" fontId="13" fillId="23" borderId="24" xfId="0" applyFont="1" applyFill="1" applyBorder="1" applyAlignment="1"/>
    <xf numFmtId="49" fontId="11" fillId="23" borderId="26" xfId="0" applyNumberFormat="1" applyFont="1" applyFill="1" applyBorder="1" applyAlignment="1">
      <alignment horizontal="center"/>
    </xf>
    <xf numFmtId="49" fontId="11" fillId="23" borderId="28" xfId="0" applyNumberFormat="1" applyFont="1" applyFill="1" applyBorder="1" applyAlignment="1">
      <alignment horizontal="center"/>
    </xf>
    <xf numFmtId="49" fontId="13" fillId="23" borderId="29" xfId="0" applyNumberFormat="1" applyFont="1" applyFill="1" applyBorder="1" applyAlignment="1">
      <alignment horizontal="center"/>
    </xf>
    <xf numFmtId="49" fontId="0" fillId="12" borderId="22" xfId="0" applyNumberFormat="1" applyFont="1" applyFill="1" applyBorder="1" applyAlignment="1"/>
    <xf numFmtId="49" fontId="0" fillId="12" borderId="23" xfId="0" applyNumberFormat="1" applyFont="1" applyFill="1" applyBorder="1" applyAlignment="1"/>
    <xf numFmtId="0" fontId="0" fillId="12" borderId="24" xfId="0" applyFont="1" applyFill="1" applyBorder="1" applyAlignment="1"/>
    <xf numFmtId="49" fontId="13" fillId="12" borderId="22" xfId="0" applyNumberFormat="1" applyFont="1" applyFill="1" applyBorder="1" applyAlignment="1"/>
    <xf numFmtId="0" fontId="13" fillId="12" borderId="23" xfId="0" applyFont="1" applyFill="1" applyBorder="1" applyAlignment="1"/>
    <xf numFmtId="0" fontId="13" fillId="12" borderId="24" xfId="0" applyFont="1" applyFill="1" applyBorder="1" applyAlignment="1"/>
    <xf numFmtId="49" fontId="11" fillId="12" borderId="26" xfId="0" applyNumberFormat="1" applyFont="1" applyFill="1" applyBorder="1" applyAlignment="1">
      <alignment horizontal="center"/>
    </xf>
    <xf numFmtId="49" fontId="11" fillId="12" borderId="28" xfId="0" applyNumberFormat="1" applyFont="1" applyFill="1" applyBorder="1" applyAlignment="1">
      <alignment horizontal="center"/>
    </xf>
    <xf numFmtId="49" fontId="13" fillId="12" borderId="29" xfId="0" applyNumberFormat="1" applyFont="1" applyFill="1" applyBorder="1" applyAlignment="1">
      <alignment horizontal="center"/>
    </xf>
    <xf numFmtId="49" fontId="0" fillId="24" borderId="22" xfId="0" applyNumberFormat="1" applyFont="1" applyFill="1" applyBorder="1" applyAlignment="1"/>
    <xf numFmtId="49" fontId="0" fillId="24" borderId="23" xfId="0" applyNumberFormat="1" applyFont="1" applyFill="1" applyBorder="1" applyAlignment="1"/>
    <xf numFmtId="0" fontId="0" fillId="24" borderId="24" xfId="0" applyFont="1" applyFill="1" applyBorder="1" applyAlignment="1"/>
    <xf numFmtId="49" fontId="13" fillId="24" borderId="22" xfId="0" applyNumberFormat="1" applyFont="1" applyFill="1" applyBorder="1" applyAlignment="1"/>
    <xf numFmtId="0" fontId="13" fillId="24" borderId="23" xfId="0" applyFont="1" applyFill="1" applyBorder="1" applyAlignment="1"/>
    <xf numFmtId="0" fontId="13" fillId="24" borderId="24" xfId="0" applyFont="1" applyFill="1" applyBorder="1" applyAlignment="1"/>
    <xf numFmtId="49" fontId="11" fillId="24" borderId="26" xfId="0" applyNumberFormat="1" applyFont="1" applyFill="1" applyBorder="1" applyAlignment="1">
      <alignment horizontal="center"/>
    </xf>
    <xf numFmtId="49" fontId="11" fillId="24" borderId="28" xfId="0" applyNumberFormat="1" applyFont="1" applyFill="1" applyBorder="1" applyAlignment="1">
      <alignment horizontal="center"/>
    </xf>
    <xf numFmtId="49" fontId="13" fillId="24" borderId="29" xfId="0" applyNumberFormat="1" applyFont="1" applyFill="1" applyBorder="1" applyAlignment="1">
      <alignment horizontal="center"/>
    </xf>
    <xf numFmtId="0" fontId="17" fillId="3" borderId="39" xfId="0" applyNumberFormat="1" applyFont="1" applyFill="1" applyBorder="1" applyAlignment="1"/>
    <xf numFmtId="0" fontId="0" fillId="0" borderId="0" xfId="0" applyNumberFormat="1" applyFont="1" applyAlignment="1"/>
    <xf numFmtId="0" fontId="0" fillId="25" borderId="1" xfId="0" applyFont="1" applyFill="1" applyBorder="1" applyAlignment="1"/>
    <xf numFmtId="0" fontId="0" fillId="25" borderId="2" xfId="0" applyFont="1" applyFill="1" applyBorder="1" applyAlignment="1"/>
    <xf numFmtId="0" fontId="0" fillId="25" borderId="59" xfId="0" applyFont="1" applyFill="1" applyBorder="1" applyAlignment="1"/>
    <xf numFmtId="0" fontId="0" fillId="26" borderId="60" xfId="0" applyFont="1" applyFill="1" applyBorder="1" applyAlignment="1"/>
    <xf numFmtId="0" fontId="0" fillId="17" borderId="61" xfId="0" applyFont="1" applyFill="1" applyBorder="1" applyAlignment="1"/>
    <xf numFmtId="0" fontId="0" fillId="17" borderId="2" xfId="0" applyFont="1" applyFill="1" applyBorder="1" applyAlignment="1"/>
    <xf numFmtId="0" fontId="0" fillId="17" borderId="3" xfId="0" applyFont="1" applyFill="1" applyBorder="1" applyAlignment="1"/>
    <xf numFmtId="0" fontId="0" fillId="25" borderId="11" xfId="0" applyFont="1" applyFill="1" applyBorder="1" applyAlignment="1"/>
    <xf numFmtId="0" fontId="0" fillId="25" borderId="6" xfId="0" applyFont="1" applyFill="1" applyBorder="1" applyAlignment="1"/>
    <xf numFmtId="0" fontId="0" fillId="25" borderId="37" xfId="0" applyFont="1" applyFill="1" applyBorder="1" applyAlignment="1"/>
    <xf numFmtId="0" fontId="0" fillId="26" borderId="25" xfId="0" applyFont="1" applyFill="1" applyBorder="1" applyAlignment="1"/>
    <xf numFmtId="0" fontId="0" fillId="17" borderId="40" xfId="0" applyFont="1" applyFill="1" applyBorder="1" applyAlignment="1"/>
    <xf numFmtId="0" fontId="0" fillId="17" borderId="6" xfId="0" applyFont="1" applyFill="1" applyBorder="1" applyAlignment="1"/>
    <xf numFmtId="0" fontId="0" fillId="17" borderId="12" xfId="0" applyFont="1" applyFill="1" applyBorder="1" applyAlignment="1"/>
    <xf numFmtId="0" fontId="0" fillId="25" borderId="62" xfId="0" applyFont="1" applyFill="1" applyBorder="1" applyAlignment="1"/>
    <xf numFmtId="0" fontId="0" fillId="25" borderId="63" xfId="0" applyFont="1" applyFill="1" applyBorder="1" applyAlignment="1"/>
    <xf numFmtId="0" fontId="0" fillId="25" borderId="64" xfId="0" applyFont="1" applyFill="1" applyBorder="1" applyAlignment="1"/>
    <xf numFmtId="0" fontId="0" fillId="17" borderId="63" xfId="0" applyFont="1" applyFill="1" applyBorder="1" applyAlignment="1"/>
    <xf numFmtId="0" fontId="0" fillId="17" borderId="64" xfId="0" applyFont="1" applyFill="1" applyBorder="1" applyAlignment="1"/>
    <xf numFmtId="0" fontId="21" fillId="26" borderId="65" xfId="0" applyFont="1" applyFill="1" applyBorder="1" applyAlignment="1"/>
    <xf numFmtId="0" fontId="22" fillId="2" borderId="66" xfId="0" applyFont="1" applyFill="1" applyBorder="1" applyAlignment="1"/>
    <xf numFmtId="49" fontId="23" fillId="2" borderId="67" xfId="0" applyNumberFormat="1" applyFont="1" applyFill="1" applyBorder="1" applyAlignment="1">
      <alignment horizontal="center"/>
    </xf>
    <xf numFmtId="49" fontId="23" fillId="2" borderId="68" xfId="0" applyNumberFormat="1" applyFont="1" applyFill="1" applyBorder="1" applyAlignment="1">
      <alignment horizontal="center"/>
    </xf>
    <xf numFmtId="0" fontId="13" fillId="25" borderId="69" xfId="0" applyFont="1" applyFill="1" applyBorder="1" applyAlignment="1"/>
    <xf numFmtId="0" fontId="21" fillId="26" borderId="70" xfId="0" applyFont="1" applyFill="1" applyBorder="1" applyAlignment="1"/>
    <xf numFmtId="0" fontId="22" fillId="2" borderId="71" xfId="0" applyFont="1" applyFill="1" applyBorder="1" applyAlignment="1"/>
    <xf numFmtId="49" fontId="23" fillId="2" borderId="72" xfId="0" applyNumberFormat="1" applyFont="1" applyFill="1" applyBorder="1" applyAlignment="1">
      <alignment horizontal="center"/>
    </xf>
    <xf numFmtId="0" fontId="23" fillId="2" borderId="72" xfId="0" applyFont="1" applyFill="1" applyBorder="1" applyAlignment="1">
      <alignment horizontal="center"/>
    </xf>
    <xf numFmtId="49" fontId="23" fillId="2" borderId="73" xfId="0" applyNumberFormat="1" applyFont="1" applyFill="1" applyBorder="1" applyAlignment="1">
      <alignment horizontal="center"/>
    </xf>
    <xf numFmtId="0" fontId="0" fillId="25" borderId="74" xfId="0" applyFont="1" applyFill="1" applyBorder="1" applyAlignment="1"/>
    <xf numFmtId="0" fontId="0" fillId="17" borderId="75" xfId="0" applyFont="1" applyFill="1" applyBorder="1" applyAlignment="1"/>
    <xf numFmtId="0" fontId="0" fillId="17" borderId="69" xfId="0" applyFont="1" applyFill="1" applyBorder="1" applyAlignment="1"/>
    <xf numFmtId="0" fontId="0" fillId="17" borderId="76" xfId="0" applyFont="1" applyFill="1" applyBorder="1" applyAlignment="1"/>
    <xf numFmtId="49" fontId="24" fillId="26" borderId="77" xfId="0" applyNumberFormat="1" applyFont="1" applyFill="1" applyBorder="1" applyAlignment="1"/>
    <xf numFmtId="0" fontId="13" fillId="2" borderId="40" xfId="0" applyFont="1" applyFill="1" applyBorder="1" applyAlignment="1">
      <alignment horizontal="right"/>
    </xf>
    <xf numFmtId="0" fontId="13" fillId="6" borderId="78" xfId="0" applyNumberFormat="1" applyFont="1" applyFill="1" applyBorder="1" applyAlignment="1">
      <alignment horizontal="center"/>
    </xf>
    <xf numFmtId="0" fontId="13" fillId="6" borderId="79" xfId="0" applyNumberFormat="1" applyFont="1" applyFill="1" applyBorder="1" applyAlignment="1">
      <alignment horizontal="center"/>
    </xf>
    <xf numFmtId="0" fontId="13" fillId="2" borderId="80" xfId="0" applyFont="1" applyFill="1" applyBorder="1" applyAlignment="1">
      <alignment horizontal="left"/>
    </xf>
    <xf numFmtId="49" fontId="24" fillId="26" borderId="74" xfId="0" applyNumberFormat="1" applyFont="1" applyFill="1" applyBorder="1" applyAlignment="1"/>
    <xf numFmtId="0" fontId="13" fillId="2" borderId="81" xfId="0" applyFont="1" applyFill="1" applyBorder="1" applyAlignment="1">
      <alignment horizontal="left"/>
    </xf>
    <xf numFmtId="0" fontId="21" fillId="26" borderId="82" xfId="0" applyFont="1" applyFill="1" applyBorder="1" applyAlignment="1"/>
    <xf numFmtId="49" fontId="25" fillId="2" borderId="83" xfId="0" applyNumberFormat="1" applyFont="1" applyFill="1" applyBorder="1" applyAlignment="1">
      <alignment horizontal="right"/>
    </xf>
    <xf numFmtId="0" fontId="26" fillId="2" borderId="63" xfId="0" applyFont="1" applyFill="1" applyBorder="1" applyAlignment="1">
      <alignment horizontal="center"/>
    </xf>
    <xf numFmtId="0" fontId="24" fillId="2" borderId="84" xfId="0" applyFont="1" applyFill="1" applyBorder="1" applyAlignment="1">
      <alignment horizontal="center"/>
    </xf>
    <xf numFmtId="0" fontId="21" fillId="26" borderId="85" xfId="0" applyFont="1" applyFill="1" applyBorder="1" applyAlignment="1"/>
    <xf numFmtId="49" fontId="25" fillId="2" borderId="86" xfId="0" applyNumberFormat="1" applyFont="1" applyFill="1" applyBorder="1" applyAlignment="1">
      <alignment horizontal="right"/>
    </xf>
    <xf numFmtId="0" fontId="26" fillId="2" borderId="64" xfId="0" applyFont="1" applyFill="1" applyBorder="1" applyAlignment="1">
      <alignment horizontal="center"/>
    </xf>
    <xf numFmtId="0" fontId="24" fillId="2" borderId="87" xfId="0" applyFont="1" applyFill="1" applyBorder="1" applyAlignment="1">
      <alignment horizontal="center"/>
    </xf>
    <xf numFmtId="0" fontId="0" fillId="25" borderId="88" xfId="0" applyFont="1" applyFill="1" applyBorder="1" applyAlignment="1"/>
    <xf numFmtId="0" fontId="27" fillId="25" borderId="89" xfId="0" applyFont="1" applyFill="1" applyBorder="1" applyAlignment="1"/>
    <xf numFmtId="0" fontId="13" fillId="25" borderId="6" xfId="0" applyFont="1" applyFill="1" applyBorder="1" applyAlignment="1"/>
    <xf numFmtId="0" fontId="0" fillId="25" borderId="90" xfId="0" applyFont="1" applyFill="1" applyBorder="1" applyAlignment="1"/>
    <xf numFmtId="0" fontId="27" fillId="25" borderId="90" xfId="0" applyFont="1" applyFill="1" applyBorder="1" applyAlignment="1"/>
    <xf numFmtId="0" fontId="0" fillId="17" borderId="67" xfId="0" applyFont="1" applyFill="1" applyBorder="1" applyAlignment="1"/>
    <xf numFmtId="0" fontId="28" fillId="17" borderId="67" xfId="0" applyFont="1" applyFill="1" applyBorder="1" applyAlignment="1"/>
    <xf numFmtId="0" fontId="18" fillId="17" borderId="6" xfId="0" applyFont="1" applyFill="1" applyBorder="1" applyAlignment="1"/>
    <xf numFmtId="0" fontId="0" fillId="17" borderId="72" xfId="0" applyFont="1" applyFill="1" applyBorder="1" applyAlignment="1"/>
    <xf numFmtId="0" fontId="28" fillId="17" borderId="72" xfId="0" applyFont="1" applyFill="1" applyBorder="1" applyAlignment="1"/>
    <xf numFmtId="0" fontId="23" fillId="2" borderId="67" xfId="0" applyFont="1" applyFill="1" applyBorder="1" applyAlignment="1">
      <alignment horizontal="center"/>
    </xf>
    <xf numFmtId="0" fontId="0" fillId="25" borderId="91" xfId="0" applyFont="1" applyFill="1" applyBorder="1" applyAlignment="1"/>
    <xf numFmtId="0" fontId="27" fillId="25" borderId="92" xfId="0" applyFont="1" applyFill="1" applyBorder="1" applyAlignment="1"/>
    <xf numFmtId="0" fontId="21" fillId="26" borderId="93" xfId="0" applyFont="1" applyFill="1" applyBorder="1" applyAlignment="1"/>
    <xf numFmtId="0" fontId="22" fillId="2" borderId="94" xfId="0" applyFont="1" applyFill="1" applyBorder="1" applyAlignment="1"/>
    <xf numFmtId="49" fontId="23" fillId="2" borderId="95" xfId="0" applyNumberFormat="1" applyFont="1" applyFill="1" applyBorder="1" applyAlignment="1">
      <alignment horizontal="center"/>
    </xf>
    <xf numFmtId="49" fontId="23" fillId="2" borderId="96" xfId="0" applyNumberFormat="1" applyFont="1" applyFill="1" applyBorder="1" applyAlignment="1">
      <alignment horizontal="center"/>
    </xf>
    <xf numFmtId="0" fontId="13" fillId="25" borderId="97" xfId="0" applyFont="1" applyFill="1" applyBorder="1" applyAlignment="1"/>
    <xf numFmtId="49" fontId="24" fillId="26" borderId="98" xfId="0" applyNumberFormat="1" applyFont="1" applyFill="1" applyBorder="1" applyAlignment="1"/>
    <xf numFmtId="0" fontId="13" fillId="2" borderId="99" xfId="0" applyFont="1" applyFill="1" applyBorder="1" applyAlignment="1">
      <alignment horizontal="left"/>
    </xf>
    <xf numFmtId="0" fontId="21" fillId="26" borderId="100" xfId="0" applyFont="1" applyFill="1" applyBorder="1" applyAlignment="1"/>
    <xf numFmtId="49" fontId="25" fillId="2" borderId="101" xfId="0" applyNumberFormat="1" applyFont="1" applyFill="1" applyBorder="1" applyAlignment="1">
      <alignment horizontal="right"/>
    </xf>
    <xf numFmtId="0" fontId="26" fillId="2" borderId="102" xfId="0" applyFont="1" applyFill="1" applyBorder="1" applyAlignment="1">
      <alignment horizontal="center"/>
    </xf>
    <xf numFmtId="0" fontId="24" fillId="2" borderId="103" xfId="0" applyFont="1" applyFill="1" applyBorder="1" applyAlignment="1">
      <alignment horizontal="center"/>
    </xf>
    <xf numFmtId="0" fontId="0" fillId="25" borderId="104" xfId="0" applyFont="1" applyFill="1" applyBorder="1" applyAlignment="1"/>
    <xf numFmtId="0" fontId="27" fillId="25" borderId="105" xfId="0" applyFont="1" applyFill="1" applyBorder="1" applyAlignment="1"/>
    <xf numFmtId="0" fontId="0" fillId="25" borderId="106" xfId="0" applyFont="1" applyFill="1" applyBorder="1" applyAlignment="1"/>
    <xf numFmtId="0" fontId="27" fillId="25" borderId="106" xfId="0" applyFont="1" applyFill="1" applyBorder="1" applyAlignment="1"/>
    <xf numFmtId="0" fontId="0" fillId="17" borderId="102" xfId="0" applyFont="1" applyFill="1" applyBorder="1" applyAlignment="1"/>
    <xf numFmtId="0" fontId="0" fillId="17" borderId="107" xfId="0" applyFont="1" applyFill="1" applyBorder="1" applyAlignment="1"/>
    <xf numFmtId="0" fontId="13" fillId="25" borderId="108" xfId="0" applyFont="1" applyFill="1" applyBorder="1" applyAlignment="1"/>
    <xf numFmtId="0" fontId="21" fillId="26" borderId="109" xfId="0" applyFont="1" applyFill="1" applyBorder="1" applyAlignment="1"/>
    <xf numFmtId="0" fontId="22" fillId="2" borderId="110" xfId="0" applyFont="1" applyFill="1" applyBorder="1" applyAlignment="1"/>
    <xf numFmtId="49" fontId="23" fillId="2" borderId="111" xfId="0" applyNumberFormat="1" applyFont="1" applyFill="1" applyBorder="1" applyAlignment="1">
      <alignment horizontal="center"/>
    </xf>
    <xf numFmtId="0" fontId="23" fillId="2" borderId="111" xfId="0" applyFont="1" applyFill="1" applyBorder="1" applyAlignment="1">
      <alignment horizontal="center"/>
    </xf>
    <xf numFmtId="49" fontId="23" fillId="2" borderId="112" xfId="0" applyNumberFormat="1" applyFont="1" applyFill="1" applyBorder="1" applyAlignment="1">
      <alignment horizontal="center"/>
    </xf>
    <xf numFmtId="0" fontId="0" fillId="25" borderId="113" xfId="0" applyFont="1" applyFill="1" applyBorder="1" applyAlignment="1"/>
    <xf numFmtId="0" fontId="0" fillId="17" borderId="114" xfId="0" applyFont="1" applyFill="1" applyBorder="1" applyAlignment="1"/>
    <xf numFmtId="0" fontId="0" fillId="17" borderId="115" xfId="0" applyFont="1" applyFill="1" applyBorder="1" applyAlignment="1"/>
    <xf numFmtId="0" fontId="0" fillId="17" borderId="116" xfId="0" applyFont="1" applyFill="1" applyBorder="1" applyAlignment="1"/>
    <xf numFmtId="49" fontId="24" fillId="26" borderId="113" xfId="0" applyNumberFormat="1" applyFont="1" applyFill="1" applyBorder="1" applyAlignment="1"/>
    <xf numFmtId="0" fontId="13" fillId="2" borderId="117" xfId="0" applyFont="1" applyFill="1" applyBorder="1" applyAlignment="1">
      <alignment horizontal="left"/>
    </xf>
    <xf numFmtId="0" fontId="21" fillId="26" borderId="118" xfId="0" applyFont="1" applyFill="1" applyBorder="1" applyAlignment="1"/>
    <xf numFmtId="49" fontId="25" fillId="2" borderId="119" xfId="0" applyNumberFormat="1" applyFont="1" applyFill="1" applyBorder="1" applyAlignment="1">
      <alignment horizontal="right"/>
    </xf>
    <xf numFmtId="0" fontId="26" fillId="2" borderId="107" xfId="0" applyFont="1" applyFill="1" applyBorder="1" applyAlignment="1">
      <alignment horizontal="center"/>
    </xf>
    <xf numFmtId="0" fontId="24" fillId="2" borderId="120" xfId="0" applyFont="1" applyFill="1" applyBorder="1" applyAlignment="1">
      <alignment horizontal="center"/>
    </xf>
    <xf numFmtId="0" fontId="0" fillId="25" borderId="121" xfId="0" applyFont="1" applyFill="1" applyBorder="1" applyAlignment="1"/>
    <xf numFmtId="0" fontId="27" fillId="25" borderId="121" xfId="0" applyFont="1" applyFill="1" applyBorder="1" applyAlignment="1"/>
    <xf numFmtId="0" fontId="0" fillId="17" borderId="95" xfId="0" applyFont="1" applyFill="1" applyBorder="1" applyAlignment="1"/>
    <xf numFmtId="0" fontId="28" fillId="17" borderId="95" xfId="0" applyFont="1" applyFill="1" applyBorder="1" applyAlignment="1"/>
    <xf numFmtId="0" fontId="0" fillId="17" borderId="111" xfId="0" applyFont="1" applyFill="1" applyBorder="1" applyAlignment="1"/>
    <xf numFmtId="0" fontId="28" fillId="17" borderId="111" xfId="0" applyFont="1" applyFill="1" applyBorder="1" applyAlignment="1"/>
    <xf numFmtId="0" fontId="13" fillId="25" borderId="115" xfId="0" applyFont="1" applyFill="1" applyBorder="1" applyAlignment="1"/>
    <xf numFmtId="0" fontId="0" fillId="25" borderId="122" xfId="0" applyFont="1" applyFill="1" applyBorder="1" applyAlignment="1"/>
    <xf numFmtId="0" fontId="27" fillId="25" borderId="123" xfId="0" applyFont="1" applyFill="1" applyBorder="1" applyAlignment="1"/>
    <xf numFmtId="0" fontId="23" fillId="2" borderId="95" xfId="0" applyFont="1" applyFill="1" applyBorder="1" applyAlignment="1">
      <alignment horizontal="center"/>
    </xf>
    <xf numFmtId="0" fontId="18" fillId="17" borderId="111" xfId="0" applyFont="1" applyFill="1" applyBorder="1" applyAlignment="1"/>
    <xf numFmtId="0" fontId="0" fillId="25" borderId="124" xfId="0" applyFont="1" applyFill="1" applyBorder="1" applyAlignment="1"/>
    <xf numFmtId="0" fontId="27" fillId="25" borderId="95" xfId="0" applyFont="1" applyFill="1" applyBorder="1" applyAlignment="1"/>
    <xf numFmtId="0" fontId="0" fillId="25" borderId="111" xfId="0" applyFont="1" applyFill="1" applyBorder="1" applyAlignment="1"/>
    <xf numFmtId="0" fontId="27" fillId="25" borderId="111" xfId="0" applyFont="1" applyFill="1" applyBorder="1" applyAlignment="1"/>
    <xf numFmtId="3" fontId="29" fillId="17" borderId="6" xfId="0" applyNumberFormat="1" applyFont="1" applyFill="1" applyBorder="1" applyAlignment="1"/>
    <xf numFmtId="0" fontId="0" fillId="25" borderId="13" xfId="0" applyFont="1" applyFill="1" applyBorder="1" applyAlignment="1"/>
    <xf numFmtId="0" fontId="0" fillId="25" borderId="14" xfId="0" applyFont="1" applyFill="1" applyBorder="1" applyAlignment="1"/>
    <xf numFmtId="0" fontId="0" fillId="25" borderId="125" xfId="0" applyFont="1" applyFill="1" applyBorder="1" applyAlignment="1"/>
    <xf numFmtId="0" fontId="0" fillId="26" borderId="126" xfId="0" applyFont="1" applyFill="1" applyBorder="1" applyAlignment="1"/>
    <xf numFmtId="0" fontId="0" fillId="17" borderId="127" xfId="0" applyFont="1" applyFill="1" applyBorder="1" applyAlignment="1"/>
    <xf numFmtId="0" fontId="0" fillId="17" borderId="14" xfId="0" applyFont="1" applyFill="1" applyBorder="1" applyAlignment="1"/>
    <xf numFmtId="0" fontId="0" fillId="17" borderId="15" xfId="0" applyFont="1" applyFill="1" applyBorder="1" applyAlignment="1"/>
    <xf numFmtId="0" fontId="0" fillId="0" borderId="0" xfId="0" applyNumberFormat="1" applyFont="1" applyAlignment="1"/>
    <xf numFmtId="0" fontId="0" fillId="2" borderId="61" xfId="0" applyFont="1" applyFill="1" applyBorder="1" applyAlignment="1"/>
    <xf numFmtId="0" fontId="0" fillId="2" borderId="40" xfId="0" applyFont="1" applyFill="1" applyBorder="1" applyAlignment="1"/>
    <xf numFmtId="0" fontId="0" fillId="25" borderId="4" xfId="0" applyFont="1" applyFill="1" applyBorder="1" applyAlignment="1"/>
    <xf numFmtId="0" fontId="0" fillId="25" borderId="5" xfId="0" applyFont="1" applyFill="1" applyBorder="1" applyAlignment="1"/>
    <xf numFmtId="0" fontId="0" fillId="2" borderId="128" xfId="0" applyFont="1" applyFill="1" applyBorder="1" applyAlignment="1"/>
    <xf numFmtId="0" fontId="21" fillId="26" borderId="129" xfId="0" applyFont="1" applyFill="1" applyBorder="1" applyAlignment="1"/>
    <xf numFmtId="0" fontId="22" fillId="2" borderId="38" xfId="0" applyFont="1" applyFill="1" applyBorder="1" applyAlignment="1"/>
    <xf numFmtId="49" fontId="23" fillId="2" borderId="9" xfId="0" applyNumberFormat="1" applyFont="1" applyFill="1" applyBorder="1" applyAlignment="1">
      <alignment horizontal="center"/>
    </xf>
    <xf numFmtId="49" fontId="23" fillId="2" borderId="39" xfId="0" applyNumberFormat="1" applyFont="1" applyFill="1" applyBorder="1" applyAlignment="1">
      <alignment horizontal="center"/>
    </xf>
    <xf numFmtId="0" fontId="13" fillId="25" borderId="25" xfId="0" applyFont="1" applyFill="1" applyBorder="1" applyAlignment="1"/>
    <xf numFmtId="0" fontId="0" fillId="25" borderId="25" xfId="0" applyFont="1" applyFill="1" applyBorder="1" applyAlignment="1"/>
    <xf numFmtId="0" fontId="0" fillId="2" borderId="130" xfId="0" applyFont="1" applyFill="1" applyBorder="1" applyAlignment="1"/>
    <xf numFmtId="0" fontId="21" fillId="26" borderId="131" xfId="0" applyFont="1" applyFill="1" applyBorder="1" applyAlignment="1"/>
    <xf numFmtId="0" fontId="0" fillId="2" borderId="136" xfId="0" applyFont="1" applyFill="1" applyBorder="1" applyAlignment="1"/>
    <xf numFmtId="49" fontId="24" fillId="26" borderId="25" xfId="0" applyNumberFormat="1" applyFont="1" applyFill="1" applyBorder="1" applyAlignment="1"/>
    <xf numFmtId="0" fontId="13" fillId="2" borderId="37" xfId="0" applyFont="1" applyFill="1" applyBorder="1" applyAlignment="1">
      <alignment horizontal="left"/>
    </xf>
    <xf numFmtId="49" fontId="24" fillId="26" borderId="137" xfId="0" applyNumberFormat="1" applyFont="1" applyFill="1" applyBorder="1" applyAlignment="1"/>
    <xf numFmtId="0" fontId="21" fillId="26" borderId="141" xfId="0" applyFont="1" applyFill="1" applyBorder="1" applyAlignment="1"/>
    <xf numFmtId="49" fontId="25" fillId="2" borderId="50" xfId="0" applyNumberFormat="1" applyFont="1" applyFill="1" applyBorder="1" applyAlignment="1">
      <alignment horizontal="right"/>
    </xf>
    <xf numFmtId="0" fontId="26" fillId="2" borderId="5" xfId="0" applyFont="1" applyFill="1" applyBorder="1" applyAlignment="1">
      <alignment horizontal="center"/>
    </xf>
    <xf numFmtId="0" fontId="24" fillId="2" borderId="51" xfId="0" applyFont="1" applyFill="1" applyBorder="1" applyAlignment="1">
      <alignment horizontal="center"/>
    </xf>
    <xf numFmtId="0" fontId="21" fillId="26" borderId="142" xfId="0" applyFont="1" applyFill="1" applyBorder="1" applyAlignment="1"/>
    <xf numFmtId="0" fontId="0" fillId="25" borderId="52" xfId="0" applyFont="1" applyFill="1" applyBorder="1" applyAlignment="1"/>
    <xf numFmtId="0" fontId="27" fillId="25" borderId="23" xfId="0" applyFont="1" applyFill="1" applyBorder="1" applyAlignment="1"/>
    <xf numFmtId="0" fontId="0" fillId="25" borderId="23" xfId="0" applyFont="1" applyFill="1" applyBorder="1" applyAlignment="1"/>
    <xf numFmtId="0" fontId="0" fillId="2" borderId="147" xfId="0" applyFont="1" applyFill="1" applyBorder="1" applyAlignment="1"/>
    <xf numFmtId="49" fontId="25" fillId="2" borderId="147" xfId="0" applyNumberFormat="1" applyFont="1" applyFill="1" applyBorder="1" applyAlignment="1">
      <alignment horizontal="right"/>
    </xf>
    <xf numFmtId="0" fontId="26" fillId="2" borderId="147" xfId="0" applyFont="1" applyFill="1" applyBorder="1" applyAlignment="1">
      <alignment horizontal="center"/>
    </xf>
    <xf numFmtId="0" fontId="24" fillId="2" borderId="147" xfId="0" applyFont="1" applyFill="1" applyBorder="1" applyAlignment="1">
      <alignment horizontal="center"/>
    </xf>
    <xf numFmtId="0" fontId="18" fillId="2" borderId="6" xfId="0" applyFont="1" applyFill="1" applyBorder="1" applyAlignment="1"/>
    <xf numFmtId="0" fontId="24" fillId="2" borderId="6" xfId="0" applyFont="1" applyFill="1" applyBorder="1" applyAlignment="1"/>
    <xf numFmtId="0" fontId="0" fillId="25" borderId="8" xfId="0" applyFont="1" applyFill="1" applyBorder="1" applyAlignment="1"/>
    <xf numFmtId="0" fontId="27" fillId="25" borderId="9" xfId="0" applyFont="1" applyFill="1" applyBorder="1" applyAlignment="1"/>
    <xf numFmtId="0" fontId="0" fillId="25" borderId="9" xfId="0" applyFont="1" applyFill="1" applyBorder="1" applyAlignment="1"/>
    <xf numFmtId="0" fontId="0" fillId="2" borderId="148" xfId="0" applyFont="1" applyFill="1" applyBorder="1" applyAlignment="1"/>
    <xf numFmtId="0" fontId="0" fillId="2" borderId="149" xfId="0" applyFont="1" applyFill="1" applyBorder="1" applyAlignment="1"/>
    <xf numFmtId="0" fontId="21" fillId="26" borderId="150" xfId="0" applyFont="1" applyFill="1" applyBorder="1" applyAlignment="1"/>
    <xf numFmtId="0" fontId="32" fillId="2" borderId="151" xfId="0" applyFont="1" applyFill="1" applyBorder="1" applyAlignment="1"/>
    <xf numFmtId="49" fontId="33" fillId="2" borderId="152" xfId="0" applyNumberFormat="1" applyFont="1" applyFill="1" applyBorder="1" applyAlignment="1">
      <alignment horizontal="center"/>
    </xf>
    <xf numFmtId="0" fontId="34" fillId="2" borderId="153" xfId="0" applyFont="1" applyFill="1" applyBorder="1" applyAlignment="1">
      <alignment horizontal="center"/>
    </xf>
    <xf numFmtId="0" fontId="0" fillId="2" borderId="154" xfId="0" applyFont="1" applyFill="1" applyBorder="1" applyAlignment="1"/>
    <xf numFmtId="49" fontId="24" fillId="26" borderId="155" xfId="0" applyNumberFormat="1" applyFont="1" applyFill="1" applyBorder="1" applyAlignment="1"/>
    <xf numFmtId="0" fontId="13" fillId="2" borderId="154" xfId="0" applyFont="1" applyFill="1" applyBorder="1" applyAlignment="1">
      <alignment horizontal="right"/>
    </xf>
    <xf numFmtId="0" fontId="13" fillId="2" borderId="156" xfId="0" applyFont="1" applyFill="1" applyBorder="1" applyAlignment="1">
      <alignment horizontal="left"/>
    </xf>
    <xf numFmtId="0" fontId="0" fillId="26" borderId="11" xfId="0" applyFont="1" applyFill="1" applyBorder="1" applyAlignment="1"/>
    <xf numFmtId="0" fontId="0" fillId="26" borderId="6" xfId="0" applyFont="1" applyFill="1" applyBorder="1" applyAlignment="1"/>
    <xf numFmtId="0" fontId="0" fillId="26" borderId="37" xfId="0" applyFont="1" applyFill="1" applyBorder="1" applyAlignment="1"/>
    <xf numFmtId="0" fontId="21" fillId="26" borderId="157" xfId="0" applyFont="1" applyFill="1" applyBorder="1" applyAlignment="1"/>
    <xf numFmtId="49" fontId="25" fillId="2" borderId="158" xfId="0" applyNumberFormat="1" applyFont="1" applyFill="1" applyBorder="1" applyAlignment="1">
      <alignment horizontal="right"/>
    </xf>
    <xf numFmtId="0" fontId="26" fillId="2" borderId="148" xfId="0" applyFont="1" applyFill="1" applyBorder="1" applyAlignment="1">
      <alignment horizontal="center"/>
    </xf>
    <xf numFmtId="0" fontId="24" fillId="2" borderId="159" xfId="0" applyFont="1" applyFill="1" applyBorder="1" applyAlignment="1">
      <alignment horizontal="center"/>
    </xf>
    <xf numFmtId="0" fontId="0" fillId="2" borderId="152" xfId="0" applyFont="1" applyFill="1" applyBorder="1" applyAlignment="1"/>
    <xf numFmtId="0" fontId="24" fillId="2" borderId="152" xfId="0" applyFont="1" applyFill="1" applyBorder="1" applyAlignment="1"/>
    <xf numFmtId="0" fontId="24" fillId="2" borderId="152" xfId="0" applyNumberFormat="1" applyFont="1" applyFill="1" applyBorder="1" applyAlignment="1"/>
    <xf numFmtId="0" fontId="0" fillId="2" borderId="160" xfId="0" applyFont="1" applyFill="1" applyBorder="1" applyAlignment="1"/>
    <xf numFmtId="0" fontId="11" fillId="2" borderId="6" xfId="0" applyFont="1" applyFill="1" applyBorder="1" applyAlignment="1">
      <alignment horizontal="right"/>
    </xf>
    <xf numFmtId="0" fontId="0" fillId="2" borderId="161" xfId="0" applyFont="1" applyFill="1" applyBorder="1" applyAlignment="1"/>
    <xf numFmtId="49" fontId="35" fillId="2" borderId="161" xfId="0" applyNumberFormat="1" applyFont="1" applyFill="1" applyBorder="1" applyAlignment="1">
      <alignment horizontal="right"/>
    </xf>
    <xf numFmtId="49" fontId="0" fillId="6" borderId="161" xfId="0" applyNumberFormat="1" applyFont="1" applyFill="1" applyBorder="1" applyAlignment="1"/>
    <xf numFmtId="0" fontId="36" fillId="27" borderId="161" xfId="0" applyFont="1" applyFill="1" applyBorder="1" applyAlignment="1"/>
    <xf numFmtId="0" fontId="28" fillId="2" borderId="9" xfId="0" applyFont="1" applyFill="1" applyBorder="1" applyAlignment="1"/>
    <xf numFmtId="0" fontId="28" fillId="25" borderId="6" xfId="0" applyFont="1" applyFill="1" applyBorder="1" applyAlignment="1"/>
    <xf numFmtId="0" fontId="28" fillId="25" borderId="9" xfId="0" applyFont="1" applyFill="1" applyBorder="1" applyAlignment="1"/>
    <xf numFmtId="0" fontId="0" fillId="2" borderId="162" xfId="0" applyFont="1" applyFill="1" applyBorder="1" applyAlignment="1"/>
    <xf numFmtId="0" fontId="0" fillId="2" borderId="127" xfId="0" applyFont="1" applyFill="1" applyBorder="1" applyAlignment="1"/>
    <xf numFmtId="0" fontId="0" fillId="0" borderId="0" xfId="0" applyNumberFormat="1" applyFont="1" applyAlignment="1"/>
    <xf numFmtId="0" fontId="38" fillId="26" borderId="1" xfId="0" applyFont="1" applyFill="1" applyBorder="1" applyAlignment="1">
      <alignment horizontal="left"/>
    </xf>
    <xf numFmtId="49" fontId="38" fillId="26" borderId="2" xfId="0" applyNumberFormat="1" applyFont="1" applyFill="1" applyBorder="1" applyAlignment="1">
      <alignment horizontal="left"/>
    </xf>
    <xf numFmtId="49" fontId="38" fillId="26" borderId="2" xfId="0" applyNumberFormat="1" applyFont="1" applyFill="1" applyBorder="1" applyAlignment="1"/>
    <xf numFmtId="49" fontId="38" fillId="26" borderId="2" xfId="0" applyNumberFormat="1" applyFont="1" applyFill="1" applyBorder="1" applyAlignment="1">
      <alignment horizontal="center"/>
    </xf>
    <xf numFmtId="49" fontId="38" fillId="26" borderId="59" xfId="0" applyNumberFormat="1" applyFont="1" applyFill="1" applyBorder="1" applyAlignment="1">
      <alignment horizontal="center"/>
    </xf>
    <xf numFmtId="0" fontId="0" fillId="27" borderId="61" xfId="0" applyFont="1" applyFill="1" applyBorder="1" applyAlignment="1"/>
    <xf numFmtId="0" fontId="0" fillId="27" borderId="2" xfId="0" applyFont="1" applyFill="1" applyBorder="1" applyAlignment="1"/>
    <xf numFmtId="0" fontId="0" fillId="27" borderId="3" xfId="0" applyFont="1" applyFill="1" applyBorder="1" applyAlignment="1"/>
    <xf numFmtId="0" fontId="39" fillId="9" borderId="163" xfId="0" applyNumberFormat="1" applyFont="1" applyFill="1" applyBorder="1" applyAlignment="1">
      <alignment horizontal="left"/>
    </xf>
    <xf numFmtId="49" fontId="39" fillId="9" borderId="164" xfId="0" applyNumberFormat="1" applyFont="1" applyFill="1" applyBorder="1" applyAlignment="1"/>
    <xf numFmtId="1" fontId="40" fillId="9" borderId="165" xfId="0" applyNumberFormat="1" applyFont="1" applyFill="1" applyBorder="1" applyAlignment="1"/>
    <xf numFmtId="0" fontId="40" fillId="9" borderId="165" xfId="0" applyFont="1" applyFill="1" applyBorder="1" applyAlignment="1">
      <alignment horizontal="left"/>
    </xf>
    <xf numFmtId="0" fontId="40" fillId="9" borderId="165" xfId="0" applyNumberFormat="1" applyFont="1" applyFill="1" applyBorder="1" applyAlignment="1">
      <alignment horizontal="center"/>
    </xf>
    <xf numFmtId="0" fontId="40" fillId="9" borderId="166" xfId="0" applyNumberFormat="1" applyFont="1" applyFill="1" applyBorder="1" applyAlignment="1">
      <alignment horizontal="center"/>
    </xf>
    <xf numFmtId="0" fontId="0" fillId="27" borderId="40" xfId="0" applyFont="1" applyFill="1" applyBorder="1" applyAlignment="1"/>
    <xf numFmtId="0" fontId="0" fillId="27" borderId="6" xfId="0" applyFont="1" applyFill="1" applyBorder="1" applyAlignment="1"/>
    <xf numFmtId="0" fontId="0" fillId="27" borderId="12" xfId="0" applyFont="1" applyFill="1" applyBorder="1" applyAlignment="1"/>
    <xf numFmtId="0" fontId="41" fillId="20" borderId="167" xfId="0" applyNumberFormat="1" applyFont="1" applyFill="1" applyBorder="1" applyAlignment="1">
      <alignment horizontal="left"/>
    </xf>
    <xf numFmtId="49" fontId="41" fillId="20" borderId="168" xfId="0" applyNumberFormat="1" applyFont="1" applyFill="1" applyBorder="1" applyAlignment="1"/>
    <xf numFmtId="1" fontId="42" fillId="20" borderId="169" xfId="0" applyNumberFormat="1" applyFont="1" applyFill="1" applyBorder="1" applyAlignment="1"/>
    <xf numFmtId="0" fontId="42" fillId="20" borderId="169" xfId="0" applyFont="1" applyFill="1" applyBorder="1" applyAlignment="1">
      <alignment horizontal="left"/>
    </xf>
    <xf numFmtId="0" fontId="42" fillId="20" borderId="169" xfId="0" applyNumberFormat="1" applyFont="1" applyFill="1" applyBorder="1" applyAlignment="1">
      <alignment horizontal="center"/>
    </xf>
    <xf numFmtId="0" fontId="42" fillId="20" borderId="170" xfId="0" applyNumberFormat="1" applyFont="1" applyFill="1" applyBorder="1" applyAlignment="1">
      <alignment horizontal="center"/>
    </xf>
    <xf numFmtId="0" fontId="0" fillId="28" borderId="171" xfId="0" applyNumberFormat="1" applyFont="1" applyFill="1" applyBorder="1" applyAlignment="1"/>
    <xf numFmtId="49" fontId="0" fillId="28" borderId="172" xfId="0" applyNumberFormat="1" applyFont="1" applyFill="1" applyBorder="1" applyAlignment="1"/>
    <xf numFmtId="1" fontId="0" fillId="28" borderId="173" xfId="0" applyNumberFormat="1" applyFont="1" applyFill="1" applyBorder="1" applyAlignment="1"/>
    <xf numFmtId="0" fontId="0" fillId="28" borderId="173" xfId="0" applyFont="1" applyFill="1" applyBorder="1" applyAlignment="1"/>
    <xf numFmtId="0" fontId="0" fillId="28" borderId="173" xfId="0" applyNumberFormat="1" applyFont="1" applyFill="1" applyBorder="1" applyAlignment="1">
      <alignment horizontal="center"/>
    </xf>
    <xf numFmtId="0" fontId="0" fillId="28" borderId="174" xfId="0" applyNumberFormat="1" applyFont="1" applyFill="1" applyBorder="1" applyAlignment="1">
      <alignment horizontal="center"/>
    </xf>
    <xf numFmtId="0" fontId="0" fillId="28" borderId="163" xfId="0" applyNumberFormat="1" applyFont="1" applyFill="1" applyBorder="1" applyAlignment="1"/>
    <xf numFmtId="49" fontId="0" fillId="28" borderId="164" xfId="0" applyNumberFormat="1" applyFont="1" applyFill="1" applyBorder="1" applyAlignment="1"/>
    <xf numFmtId="1" fontId="0" fillId="28" borderId="165" xfId="0" applyNumberFormat="1" applyFont="1" applyFill="1" applyBorder="1" applyAlignment="1"/>
    <xf numFmtId="0" fontId="0" fillId="28" borderId="165" xfId="0" applyFont="1" applyFill="1" applyBorder="1" applyAlignment="1"/>
    <xf numFmtId="0" fontId="0" fillId="28" borderId="165" xfId="0" applyNumberFormat="1" applyFont="1" applyFill="1" applyBorder="1" applyAlignment="1">
      <alignment horizontal="center"/>
    </xf>
    <xf numFmtId="0" fontId="0" fillId="28" borderId="166" xfId="0" applyNumberFormat="1" applyFont="1" applyFill="1" applyBorder="1" applyAlignment="1">
      <alignment horizontal="center"/>
    </xf>
    <xf numFmtId="0" fontId="43" fillId="17" borderId="171" xfId="0" applyNumberFormat="1" applyFont="1" applyFill="1" applyBorder="1" applyAlignment="1">
      <alignment horizontal="left"/>
    </xf>
    <xf numFmtId="49" fontId="43" fillId="17" borderId="172" xfId="0" applyNumberFormat="1" applyFont="1" applyFill="1" applyBorder="1" applyAlignment="1"/>
    <xf numFmtId="1" fontId="0" fillId="17" borderId="173" xfId="0" applyNumberFormat="1" applyFont="1" applyFill="1" applyBorder="1" applyAlignment="1"/>
    <xf numFmtId="0" fontId="0" fillId="17" borderId="173" xfId="0" applyFont="1" applyFill="1" applyBorder="1" applyAlignment="1"/>
    <xf numFmtId="0" fontId="0" fillId="17" borderId="173" xfId="0" applyNumberFormat="1" applyFont="1" applyFill="1" applyBorder="1" applyAlignment="1">
      <alignment horizontal="center"/>
    </xf>
    <xf numFmtId="0" fontId="0" fillId="17" borderId="174" xfId="0" applyNumberFormat="1" applyFont="1" applyFill="1" applyBorder="1" applyAlignment="1">
      <alignment horizontal="center"/>
    </xf>
    <xf numFmtId="0" fontId="43" fillId="17" borderId="175" xfId="0" applyNumberFormat="1" applyFont="1" applyFill="1" applyBorder="1" applyAlignment="1">
      <alignment horizontal="left"/>
    </xf>
    <xf numFmtId="49" fontId="43" fillId="17" borderId="40" xfId="0" applyNumberFormat="1" applyFont="1" applyFill="1" applyBorder="1" applyAlignment="1"/>
    <xf numFmtId="1" fontId="0" fillId="17" borderId="6" xfId="0" applyNumberFormat="1" applyFont="1" applyFill="1" applyBorder="1" applyAlignment="1"/>
    <xf numFmtId="0" fontId="0" fillId="17" borderId="6" xfId="0" applyNumberFormat="1" applyFont="1" applyFill="1" applyBorder="1" applyAlignment="1">
      <alignment horizontal="center"/>
    </xf>
    <xf numFmtId="0" fontId="0" fillId="17" borderId="37" xfId="0" applyNumberFormat="1" applyFont="1" applyFill="1" applyBorder="1" applyAlignment="1">
      <alignment horizontal="center"/>
    </xf>
    <xf numFmtId="0" fontId="43" fillId="17" borderId="176" xfId="0" applyNumberFormat="1" applyFont="1" applyFill="1" applyBorder="1" applyAlignment="1">
      <alignment horizontal="left"/>
    </xf>
    <xf numFmtId="49" fontId="43" fillId="17" borderId="177" xfId="0" applyNumberFormat="1" applyFont="1" applyFill="1" applyBorder="1" applyAlignment="1"/>
    <xf numFmtId="1" fontId="0" fillId="17" borderId="178" xfId="0" applyNumberFormat="1" applyFont="1" applyFill="1" applyBorder="1" applyAlignment="1"/>
    <xf numFmtId="0" fontId="0" fillId="17" borderId="178" xfId="0" applyFont="1" applyFill="1" applyBorder="1" applyAlignment="1"/>
    <xf numFmtId="0" fontId="0" fillId="17" borderId="178" xfId="0" applyNumberFormat="1" applyFont="1" applyFill="1" applyBorder="1" applyAlignment="1">
      <alignment horizontal="center"/>
    </xf>
    <xf numFmtId="0" fontId="0" fillId="17" borderId="179" xfId="0" applyNumberFormat="1" applyFont="1" applyFill="1" applyBorder="1" applyAlignment="1">
      <alignment horizontal="center"/>
    </xf>
    <xf numFmtId="0" fontId="43" fillId="29" borderId="180" xfId="0" applyNumberFormat="1" applyFont="1" applyFill="1" applyBorder="1" applyAlignment="1">
      <alignment horizontal="left"/>
    </xf>
    <xf numFmtId="49" fontId="43" fillId="29" borderId="181" xfId="0" applyNumberFormat="1" applyFont="1" applyFill="1" applyBorder="1" applyAlignment="1"/>
    <xf numFmtId="1" fontId="0" fillId="29" borderId="182" xfId="0" applyNumberFormat="1" applyFont="1" applyFill="1" applyBorder="1" applyAlignment="1"/>
    <xf numFmtId="0" fontId="0" fillId="29" borderId="182" xfId="0" applyFont="1" applyFill="1" applyBorder="1" applyAlignment="1"/>
    <xf numFmtId="0" fontId="0" fillId="29" borderId="182" xfId="0" applyNumberFormat="1" applyFont="1" applyFill="1" applyBorder="1" applyAlignment="1">
      <alignment horizontal="center"/>
    </xf>
    <xf numFmtId="0" fontId="0" fillId="29" borderId="183" xfId="0" applyNumberFormat="1" applyFont="1" applyFill="1" applyBorder="1" applyAlignment="1">
      <alignment horizontal="center"/>
    </xf>
    <xf numFmtId="0" fontId="43" fillId="29" borderId="175" xfId="0" applyNumberFormat="1" applyFont="1" applyFill="1" applyBorder="1" applyAlignment="1">
      <alignment horizontal="left"/>
    </xf>
    <xf numFmtId="49" fontId="43" fillId="29" borderId="40" xfId="0" applyNumberFormat="1" applyFont="1" applyFill="1" applyBorder="1" applyAlignment="1"/>
    <xf numFmtId="1" fontId="0" fillId="29" borderId="6" xfId="0" applyNumberFormat="1" applyFont="1" applyFill="1" applyBorder="1" applyAlignment="1"/>
    <xf numFmtId="0" fontId="0" fillId="29" borderId="6" xfId="0" applyFont="1" applyFill="1" applyBorder="1" applyAlignment="1"/>
    <xf numFmtId="0" fontId="0" fillId="29" borderId="6" xfId="0" applyNumberFormat="1" applyFont="1" applyFill="1" applyBorder="1" applyAlignment="1">
      <alignment horizontal="center"/>
    </xf>
    <xf numFmtId="0" fontId="0" fillId="29" borderId="37" xfId="0" applyNumberFormat="1" applyFont="1" applyFill="1" applyBorder="1" applyAlignment="1">
      <alignment horizontal="center"/>
    </xf>
    <xf numFmtId="0" fontId="43" fillId="29" borderId="184" xfId="0" applyNumberFormat="1" applyFont="1" applyFill="1" applyBorder="1" applyAlignment="1">
      <alignment horizontal="left"/>
    </xf>
    <xf numFmtId="49" fontId="43" fillId="29" borderId="50" xfId="0" applyNumberFormat="1" applyFont="1" applyFill="1" applyBorder="1" applyAlignment="1"/>
    <xf numFmtId="1" fontId="0" fillId="29" borderId="5" xfId="0" applyNumberFormat="1" applyFont="1" applyFill="1" applyBorder="1" applyAlignment="1"/>
    <xf numFmtId="0" fontId="0" fillId="29" borderId="5" xfId="0" applyFont="1" applyFill="1" applyBorder="1" applyAlignment="1"/>
    <xf numFmtId="0" fontId="0" fillId="29" borderId="5" xfId="0" applyNumberFormat="1" applyFont="1" applyFill="1" applyBorder="1" applyAlignment="1">
      <alignment horizontal="center"/>
    </xf>
    <xf numFmtId="0" fontId="0" fillId="29" borderId="51" xfId="0" applyNumberFormat="1" applyFont="1" applyFill="1" applyBorder="1" applyAlignment="1">
      <alignment horizontal="center"/>
    </xf>
    <xf numFmtId="0" fontId="43" fillId="30" borderId="185" xfId="0" applyNumberFormat="1" applyFont="1" applyFill="1" applyBorder="1" applyAlignment="1">
      <alignment horizontal="left"/>
    </xf>
    <xf numFmtId="49" fontId="43" fillId="30" borderId="38" xfId="0" applyNumberFormat="1" applyFont="1" applyFill="1" applyBorder="1" applyAlignment="1"/>
    <xf numFmtId="1" fontId="0" fillId="30" borderId="9" xfId="0" applyNumberFormat="1" applyFont="1" applyFill="1" applyBorder="1" applyAlignment="1"/>
    <xf numFmtId="0" fontId="0" fillId="30" borderId="9" xfId="0" applyFont="1" applyFill="1" applyBorder="1" applyAlignment="1"/>
    <xf numFmtId="0" fontId="0" fillId="30" borderId="9" xfId="0" applyNumberFormat="1" applyFont="1" applyFill="1" applyBorder="1" applyAlignment="1">
      <alignment horizontal="center"/>
    </xf>
    <xf numFmtId="0" fontId="0" fillId="30" borderId="39" xfId="0" applyNumberFormat="1" applyFont="1" applyFill="1" applyBorder="1" applyAlignment="1">
      <alignment horizontal="center"/>
    </xf>
    <xf numFmtId="0" fontId="43" fillId="30" borderId="175" xfId="0" applyNumberFormat="1" applyFont="1" applyFill="1" applyBorder="1" applyAlignment="1">
      <alignment horizontal="left"/>
    </xf>
    <xf numFmtId="49" fontId="43" fillId="30" borderId="40" xfId="0" applyNumberFormat="1" applyFont="1" applyFill="1" applyBorder="1" applyAlignment="1"/>
    <xf numFmtId="1" fontId="0" fillId="30" borderId="6" xfId="0" applyNumberFormat="1" applyFont="1" applyFill="1" applyBorder="1" applyAlignment="1"/>
    <xf numFmtId="0" fontId="0" fillId="30" borderId="6" xfId="0" applyFont="1" applyFill="1" applyBorder="1" applyAlignment="1"/>
    <xf numFmtId="0" fontId="0" fillId="30" borderId="6" xfId="0" applyNumberFormat="1" applyFont="1" applyFill="1" applyBorder="1" applyAlignment="1">
      <alignment horizontal="center"/>
    </xf>
    <xf numFmtId="0" fontId="0" fillId="30" borderId="37" xfId="0" applyNumberFormat="1" applyFont="1" applyFill="1" applyBorder="1" applyAlignment="1">
      <alignment horizontal="center"/>
    </xf>
    <xf numFmtId="0" fontId="43" fillId="30" borderId="184" xfId="0" applyNumberFormat="1" applyFont="1" applyFill="1" applyBorder="1" applyAlignment="1">
      <alignment horizontal="left"/>
    </xf>
    <xf numFmtId="49" fontId="43" fillId="30" borderId="50" xfId="0" applyNumberFormat="1" applyFont="1" applyFill="1" applyBorder="1" applyAlignment="1"/>
    <xf numFmtId="1" fontId="0" fillId="30" borderId="5" xfId="0" applyNumberFormat="1" applyFont="1" applyFill="1" applyBorder="1" applyAlignment="1"/>
    <xf numFmtId="0" fontId="0" fillId="30" borderId="5" xfId="0" applyFont="1" applyFill="1" applyBorder="1" applyAlignment="1"/>
    <xf numFmtId="0" fontId="0" fillId="30" borderId="5" xfId="0" applyNumberFormat="1" applyFont="1" applyFill="1" applyBorder="1" applyAlignment="1">
      <alignment horizontal="center"/>
    </xf>
    <xf numFmtId="0" fontId="0" fillId="30" borderId="51" xfId="0" applyNumberFormat="1" applyFont="1" applyFill="1" applyBorder="1" applyAlignment="1">
      <alignment horizontal="center"/>
    </xf>
    <xf numFmtId="0" fontId="43" fillId="23" borderId="185" xfId="0" applyNumberFormat="1" applyFont="1" applyFill="1" applyBorder="1" applyAlignment="1">
      <alignment horizontal="left"/>
    </xf>
    <xf numFmtId="49" fontId="43" fillId="23" borderId="38" xfId="0" applyNumberFormat="1" applyFont="1" applyFill="1" applyBorder="1" applyAlignment="1"/>
    <xf numFmtId="1" fontId="0" fillId="23" borderId="9" xfId="0" applyNumberFormat="1" applyFont="1" applyFill="1" applyBorder="1" applyAlignment="1"/>
    <xf numFmtId="0" fontId="0" fillId="23" borderId="9" xfId="0" applyFont="1" applyFill="1" applyBorder="1" applyAlignment="1"/>
    <xf numFmtId="0" fontId="0" fillId="23" borderId="9" xfId="0" applyNumberFormat="1" applyFont="1" applyFill="1" applyBorder="1" applyAlignment="1">
      <alignment horizontal="center"/>
    </xf>
    <xf numFmtId="0" fontId="0" fillId="23" borderId="39" xfId="0" applyNumberFormat="1" applyFont="1" applyFill="1" applyBorder="1" applyAlignment="1">
      <alignment horizontal="center"/>
    </xf>
    <xf numFmtId="0" fontId="43" fillId="23" borderId="175" xfId="0" applyNumberFormat="1" applyFont="1" applyFill="1" applyBorder="1" applyAlignment="1">
      <alignment horizontal="left"/>
    </xf>
    <xf numFmtId="49" fontId="43" fillId="23" borderId="40" xfId="0" applyNumberFormat="1" applyFont="1" applyFill="1" applyBorder="1" applyAlignment="1"/>
    <xf numFmtId="1" fontId="0" fillId="23" borderId="6" xfId="0" applyNumberFormat="1" applyFont="1" applyFill="1" applyBorder="1" applyAlignment="1"/>
    <xf numFmtId="0" fontId="0" fillId="23" borderId="6" xfId="0" applyFont="1" applyFill="1" applyBorder="1" applyAlignment="1"/>
    <xf numFmtId="0" fontId="0" fillId="23" borderId="6" xfId="0" applyNumberFormat="1" applyFont="1" applyFill="1" applyBorder="1" applyAlignment="1">
      <alignment horizontal="center"/>
    </xf>
    <xf numFmtId="0" fontId="0" fillId="23" borderId="37" xfId="0" applyNumberFormat="1" applyFont="1" applyFill="1" applyBorder="1" applyAlignment="1">
      <alignment horizontal="center"/>
    </xf>
    <xf numFmtId="0" fontId="43" fillId="23" borderId="184" xfId="0" applyNumberFormat="1" applyFont="1" applyFill="1" applyBorder="1" applyAlignment="1">
      <alignment horizontal="left"/>
    </xf>
    <xf numFmtId="49" fontId="43" fillId="23" borderId="50" xfId="0" applyNumberFormat="1" applyFont="1" applyFill="1" applyBorder="1" applyAlignment="1"/>
    <xf numFmtId="1" fontId="0" fillId="23" borderId="5" xfId="0" applyNumberFormat="1" applyFont="1" applyFill="1" applyBorder="1" applyAlignment="1"/>
    <xf numFmtId="0" fontId="0" fillId="23" borderId="5" xfId="0" applyFont="1" applyFill="1" applyBorder="1" applyAlignment="1"/>
    <xf numFmtId="0" fontId="0" fillId="23" borderId="5" xfId="0" applyNumberFormat="1" applyFont="1" applyFill="1" applyBorder="1" applyAlignment="1">
      <alignment horizontal="center"/>
    </xf>
    <xf numFmtId="0" fontId="0" fillId="23" borderId="51" xfId="0" applyNumberFormat="1" applyFont="1" applyFill="1" applyBorder="1" applyAlignment="1">
      <alignment horizontal="center"/>
    </xf>
    <xf numFmtId="0" fontId="0" fillId="27" borderId="8" xfId="0" applyFont="1" applyFill="1" applyBorder="1" applyAlignment="1"/>
    <xf numFmtId="0" fontId="0" fillId="27" borderId="9" xfId="0" applyFont="1" applyFill="1" applyBorder="1" applyAlignment="1"/>
    <xf numFmtId="0" fontId="0" fillId="27" borderId="39" xfId="0" applyFont="1" applyFill="1" applyBorder="1" applyAlignment="1"/>
    <xf numFmtId="0" fontId="0" fillId="27" borderId="11" xfId="0" applyFont="1" applyFill="1" applyBorder="1" applyAlignment="1"/>
    <xf numFmtId="0" fontId="0" fillId="27" borderId="37" xfId="0" applyFont="1" applyFill="1" applyBorder="1" applyAlignment="1"/>
    <xf numFmtId="0" fontId="0" fillId="27" borderId="13" xfId="0" applyFont="1" applyFill="1" applyBorder="1" applyAlignment="1"/>
    <xf numFmtId="0" fontId="0" fillId="27" borderId="14" xfId="0" applyFont="1" applyFill="1" applyBorder="1" applyAlignment="1"/>
    <xf numFmtId="0" fontId="0" fillId="27" borderId="125" xfId="0" applyFont="1" applyFill="1" applyBorder="1" applyAlignment="1"/>
    <xf numFmtId="0" fontId="0" fillId="27" borderId="127" xfId="0" applyFont="1" applyFill="1" applyBorder="1" applyAlignment="1"/>
    <xf numFmtId="0" fontId="0" fillId="27" borderId="15" xfId="0" applyFont="1" applyFill="1" applyBorder="1" applyAlignment="1"/>
    <xf numFmtId="0" fontId="0" fillId="0" borderId="0" xfId="0" applyNumberFormat="1" applyFont="1" applyAlignment="1"/>
    <xf numFmtId="49" fontId="0" fillId="0" borderId="186" xfId="0" applyNumberFormat="1" applyFont="1" applyBorder="1" applyAlignment="1"/>
    <xf numFmtId="49" fontId="0" fillId="2" borderId="186" xfId="0" applyNumberFormat="1" applyFont="1" applyFill="1" applyBorder="1" applyAlignment="1"/>
    <xf numFmtId="49" fontId="0" fillId="0" borderId="186" xfId="0" applyNumberFormat="1" applyFont="1" applyBorder="1" applyAlignment="1">
      <alignment horizontal="right"/>
    </xf>
    <xf numFmtId="49" fontId="0" fillId="2" borderId="187" xfId="0" applyNumberFormat="1" applyFont="1" applyFill="1" applyBorder="1" applyAlignment="1"/>
    <xf numFmtId="0" fontId="35" fillId="2" borderId="188" xfId="0" applyFont="1" applyFill="1" applyBorder="1" applyAlignment="1">
      <alignment horizontal="right"/>
    </xf>
    <xf numFmtId="0" fontId="11" fillId="6" borderId="161" xfId="0" applyFont="1" applyFill="1" applyBorder="1" applyAlignment="1"/>
    <xf numFmtId="0" fontId="0" fillId="26" borderId="2" xfId="0" applyFont="1" applyFill="1" applyBorder="1" applyAlignment="1"/>
    <xf numFmtId="49" fontId="0" fillId="3" borderId="17" xfId="0" applyNumberFormat="1" applyFont="1" applyFill="1" applyBorder="1" applyAlignment="1"/>
    <xf numFmtId="0" fontId="0" fillId="3" borderId="3" xfId="0" applyFont="1" applyFill="1" applyBorder="1" applyAlignment="1"/>
    <xf numFmtId="0" fontId="0" fillId="0" borderId="189" xfId="0" applyFont="1" applyBorder="1" applyAlignment="1"/>
    <xf numFmtId="0" fontId="0" fillId="2" borderId="189" xfId="0" applyFont="1" applyFill="1" applyBorder="1" applyAlignment="1"/>
    <xf numFmtId="0" fontId="0" fillId="0" borderId="189" xfId="0" applyNumberFormat="1" applyFont="1" applyBorder="1" applyAlignment="1"/>
    <xf numFmtId="0" fontId="0" fillId="2" borderId="189" xfId="0" applyNumberFormat="1" applyFont="1" applyFill="1" applyBorder="1" applyAlignment="1"/>
    <xf numFmtId="0" fontId="0" fillId="2" borderId="190" xfId="0" applyFont="1" applyFill="1" applyBorder="1" applyAlignment="1"/>
    <xf numFmtId="0" fontId="0" fillId="0" borderId="191" xfId="0" applyFont="1" applyBorder="1" applyAlignment="1"/>
    <xf numFmtId="0" fontId="0" fillId="2" borderId="191" xfId="0" applyFont="1" applyFill="1" applyBorder="1" applyAlignment="1"/>
    <xf numFmtId="0" fontId="0" fillId="0" borderId="191" xfId="0" applyNumberFormat="1" applyFont="1" applyBorder="1" applyAlignment="1"/>
    <xf numFmtId="0" fontId="0" fillId="2" borderId="191" xfId="0" applyNumberFormat="1" applyFont="1" applyFill="1" applyBorder="1" applyAlignment="1"/>
    <xf numFmtId="0" fontId="0" fillId="2" borderId="192" xfId="0" applyFont="1" applyFill="1" applyBorder="1" applyAlignment="1"/>
    <xf numFmtId="0" fontId="0" fillId="0" borderId="186" xfId="0" applyFont="1" applyBorder="1" applyAlignment="1"/>
    <xf numFmtId="0" fontId="0" fillId="2" borderId="186" xfId="0" applyFont="1" applyFill="1" applyBorder="1" applyAlignment="1"/>
    <xf numFmtId="0" fontId="0" fillId="0" borderId="186" xfId="0" applyNumberFormat="1" applyFont="1" applyBorder="1" applyAlignment="1"/>
    <xf numFmtId="0" fontId="0" fillId="2" borderId="186" xfId="0" applyNumberFormat="1" applyFont="1" applyFill="1" applyBorder="1" applyAlignment="1"/>
    <xf numFmtId="0" fontId="0" fillId="2" borderId="187" xfId="0" applyFont="1" applyFill="1" applyBorder="1" applyAlignment="1"/>
    <xf numFmtId="49" fontId="0" fillId="2" borderId="193" xfId="0" applyNumberFormat="1" applyFont="1" applyFill="1" applyBorder="1" applyAlignment="1"/>
    <xf numFmtId="0" fontId="0" fillId="0" borderId="194" xfId="0" applyFont="1" applyBorder="1" applyAlignment="1"/>
    <xf numFmtId="0" fontId="44" fillId="0" borderId="189" xfId="0" applyNumberFormat="1" applyFont="1" applyBorder="1" applyAlignment="1"/>
    <xf numFmtId="0" fontId="44" fillId="2" borderId="189" xfId="0" applyNumberFormat="1" applyFont="1" applyFill="1" applyBorder="1" applyAlignment="1">
      <alignment horizontal="right"/>
    </xf>
    <xf numFmtId="0" fontId="44" fillId="2" borderId="189" xfId="0" applyNumberFormat="1" applyFont="1" applyFill="1" applyBorder="1" applyAlignment="1">
      <alignment horizontal="left"/>
    </xf>
    <xf numFmtId="0" fontId="44" fillId="2" borderId="190" xfId="0" applyNumberFormat="1" applyFont="1" applyFill="1" applyBorder="1" applyAlignment="1">
      <alignment horizontal="left"/>
    </xf>
    <xf numFmtId="49" fontId="0" fillId="2" borderId="195" xfId="0" applyNumberFormat="1" applyFont="1" applyFill="1" applyBorder="1" applyAlignment="1"/>
    <xf numFmtId="0" fontId="0" fillId="0" borderId="196" xfId="0" applyFont="1" applyBorder="1" applyAlignment="1"/>
    <xf numFmtId="0" fontId="44" fillId="0" borderId="186" xfId="0" applyNumberFormat="1" applyFont="1" applyBorder="1" applyAlignment="1"/>
    <xf numFmtId="0" fontId="44" fillId="2" borderId="186" xfId="0" applyNumberFormat="1" applyFont="1" applyFill="1" applyBorder="1" applyAlignment="1">
      <alignment horizontal="right"/>
    </xf>
    <xf numFmtId="0" fontId="44" fillId="2" borderId="186" xfId="0" applyNumberFormat="1" applyFont="1" applyFill="1" applyBorder="1" applyAlignment="1">
      <alignment horizontal="left"/>
    </xf>
    <xf numFmtId="0" fontId="44" fillId="2" borderId="187" xfId="0" applyNumberFormat="1" applyFont="1" applyFill="1" applyBorder="1" applyAlignment="1">
      <alignment horizontal="left"/>
    </xf>
    <xf numFmtId="49" fontId="4" fillId="2" borderId="195" xfId="0" applyNumberFormat="1" applyFont="1" applyFill="1" applyBorder="1" applyAlignment="1"/>
    <xf numFmtId="0" fontId="4" fillId="0" borderId="196" xfId="0" applyFont="1" applyBorder="1" applyAlignment="1"/>
    <xf numFmtId="0" fontId="0" fillId="3" borderId="5" xfId="0" applyNumberFormat="1" applyFont="1" applyFill="1" applyBorder="1" applyAlignment="1"/>
    <xf numFmtId="0" fontId="44" fillId="0" borderId="197" xfId="0" applyFont="1" applyBorder="1" applyAlignment="1"/>
    <xf numFmtId="0" fontId="44" fillId="2" borderId="197" xfId="0" applyFont="1" applyFill="1" applyBorder="1" applyAlignment="1">
      <alignment horizontal="right"/>
    </xf>
    <xf numFmtId="0" fontId="44" fillId="0" borderId="197" xfId="0" applyNumberFormat="1" applyFont="1" applyBorder="1" applyAlignment="1"/>
    <xf numFmtId="0" fontId="44" fillId="2" borderId="197" xfId="0" applyNumberFormat="1" applyFont="1" applyFill="1" applyBorder="1" applyAlignment="1">
      <alignment horizontal="left"/>
    </xf>
    <xf numFmtId="0" fontId="44" fillId="2" borderId="198" xfId="0" applyNumberFormat="1" applyFont="1" applyFill="1" applyBorder="1" applyAlignment="1">
      <alignment horizontal="left"/>
    </xf>
    <xf numFmtId="0" fontId="0" fillId="3" borderId="23" xfId="0" applyNumberFormat="1" applyFont="1" applyFill="1" applyBorder="1" applyAlignment="1"/>
    <xf numFmtId="0" fontId="0" fillId="2" borderId="195" xfId="0" applyFont="1" applyFill="1" applyBorder="1" applyAlignment="1"/>
    <xf numFmtId="0" fontId="0" fillId="3" borderId="7" xfId="0" applyFont="1" applyFill="1" applyBorder="1" applyAlignment="1"/>
    <xf numFmtId="49" fontId="0" fillId="4" borderId="8" xfId="0" applyNumberFormat="1" applyFont="1" applyFill="1" applyBorder="1" applyAlignment="1"/>
    <xf numFmtId="0" fontId="0" fillId="4" borderId="9" xfId="0" applyFont="1" applyFill="1" applyBorder="1" applyAlignment="1"/>
    <xf numFmtId="0" fontId="0" fillId="4" borderId="9" xfId="0" applyNumberFormat="1" applyFont="1" applyFill="1" applyBorder="1" applyAlignment="1"/>
    <xf numFmtId="0" fontId="0" fillId="4" borderId="39" xfId="0" applyFont="1" applyFill="1" applyBorder="1" applyAlignment="1"/>
    <xf numFmtId="0" fontId="45" fillId="3" borderId="9" xfId="0" applyFont="1" applyFill="1" applyBorder="1" applyAlignment="1">
      <alignment horizontal="center"/>
    </xf>
    <xf numFmtId="0" fontId="45" fillId="3" borderId="10" xfId="0" applyFont="1" applyFill="1" applyBorder="1" applyAlignment="1">
      <alignment horizontal="center"/>
    </xf>
    <xf numFmtId="49" fontId="0" fillId="4" borderId="11" xfId="0" applyNumberFormat="1" applyFont="1" applyFill="1" applyBorder="1" applyAlignment="1"/>
    <xf numFmtId="0" fontId="0" fillId="4" borderId="6" xfId="0" applyFont="1" applyFill="1" applyBorder="1" applyAlignment="1"/>
    <xf numFmtId="0" fontId="0" fillId="4" borderId="6" xfId="0" applyNumberFormat="1" applyFont="1" applyFill="1" applyBorder="1" applyAlignment="1"/>
    <xf numFmtId="0" fontId="0" fillId="4" borderId="37" xfId="0" applyFont="1" applyFill="1" applyBorder="1" applyAlignment="1"/>
    <xf numFmtId="0" fontId="45" fillId="3" borderId="6" xfId="0" applyFont="1" applyFill="1" applyBorder="1" applyAlignment="1">
      <alignment horizontal="center"/>
    </xf>
    <xf numFmtId="0" fontId="45" fillId="3" borderId="12" xfId="0" applyFont="1" applyFill="1" applyBorder="1" applyAlignment="1">
      <alignment horizontal="center"/>
    </xf>
    <xf numFmtId="49" fontId="0" fillId="4" borderId="4" xfId="0" applyNumberFormat="1" applyFont="1" applyFill="1" applyBorder="1" applyAlignment="1"/>
    <xf numFmtId="0" fontId="0" fillId="4" borderId="5" xfId="0" applyFont="1" applyFill="1" applyBorder="1" applyAlignment="1"/>
    <xf numFmtId="0" fontId="0" fillId="4" borderId="5" xfId="0" applyNumberFormat="1" applyFont="1" applyFill="1" applyBorder="1" applyAlignment="1"/>
    <xf numFmtId="0" fontId="0" fillId="4" borderId="51" xfId="0" applyFont="1" applyFill="1" applyBorder="1" applyAlignment="1"/>
    <xf numFmtId="0" fontId="45" fillId="3" borderId="5" xfId="0" applyFont="1" applyFill="1" applyBorder="1" applyAlignment="1">
      <alignment horizontal="center"/>
    </xf>
    <xf numFmtId="0" fontId="45" fillId="3" borderId="7" xfId="0" applyFont="1" applyFill="1" applyBorder="1" applyAlignment="1">
      <alignment horizontal="center"/>
    </xf>
    <xf numFmtId="49" fontId="0" fillId="25" borderId="8" xfId="0" applyNumberFormat="1" applyFont="1" applyFill="1" applyBorder="1" applyAlignment="1"/>
    <xf numFmtId="0" fontId="0" fillId="25" borderId="9" xfId="0" applyNumberFormat="1" applyFont="1" applyFill="1" applyBorder="1" applyAlignment="1"/>
    <xf numFmtId="0" fontId="0" fillId="25" borderId="39" xfId="0" applyFont="1" applyFill="1" applyBorder="1" applyAlignment="1"/>
    <xf numFmtId="49" fontId="0" fillId="25" borderId="11" xfId="0" applyNumberFormat="1" applyFont="1" applyFill="1" applyBorder="1" applyAlignment="1"/>
    <xf numFmtId="0" fontId="0" fillId="25" borderId="6" xfId="0" applyNumberFormat="1" applyFont="1" applyFill="1" applyBorder="1" applyAlignment="1"/>
    <xf numFmtId="49" fontId="0" fillId="25" borderId="4" xfId="0" applyNumberFormat="1" applyFont="1" applyFill="1" applyBorder="1" applyAlignment="1"/>
    <xf numFmtId="0" fontId="0" fillId="25" borderId="5" xfId="0" applyNumberFormat="1" applyFont="1" applyFill="1" applyBorder="1" applyAlignment="1"/>
    <xf numFmtId="0" fontId="0" fillId="25" borderId="51" xfId="0" applyFont="1" applyFill="1" applyBorder="1" applyAlignment="1"/>
    <xf numFmtId="49" fontId="0" fillId="28" borderId="8" xfId="0" applyNumberFormat="1" applyFont="1" applyFill="1" applyBorder="1" applyAlignment="1"/>
    <xf numFmtId="0" fontId="0" fillId="28" borderId="9" xfId="0" applyFont="1" applyFill="1" applyBorder="1" applyAlignment="1"/>
    <xf numFmtId="0" fontId="0" fillId="28" borderId="9" xfId="0" applyNumberFormat="1" applyFont="1" applyFill="1" applyBorder="1" applyAlignment="1"/>
    <xf numFmtId="0" fontId="0" fillId="28" borderId="39" xfId="0" applyFont="1" applyFill="1" applyBorder="1" applyAlignment="1"/>
    <xf numFmtId="49" fontId="0" fillId="28" borderId="11" xfId="0" applyNumberFormat="1" applyFont="1" applyFill="1" applyBorder="1" applyAlignment="1"/>
    <xf numFmtId="0" fontId="0" fillId="28" borderId="6" xfId="0" applyFont="1" applyFill="1" applyBorder="1" applyAlignment="1"/>
    <xf numFmtId="0" fontId="0" fillId="28" borderId="6" xfId="0" applyNumberFormat="1" applyFont="1" applyFill="1" applyBorder="1" applyAlignment="1"/>
    <xf numFmtId="0" fontId="0" fillId="28" borderId="37" xfId="0" applyFont="1" applyFill="1" applyBorder="1" applyAlignment="1"/>
    <xf numFmtId="49" fontId="0" fillId="30" borderId="11" xfId="0" applyNumberFormat="1" applyFont="1" applyFill="1" applyBorder="1" applyAlignment="1"/>
    <xf numFmtId="0" fontId="0" fillId="30" borderId="6" xfId="0" applyNumberFormat="1" applyFont="1" applyFill="1" applyBorder="1" applyAlignment="1"/>
    <xf numFmtId="0" fontId="0" fillId="30" borderId="37" xfId="0" applyFont="1" applyFill="1" applyBorder="1" applyAlignment="1"/>
    <xf numFmtId="49" fontId="0" fillId="31" borderId="11" xfId="0" applyNumberFormat="1" applyFont="1" applyFill="1" applyBorder="1" applyAlignment="1"/>
    <xf numFmtId="0" fontId="0" fillId="31" borderId="6" xfId="0" applyFont="1" applyFill="1" applyBorder="1" applyAlignment="1"/>
    <xf numFmtId="0" fontId="0" fillId="31" borderId="6" xfId="0" applyNumberFormat="1" applyFont="1" applyFill="1" applyBorder="1" applyAlignment="1"/>
    <xf numFmtId="0" fontId="0" fillId="31" borderId="37" xfId="0" applyFont="1" applyFill="1" applyBorder="1" applyAlignment="1"/>
    <xf numFmtId="49" fontId="0" fillId="24" borderId="4" xfId="0" applyNumberFormat="1" applyFont="1" applyFill="1" applyBorder="1" applyAlignment="1"/>
    <xf numFmtId="0" fontId="0" fillId="24" borderId="5" xfId="0" applyFont="1" applyFill="1" applyBorder="1" applyAlignment="1"/>
    <xf numFmtId="0" fontId="0" fillId="24" borderId="5" xfId="0" applyNumberFormat="1" applyFont="1" applyFill="1" applyBorder="1" applyAlignment="1">
      <alignment horizontal="right"/>
    </xf>
    <xf numFmtId="0" fontId="0" fillId="24" borderId="5" xfId="0" applyNumberFormat="1" applyFont="1" applyFill="1" applyBorder="1" applyAlignment="1"/>
    <xf numFmtId="0" fontId="0" fillId="24" borderId="51" xfId="0" applyFont="1" applyFill="1" applyBorder="1" applyAlignment="1"/>
    <xf numFmtId="0" fontId="46" fillId="0" borderId="191" xfId="0" applyFont="1" applyBorder="1" applyAlignment="1"/>
    <xf numFmtId="0" fontId="46" fillId="2" borderId="191" xfId="0" applyFont="1" applyFill="1" applyBorder="1" applyAlignment="1">
      <alignment horizontal="right"/>
    </xf>
    <xf numFmtId="0" fontId="46" fillId="0" borderId="186" xfId="0" applyFont="1" applyBorder="1" applyAlignment="1"/>
    <xf numFmtId="0" fontId="46" fillId="2" borderId="186" xfId="0" applyFont="1" applyFill="1" applyBorder="1" applyAlignment="1">
      <alignment horizontal="right"/>
    </xf>
    <xf numFmtId="0" fontId="0" fillId="26" borderId="14" xfId="0" applyFont="1" applyFill="1" applyBorder="1" applyAlignment="1"/>
    <xf numFmtId="0" fontId="0" fillId="3" borderId="14" xfId="0" applyFont="1" applyFill="1" applyBorder="1" applyAlignment="1"/>
    <xf numFmtId="0" fontId="0" fillId="3" borderId="15" xfId="0" applyFont="1" applyFill="1" applyBorder="1" applyAlignment="1"/>
    <xf numFmtId="0" fontId="0" fillId="0" borderId="0" xfId="0" applyNumberFormat="1" applyFont="1" applyAlignment="1"/>
    <xf numFmtId="49" fontId="47" fillId="0" borderId="191" xfId="0" applyNumberFormat="1" applyFont="1" applyBorder="1" applyAlignment="1"/>
    <xf numFmtId="0" fontId="47" fillId="0" borderId="191" xfId="0" applyFont="1" applyBorder="1" applyAlignment="1"/>
    <xf numFmtId="49" fontId="47" fillId="2" borderId="191" xfId="0" applyNumberFormat="1" applyFont="1" applyFill="1" applyBorder="1" applyAlignment="1">
      <alignment horizontal="center"/>
    </xf>
    <xf numFmtId="49" fontId="48" fillId="0" borderId="191" xfId="0" applyNumberFormat="1" applyFont="1" applyBorder="1" applyAlignment="1"/>
    <xf numFmtId="49" fontId="49" fillId="0" borderId="191" xfId="0" applyNumberFormat="1" applyFont="1" applyBorder="1" applyAlignment="1">
      <alignment horizontal="center"/>
    </xf>
    <xf numFmtId="49" fontId="50" fillId="0" borderId="191" xfId="0" applyNumberFormat="1" applyFont="1" applyBorder="1" applyAlignment="1">
      <alignment horizontal="center"/>
    </xf>
    <xf numFmtId="0" fontId="49" fillId="0" borderId="191" xfId="0" applyFont="1" applyBorder="1" applyAlignment="1">
      <alignment horizontal="center"/>
    </xf>
    <xf numFmtId="49" fontId="50" fillId="2" borderId="191" xfId="0" applyNumberFormat="1" applyFont="1" applyFill="1" applyBorder="1" applyAlignment="1">
      <alignment horizontal="center"/>
    </xf>
    <xf numFmtId="49" fontId="51" fillId="2" borderId="191" xfId="0" applyNumberFormat="1" applyFont="1" applyFill="1" applyBorder="1" applyAlignment="1">
      <alignment horizontal="center"/>
    </xf>
    <xf numFmtId="0" fontId="48" fillId="0" borderId="191" xfId="0" applyFont="1" applyBorder="1" applyAlignment="1"/>
    <xf numFmtId="0" fontId="50" fillId="2" borderId="191" xfId="0" applyFont="1" applyFill="1" applyBorder="1" applyAlignment="1">
      <alignment horizontal="center"/>
    </xf>
    <xf numFmtId="0" fontId="47" fillId="2" borderId="191" xfId="0" applyFont="1" applyFill="1" applyBorder="1" applyAlignment="1">
      <alignment horizontal="center"/>
    </xf>
    <xf numFmtId="0" fontId="51" fillId="0" borderId="191" xfId="0" applyFont="1" applyBorder="1" applyAlignment="1">
      <alignment horizontal="center"/>
    </xf>
    <xf numFmtId="0" fontId="47" fillId="0" borderId="191" xfId="0" applyFont="1" applyBorder="1" applyAlignment="1">
      <alignment horizontal="center"/>
    </xf>
    <xf numFmtId="0" fontId="0" fillId="0" borderId="0" xfId="0" applyNumberFormat="1" applyFont="1" applyAlignment="1"/>
    <xf numFmtId="49" fontId="0" fillId="0" borderId="191" xfId="0" applyNumberFormat="1" applyFont="1" applyBorder="1" applyAlignment="1"/>
    <xf numFmtId="0" fontId="1" fillId="0" borderId="187" xfId="0" applyFont="1" applyBorder="1" applyAlignment="1"/>
    <xf numFmtId="0" fontId="1" fillId="2" borderId="199" xfId="0" applyFont="1" applyFill="1" applyBorder="1" applyAlignment="1">
      <alignment horizontal="center"/>
    </xf>
    <xf numFmtId="0" fontId="1" fillId="2" borderId="186" xfId="0" applyFont="1" applyFill="1" applyBorder="1" applyAlignment="1">
      <alignment horizontal="center"/>
    </xf>
    <xf numFmtId="49" fontId="7" fillId="0" borderId="192" xfId="0" applyNumberFormat="1" applyFont="1" applyBorder="1" applyAlignment="1">
      <alignment horizontal="center"/>
    </xf>
    <xf numFmtId="0" fontId="1" fillId="0" borderId="200" xfId="0" applyFont="1" applyBorder="1" applyAlignment="1">
      <alignment horizontal="center"/>
    </xf>
    <xf numFmtId="0" fontId="1" fillId="0" borderId="199" xfId="0" applyFont="1" applyBorder="1" applyAlignment="1">
      <alignment horizontal="center"/>
    </xf>
    <xf numFmtId="0" fontId="0" fillId="0" borderId="192" xfId="0" applyFont="1" applyBorder="1" applyAlignment="1"/>
    <xf numFmtId="49" fontId="0" fillId="21" borderId="26" xfId="0" applyNumberFormat="1" applyFont="1" applyFill="1" applyBorder="1" applyAlignment="1">
      <alignment horizontal="center"/>
    </xf>
    <xf numFmtId="49" fontId="0" fillId="21" borderId="28" xfId="0" applyNumberFormat="1" applyFont="1" applyFill="1" applyBorder="1" applyAlignment="1">
      <alignment horizontal="center"/>
    </xf>
    <xf numFmtId="49" fontId="1" fillId="21" borderId="28" xfId="0" applyNumberFormat="1" applyFont="1" applyFill="1" applyBorder="1" applyAlignment="1">
      <alignment horizontal="center"/>
    </xf>
    <xf numFmtId="49" fontId="1" fillId="21" borderId="27" xfId="0" applyNumberFormat="1" applyFont="1" applyFill="1" applyBorder="1" applyAlignment="1">
      <alignment horizontal="center"/>
    </xf>
    <xf numFmtId="49" fontId="52" fillId="21" borderId="201" xfId="0" applyNumberFormat="1" applyFont="1" applyFill="1" applyBorder="1" applyAlignment="1">
      <alignment horizontal="center"/>
    </xf>
    <xf numFmtId="0" fontId="4" fillId="0" borderId="195" xfId="0" applyFont="1" applyBorder="1" applyAlignment="1"/>
    <xf numFmtId="0" fontId="4" fillId="0" borderId="191" xfId="0" applyFont="1" applyBorder="1" applyAlignment="1"/>
    <xf numFmtId="0" fontId="0" fillId="0" borderId="190" xfId="0" applyNumberFormat="1" applyFont="1" applyBorder="1" applyAlignment="1"/>
    <xf numFmtId="0" fontId="0" fillId="2" borderId="202" xfId="0" applyFont="1" applyFill="1" applyBorder="1" applyAlignment="1"/>
    <xf numFmtId="0" fontId="53" fillId="0" borderId="191" xfId="0" applyNumberFormat="1" applyFont="1" applyBorder="1" applyAlignment="1">
      <alignment horizontal="center"/>
    </xf>
    <xf numFmtId="0" fontId="54" fillId="0" borderId="189" xfId="0" applyFont="1" applyBorder="1" applyAlignment="1">
      <alignment horizontal="center"/>
    </xf>
    <xf numFmtId="49" fontId="0" fillId="0" borderId="191" xfId="0" applyNumberFormat="1" applyFont="1" applyBorder="1" applyAlignment="1">
      <alignment horizontal="center"/>
    </xf>
    <xf numFmtId="0" fontId="0" fillId="0" borderId="189" xfId="0" applyFont="1" applyBorder="1" applyAlignment="1">
      <alignment horizontal="center"/>
    </xf>
    <xf numFmtId="0" fontId="0" fillId="0" borderId="189" xfId="0" applyNumberFormat="1" applyFont="1" applyBorder="1" applyAlignment="1">
      <alignment horizontal="center"/>
    </xf>
    <xf numFmtId="0" fontId="4" fillId="0" borderId="189" xfId="0" applyNumberFormat="1" applyFont="1" applyBorder="1" applyAlignment="1"/>
    <xf numFmtId="0" fontId="55" fillId="0" borderId="203" xfId="0" applyFont="1" applyBorder="1" applyAlignment="1">
      <alignment horizontal="center"/>
    </xf>
    <xf numFmtId="0" fontId="4" fillId="0" borderId="191" xfId="0" applyNumberFormat="1" applyFont="1" applyBorder="1" applyAlignment="1"/>
    <xf numFmtId="0" fontId="0" fillId="0" borderId="191" xfId="0" applyFont="1" applyBorder="1" applyAlignment="1">
      <alignment horizontal="center"/>
    </xf>
    <xf numFmtId="0" fontId="0" fillId="0" borderId="192" xfId="0" applyNumberFormat="1" applyFont="1" applyBorder="1" applyAlignment="1"/>
    <xf numFmtId="0" fontId="54" fillId="0" borderId="191" xfId="0" applyFont="1" applyBorder="1" applyAlignment="1">
      <alignment horizontal="center"/>
    </xf>
    <xf numFmtId="0" fontId="0" fillId="0" borderId="191" xfId="0" applyNumberFormat="1" applyFont="1" applyBorder="1" applyAlignment="1">
      <alignment horizontal="center"/>
    </xf>
    <xf numFmtId="0" fontId="55" fillId="0" borderId="191" xfId="0" applyFont="1" applyBorder="1" applyAlignment="1">
      <alignment horizontal="center"/>
    </xf>
    <xf numFmtId="0" fontId="55" fillId="0" borderId="191" xfId="0" applyNumberFormat="1" applyFont="1" applyBorder="1" applyAlignment="1">
      <alignment horizontal="center"/>
    </xf>
    <xf numFmtId="0" fontId="0" fillId="0" borderId="0" xfId="0" applyNumberFormat="1" applyFont="1" applyAlignment="1"/>
    <xf numFmtId="3" fontId="0" fillId="0" borderId="191" xfId="0" applyNumberFormat="1" applyFont="1" applyBorder="1" applyAlignment="1">
      <alignment horizontal="center"/>
    </xf>
    <xf numFmtId="3" fontId="0" fillId="0" borderId="191" xfId="0" applyNumberFormat="1" applyFont="1" applyBorder="1" applyAlignment="1"/>
    <xf numFmtId="49" fontId="1" fillId="0" borderId="186" xfId="0" applyNumberFormat="1" applyFont="1" applyBorder="1" applyAlignment="1"/>
    <xf numFmtId="49" fontId="1" fillId="0" borderId="186" xfId="0" applyNumberFormat="1" applyFont="1" applyBorder="1" applyAlignment="1">
      <alignment horizontal="center"/>
    </xf>
    <xf numFmtId="49" fontId="1" fillId="0" borderId="191" xfId="0" applyNumberFormat="1" applyFont="1" applyBorder="1" applyAlignment="1">
      <alignment horizontal="center"/>
    </xf>
    <xf numFmtId="0" fontId="1" fillId="0" borderId="191" xfId="0" applyFont="1" applyBorder="1" applyAlignment="1">
      <alignment horizontal="center"/>
    </xf>
    <xf numFmtId="49" fontId="0" fillId="2" borderId="191" xfId="0" applyNumberFormat="1" applyFont="1" applyFill="1" applyBorder="1" applyAlignment="1"/>
    <xf numFmtId="1" fontId="0" fillId="0" borderId="191" xfId="0" applyNumberFormat="1" applyFont="1" applyBorder="1" applyAlignment="1"/>
    <xf numFmtId="166" fontId="0" fillId="0" borderId="191" xfId="0" applyNumberFormat="1" applyFont="1" applyBorder="1" applyAlignment="1">
      <alignment horizontal="right"/>
    </xf>
    <xf numFmtId="167" fontId="0" fillId="0" borderId="191" xfId="0" applyNumberFormat="1" applyFont="1" applyBorder="1" applyAlignment="1">
      <alignment horizontal="center"/>
    </xf>
    <xf numFmtId="3" fontId="0" fillId="2" borderId="191" xfId="0" applyNumberFormat="1" applyFont="1" applyFill="1" applyBorder="1" applyAlignment="1"/>
    <xf numFmtId="1" fontId="0" fillId="0" borderId="191" xfId="0" applyNumberFormat="1" applyFont="1" applyBorder="1" applyAlignment="1">
      <alignment horizontal="center"/>
    </xf>
    <xf numFmtId="0" fontId="6" fillId="0" borderId="191" xfId="0" applyFont="1" applyBorder="1" applyAlignment="1"/>
    <xf numFmtId="0" fontId="0" fillId="0" borderId="186" xfId="0" applyNumberFormat="1" applyFont="1" applyBorder="1" applyAlignment="1">
      <alignment horizontal="center"/>
    </xf>
    <xf numFmtId="3" fontId="0" fillId="0" borderId="186" xfId="0" applyNumberFormat="1" applyFont="1" applyBorder="1" applyAlignment="1">
      <alignment horizontal="center"/>
    </xf>
    <xf numFmtId="0" fontId="0" fillId="0" borderId="186" xfId="0" applyFont="1" applyBorder="1" applyAlignment="1">
      <alignment horizontal="center"/>
    </xf>
    <xf numFmtId="1" fontId="0" fillId="0" borderId="186" xfId="0" applyNumberFormat="1" applyFont="1" applyBorder="1" applyAlignment="1">
      <alignment horizontal="center"/>
    </xf>
    <xf numFmtId="3" fontId="0" fillId="0" borderId="186" xfId="0" applyNumberFormat="1" applyFont="1" applyBorder="1" applyAlignment="1"/>
    <xf numFmtId="49" fontId="0" fillId="0" borderId="189" xfId="0" applyNumberFormat="1" applyFont="1" applyBorder="1" applyAlignment="1"/>
    <xf numFmtId="0" fontId="6" fillId="0" borderId="189" xfId="0" applyFont="1" applyBorder="1" applyAlignment="1"/>
    <xf numFmtId="3" fontId="0" fillId="0" borderId="189" xfId="0" applyNumberFormat="1" applyFont="1" applyBorder="1" applyAlignment="1"/>
    <xf numFmtId="168" fontId="0" fillId="0" borderId="191" xfId="0" applyNumberFormat="1" applyFont="1" applyBorder="1" applyAlignment="1">
      <alignment horizontal="center"/>
    </xf>
    <xf numFmtId="49" fontId="0" fillId="0" borderId="204" xfId="0" applyNumberFormat="1" applyFont="1" applyBorder="1" applyAlignment="1"/>
    <xf numFmtId="0" fontId="0" fillId="2" borderId="196" xfId="0" applyNumberFormat="1" applyFont="1" applyFill="1" applyBorder="1" applyAlignment="1"/>
    <xf numFmtId="49" fontId="0" fillId="23" borderId="6" xfId="0" applyNumberFormat="1" applyFont="1" applyFill="1" applyBorder="1" applyAlignment="1"/>
    <xf numFmtId="0" fontId="0" fillId="2" borderId="205" xfId="0" applyNumberFormat="1" applyFont="1" applyFill="1" applyBorder="1" applyAlignment="1"/>
    <xf numFmtId="166" fontId="0" fillId="0" borderId="191" xfId="0" applyNumberFormat="1" applyFont="1" applyBorder="1" applyAlignment="1"/>
    <xf numFmtId="49" fontId="0" fillId="0" borderId="203" xfId="0" applyNumberFormat="1" applyFont="1" applyBorder="1" applyAlignment="1"/>
    <xf numFmtId="0" fontId="0" fillId="0" borderId="0" xfId="0" applyNumberFormat="1" applyFont="1" applyAlignment="1"/>
    <xf numFmtId="49" fontId="0" fillId="2" borderId="191" xfId="0" applyNumberFormat="1" applyFont="1" applyFill="1" applyBorder="1" applyAlignment="1">
      <alignment vertical="center"/>
    </xf>
    <xf numFmtId="49" fontId="0" fillId="2" borderId="191" xfId="0" applyNumberFormat="1" applyFont="1" applyFill="1" applyBorder="1" applyAlignment="1">
      <alignment horizontal="left" vertical="center" wrapText="1"/>
    </xf>
    <xf numFmtId="0" fontId="0" fillId="2" borderId="191" xfId="0" applyFont="1" applyFill="1" applyBorder="1" applyAlignment="1">
      <alignment vertical="center"/>
    </xf>
    <xf numFmtId="0" fontId="0" fillId="2" borderId="191" xfId="0" applyFont="1" applyFill="1" applyBorder="1" applyAlignment="1">
      <alignment horizontal="left" vertical="center" wrapText="1"/>
    </xf>
    <xf numFmtId="0" fontId="0" fillId="2" borderId="191" xfId="0" applyFont="1" applyFill="1" applyBorder="1" applyAlignment="1">
      <alignment vertical="center" wrapText="1"/>
    </xf>
    <xf numFmtId="0" fontId="0" fillId="0" borderId="0" xfId="0" applyNumberFormat="1" applyFont="1" applyAlignment="1"/>
    <xf numFmtId="4" fontId="0" fillId="0" borderId="191" xfId="0" applyNumberFormat="1" applyFont="1" applyBorder="1" applyAlignment="1"/>
    <xf numFmtId="49" fontId="1" fillId="2" borderId="8" xfId="0" applyNumberFormat="1" applyFont="1" applyFill="1" applyBorder="1" applyAlignment="1">
      <alignment horizontal="left" vertical="center" wrapText="1"/>
    </xf>
    <xf numFmtId="0" fontId="1" fillId="2" borderId="11" xfId="0" applyFont="1" applyFill="1" applyBorder="1" applyAlignment="1">
      <alignment horizontal="left" vertical="center" wrapText="1"/>
    </xf>
    <xf numFmtId="0" fontId="1" fillId="2" borderId="4" xfId="0" applyFont="1" applyFill="1" applyBorder="1" applyAlignment="1">
      <alignment horizontal="left" vertical="center" wrapText="1"/>
    </xf>
    <xf numFmtId="0" fontId="4" fillId="2" borderId="9" xfId="0" applyNumberFormat="1" applyFont="1" applyFill="1" applyBorder="1" applyAlignment="1">
      <alignment horizontal="right" vertical="center" wrapText="1"/>
    </xf>
    <xf numFmtId="0" fontId="4" fillId="2" borderId="6" xfId="0" applyFont="1" applyFill="1" applyBorder="1" applyAlignment="1">
      <alignment horizontal="right" vertical="center" wrapText="1"/>
    </xf>
    <xf numFmtId="0" fontId="4" fillId="2" borderId="5" xfId="0" applyFont="1" applyFill="1" applyBorder="1" applyAlignment="1">
      <alignment horizontal="right" vertical="center" wrapText="1"/>
    </xf>
    <xf numFmtId="0" fontId="4" fillId="2" borderId="9" xfId="0" applyNumberFormat="1" applyFont="1" applyFill="1" applyBorder="1" applyAlignment="1">
      <alignment horizontal="right" vertical="center"/>
    </xf>
    <xf numFmtId="0" fontId="4" fillId="2" borderId="6" xfId="0" applyFont="1" applyFill="1" applyBorder="1" applyAlignment="1">
      <alignment horizontal="right" vertical="center"/>
    </xf>
    <xf numFmtId="0" fontId="4" fillId="2" borderId="5" xfId="0" applyFont="1" applyFill="1" applyBorder="1" applyAlignment="1">
      <alignment horizontal="right" vertical="center"/>
    </xf>
    <xf numFmtId="49" fontId="13" fillId="23" borderId="26" xfId="0" applyNumberFormat="1" applyFont="1" applyFill="1" applyBorder="1" applyAlignment="1">
      <alignment horizontal="center"/>
    </xf>
    <xf numFmtId="0" fontId="13" fillId="23" borderId="27" xfId="0" applyFont="1" applyFill="1" applyBorder="1" applyAlignment="1">
      <alignment horizontal="center"/>
    </xf>
    <xf numFmtId="49" fontId="13" fillId="12" borderId="26" xfId="0" applyNumberFormat="1" applyFont="1" applyFill="1" applyBorder="1" applyAlignment="1">
      <alignment horizontal="center"/>
    </xf>
    <xf numFmtId="0" fontId="13" fillId="12" borderId="27" xfId="0" applyFont="1" applyFill="1" applyBorder="1" applyAlignment="1">
      <alignment horizontal="center"/>
    </xf>
    <xf numFmtId="49" fontId="13" fillId="24" borderId="26" xfId="0" applyNumberFormat="1" applyFont="1" applyFill="1" applyBorder="1" applyAlignment="1">
      <alignment horizontal="center"/>
    </xf>
    <xf numFmtId="0" fontId="13" fillId="24" borderId="27" xfId="0" applyFont="1" applyFill="1" applyBorder="1" applyAlignment="1">
      <alignment horizontal="center"/>
    </xf>
    <xf numFmtId="49" fontId="13" fillId="19" borderId="26" xfId="0" applyNumberFormat="1" applyFont="1" applyFill="1" applyBorder="1" applyAlignment="1">
      <alignment horizontal="center"/>
    </xf>
    <xf numFmtId="0" fontId="13" fillId="19" borderId="27" xfId="0" applyFont="1" applyFill="1" applyBorder="1" applyAlignment="1">
      <alignment horizontal="center"/>
    </xf>
    <xf numFmtId="49" fontId="13" fillId="20" borderId="26" xfId="0" applyNumberFormat="1" applyFont="1" applyFill="1" applyBorder="1" applyAlignment="1">
      <alignment horizontal="center"/>
    </xf>
    <xf numFmtId="0" fontId="13" fillId="20" borderId="27" xfId="0" applyFont="1" applyFill="1" applyBorder="1" applyAlignment="1">
      <alignment horizontal="center"/>
    </xf>
    <xf numFmtId="49" fontId="13" fillId="22" borderId="26" xfId="0" applyNumberFormat="1" applyFont="1" applyFill="1" applyBorder="1" applyAlignment="1">
      <alignment horizontal="center"/>
    </xf>
    <xf numFmtId="0" fontId="13" fillId="22" borderId="27" xfId="0" applyFont="1" applyFill="1" applyBorder="1" applyAlignment="1">
      <alignment horizontal="center"/>
    </xf>
    <xf numFmtId="49" fontId="13" fillId="13" borderId="26" xfId="0" applyNumberFormat="1" applyFont="1" applyFill="1" applyBorder="1" applyAlignment="1">
      <alignment horizontal="center"/>
    </xf>
    <xf numFmtId="0" fontId="13" fillId="13" borderId="27" xfId="0" applyFont="1" applyFill="1" applyBorder="1" applyAlignment="1">
      <alignment horizontal="center"/>
    </xf>
    <xf numFmtId="49" fontId="13" fillId="15" borderId="26" xfId="0" applyNumberFormat="1" applyFont="1" applyFill="1" applyBorder="1" applyAlignment="1">
      <alignment horizontal="center"/>
    </xf>
    <xf numFmtId="0" fontId="13" fillId="15" borderId="27" xfId="0" applyFont="1" applyFill="1" applyBorder="1" applyAlignment="1">
      <alignment horizontal="center"/>
    </xf>
    <xf numFmtId="49" fontId="13" fillId="17" borderId="26" xfId="0" applyNumberFormat="1" applyFont="1" applyFill="1" applyBorder="1" applyAlignment="1">
      <alignment horizontal="center"/>
    </xf>
    <xf numFmtId="0" fontId="13" fillId="17" borderId="27" xfId="0" applyFont="1" applyFill="1" applyBorder="1" applyAlignment="1">
      <alignment horizontal="center"/>
    </xf>
    <xf numFmtId="49" fontId="13" fillId="4" borderId="26" xfId="0" applyNumberFormat="1" applyFont="1" applyFill="1" applyBorder="1" applyAlignment="1">
      <alignment horizontal="center"/>
    </xf>
    <xf numFmtId="0" fontId="13" fillId="4" borderId="27" xfId="0" applyFont="1" applyFill="1" applyBorder="1" applyAlignment="1">
      <alignment horizontal="center"/>
    </xf>
    <xf numFmtId="49" fontId="13" fillId="9" borderId="26" xfId="0" applyNumberFormat="1" applyFont="1" applyFill="1" applyBorder="1" applyAlignment="1">
      <alignment horizontal="center"/>
    </xf>
    <xf numFmtId="0" fontId="13" fillId="9" borderId="27" xfId="0" applyFont="1" applyFill="1" applyBorder="1" applyAlignment="1">
      <alignment horizontal="center"/>
    </xf>
    <xf numFmtId="49" fontId="13" fillId="11" borderId="26" xfId="0" applyNumberFormat="1" applyFont="1" applyFill="1" applyBorder="1" applyAlignment="1">
      <alignment horizontal="center"/>
    </xf>
    <xf numFmtId="0" fontId="13" fillId="11" borderId="27" xfId="0" applyFont="1" applyFill="1" applyBorder="1" applyAlignment="1">
      <alignment horizontal="center"/>
    </xf>
    <xf numFmtId="0" fontId="30" fillId="2" borderId="132" xfId="0" applyFont="1" applyFill="1" applyBorder="1" applyAlignment="1">
      <alignment horizontal="right" vertical="center"/>
    </xf>
    <xf numFmtId="0" fontId="30" fillId="2" borderId="136" xfId="0" applyFont="1" applyFill="1" applyBorder="1" applyAlignment="1">
      <alignment horizontal="right" vertical="center"/>
    </xf>
    <xf numFmtId="0" fontId="30" fillId="2" borderId="143" xfId="0" applyFont="1" applyFill="1" applyBorder="1" applyAlignment="1">
      <alignment horizontal="right" vertical="center"/>
    </xf>
    <xf numFmtId="0" fontId="30" fillId="2" borderId="135" xfId="0" applyFont="1" applyFill="1" applyBorder="1" applyAlignment="1">
      <alignment horizontal="left" vertical="center"/>
    </xf>
    <xf numFmtId="0" fontId="30" fillId="2" borderId="140" xfId="0" applyFont="1" applyFill="1" applyBorder="1" applyAlignment="1">
      <alignment horizontal="left" vertical="center"/>
    </xf>
    <xf numFmtId="0" fontId="30" fillId="2" borderId="146" xfId="0" applyFont="1" applyFill="1" applyBorder="1" applyAlignment="1">
      <alignment horizontal="left" vertical="center"/>
    </xf>
    <xf numFmtId="0" fontId="31" fillId="6" borderId="133" xfId="0" applyNumberFormat="1" applyFont="1" applyFill="1" applyBorder="1" applyAlignment="1">
      <alignment horizontal="center" vertical="center"/>
    </xf>
    <xf numFmtId="0" fontId="31" fillId="6" borderId="138" xfId="0" applyFont="1" applyFill="1" applyBorder="1" applyAlignment="1">
      <alignment horizontal="center" vertical="center"/>
    </xf>
    <xf numFmtId="0" fontId="31" fillId="6" borderId="144" xfId="0" applyFont="1" applyFill="1" applyBorder="1" applyAlignment="1">
      <alignment horizontal="center" vertical="center"/>
    </xf>
    <xf numFmtId="0" fontId="31" fillId="6" borderId="134" xfId="0" applyNumberFormat="1" applyFont="1" applyFill="1" applyBorder="1" applyAlignment="1">
      <alignment horizontal="center" vertical="center"/>
    </xf>
    <xf numFmtId="0" fontId="31" fillId="6" borderId="139" xfId="0" applyFont="1" applyFill="1" applyBorder="1" applyAlignment="1">
      <alignment horizontal="center" vertical="center"/>
    </xf>
    <xf numFmtId="0" fontId="31" fillId="6" borderId="145" xfId="0" applyFont="1" applyFill="1" applyBorder="1" applyAlignment="1">
      <alignment horizontal="center" vertical="center"/>
    </xf>
    <xf numFmtId="0" fontId="37" fillId="2" borderId="6" xfId="0" applyFont="1" applyFill="1" applyBorder="1" applyAlignment="1">
      <alignment vertical="center" wrapText="1"/>
    </xf>
  </cellXfs>
  <cellStyles count="1">
    <cellStyle name="Normal" xfId="0" builtinId="0"/>
  </cellStyles>
  <dxfs count="5">
    <dxf>
      <font>
        <color rgb="FF006100"/>
      </font>
      <fill>
        <patternFill patternType="solid">
          <fgColor indexed="19"/>
          <bgColor indexed="24"/>
        </patternFill>
      </fill>
    </dxf>
    <dxf>
      <font>
        <color rgb="FF006100"/>
      </font>
      <fill>
        <patternFill patternType="solid">
          <fgColor indexed="19"/>
          <bgColor indexed="24"/>
        </patternFill>
      </fill>
    </dxf>
    <dxf>
      <font>
        <b/>
        <color rgb="FF00B050"/>
      </font>
    </dxf>
    <dxf>
      <font>
        <color rgb="FFFF0000"/>
      </font>
    </dxf>
    <dxf>
      <font>
        <color rgb="FF9C5700"/>
      </font>
      <fill>
        <patternFill patternType="solid">
          <fgColor indexed="19"/>
          <bgColor indexed="20"/>
        </patternFill>
      </fill>
    </dxf>
  </dxfs>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7F7F7F"/>
      <rgbColor rgb="FF00B050"/>
      <rgbColor rgb="FFFF0000"/>
      <rgbColor rgb="FFD8D8D8"/>
      <rgbColor rgb="FFB4E1FF"/>
      <rgbColor rgb="FFBFBFBF"/>
      <rgbColor rgb="FFCBCBCB"/>
      <rgbColor rgb="FF9C0006"/>
      <rgbColor rgb="00000000"/>
      <rgbColor rgb="FFFFEB9C"/>
      <rgbColor rgb="FF9C5700"/>
      <rgbColor rgb="FFFFFF00"/>
      <rgbColor rgb="FF006100"/>
      <rgbColor rgb="FFC6EFCE"/>
      <rgbColor rgb="FFF2F2F2"/>
      <rgbColor rgb="FFFFC7CE"/>
      <rgbColor rgb="FFCDFF19"/>
      <rgbColor rgb="FFF5F5F5"/>
      <rgbColor rgb="FF7D9B9B"/>
      <rgbColor rgb="FFB4B4B4"/>
      <rgbColor rgb="FFD7AAFF"/>
      <rgbColor rgb="FFE6CBFF"/>
      <rgbColor rgb="FFFF4B00"/>
      <rgbColor rgb="FFFF9265"/>
      <rgbColor rgb="FFF0F0F0"/>
      <rgbColor rgb="FF5D7474"/>
      <rgbColor rgb="FF87A8BF"/>
      <rgbColor rgb="FFEAFFA2"/>
      <rgbColor rgb="FFB0C2C2"/>
      <rgbColor rgb="FFA17FBF"/>
      <rgbColor rgb="FFFFB698"/>
      <rgbColor rgb="FF99BF12"/>
      <rgbColor rgb="FFF4FFD0"/>
      <rgbColor rgb="FF6B557F"/>
      <rgbColor rgb="FFD8D8D8"/>
      <rgbColor rgb="FF00B0F0"/>
      <rgbColor rgb="FFFFC000"/>
      <rgbColor rgb="FF0070C0"/>
      <rgbColor rgb="FFA2CAE5"/>
      <rgbColor rgb="FFE4EAEA"/>
      <rgbColor rgb="FFFFDACB"/>
      <rgbColor rgb="FF787878"/>
      <rgbColor rgb="FFE0FF74"/>
      <rgbColor rgb="FFA5A5A5"/>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98</xdr:col>
      <xdr:colOff>276226</xdr:colOff>
      <xdr:row>15</xdr:row>
      <xdr:rowOff>9525</xdr:rowOff>
    </xdr:from>
    <xdr:to>
      <xdr:col>99</xdr:col>
      <xdr:colOff>876301</xdr:colOff>
      <xdr:row>17</xdr:row>
      <xdr:rowOff>85725</xdr:rowOff>
    </xdr:to>
    <xdr:sp macro="" textlink="">
      <xdr:nvSpPr>
        <xdr:cNvPr id="3" name="TextBox 1">
          <a:extLst>
            <a:ext uri="{FF2B5EF4-FFF2-40B4-BE49-F238E27FC236}">
              <a16:creationId xmlns:a16="http://schemas.microsoft.com/office/drawing/2014/main" id="{00000000-0008-0000-0100-000003000000}"/>
            </a:ext>
          </a:extLst>
        </xdr:cNvPr>
        <xdr:cNvSpPr txBox="1"/>
      </xdr:nvSpPr>
      <xdr:spPr>
        <a:xfrm>
          <a:off x="13789026" y="2733675"/>
          <a:ext cx="917576" cy="438150"/>
        </a:xfrm>
        <a:prstGeom prst="rect">
          <a:avLst/>
        </a:prstGeom>
        <a:solidFill>
          <a:schemeClr val="accent6">
            <a:lumOff val="5882"/>
          </a:schemeClr>
        </a:solidFill>
        <a:ln w="9525" cap="flat">
          <a:solidFill>
            <a:srgbClr val="BABABA"/>
          </a:solidFill>
          <a:prstDash val="solid"/>
          <a:round/>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sz="1100" b="1" i="0" u="none" strike="noStrike" cap="none" spc="0" baseline="0">
              <a:solidFill>
                <a:srgbClr val="000000"/>
              </a:solidFill>
              <a:uFillTx/>
              <a:latin typeface="Arial"/>
              <a:ea typeface="Arial"/>
              <a:cs typeface="Arial"/>
              <a:sym typeface="Arial"/>
            </a:defRPr>
          </a:pPr>
          <a:r>
            <a:rPr sz="1100" b="1" i="0" u="none" strike="noStrike" cap="none" spc="0" baseline="0">
              <a:solidFill>
                <a:srgbClr val="000000"/>
              </a:solidFill>
              <a:uFillTx/>
              <a:latin typeface="Arial"/>
              <a:ea typeface="Arial"/>
              <a:cs typeface="Arial"/>
              <a:sym typeface="Arial"/>
            </a:rPr>
            <a:t>CLEAR</a:t>
          </a:r>
        </a:p>
      </xdr:txBody>
    </xdr:sp>
    <xdr:clientData/>
  </xdr:twoCellAnchor>
  <xdr:twoCellAnchor>
    <xdr:from>
      <xdr:col>99</xdr:col>
      <xdr:colOff>933609</xdr:colOff>
      <xdr:row>15</xdr:row>
      <xdr:rowOff>904</xdr:rowOff>
    </xdr:from>
    <xdr:to>
      <xdr:col>100</xdr:col>
      <xdr:colOff>885348</xdr:colOff>
      <xdr:row>17</xdr:row>
      <xdr:rowOff>92440</xdr:rowOff>
    </xdr:to>
    <xdr:sp macro="" textlink="">
      <xdr:nvSpPr>
        <xdr:cNvPr id="4" name="TextBox 2">
          <a:extLst>
            <a:ext uri="{FF2B5EF4-FFF2-40B4-BE49-F238E27FC236}">
              <a16:creationId xmlns:a16="http://schemas.microsoft.com/office/drawing/2014/main" id="{00000000-0008-0000-0100-000004000000}"/>
            </a:ext>
          </a:extLst>
        </xdr:cNvPr>
        <xdr:cNvSpPr txBox="1"/>
      </xdr:nvSpPr>
      <xdr:spPr>
        <a:xfrm>
          <a:off x="14763909" y="2725054"/>
          <a:ext cx="891540" cy="453487"/>
        </a:xfrm>
        <a:prstGeom prst="rect">
          <a:avLst/>
        </a:prstGeom>
        <a:solidFill>
          <a:schemeClr val="accent6">
            <a:lumOff val="5882"/>
          </a:schemeClr>
        </a:solidFill>
        <a:ln w="9525" cap="flat">
          <a:solidFill>
            <a:srgbClr val="BABABA"/>
          </a:solidFill>
          <a:prstDash val="solid"/>
          <a:round/>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sz="1100" b="1" i="0" u="none" strike="noStrike" cap="none" spc="0" baseline="0">
              <a:solidFill>
                <a:srgbClr val="000000"/>
              </a:solidFill>
              <a:uFillTx/>
              <a:latin typeface="Arial"/>
              <a:ea typeface="Arial"/>
              <a:cs typeface="Arial"/>
              <a:sym typeface="Arial"/>
            </a:defRPr>
          </a:pPr>
          <a:r>
            <a:rPr sz="1100" b="1" i="0" u="none" strike="noStrike" cap="none" spc="0" baseline="0">
              <a:solidFill>
                <a:srgbClr val="000000"/>
              </a:solidFill>
              <a:uFillTx/>
              <a:latin typeface="Arial"/>
              <a:ea typeface="Arial"/>
              <a:cs typeface="Arial"/>
              <a:sym typeface="Arial"/>
            </a:rPr>
            <a:t>RAND</a:t>
          </a:r>
        </a:p>
      </xdr:txBody>
    </xdr:sp>
    <xdr:clientData/>
  </xdr:twoCellAnchor>
  <xdr:twoCellAnchor>
    <xdr:from>
      <xdr:col>100</xdr:col>
      <xdr:colOff>923925</xdr:colOff>
      <xdr:row>15</xdr:row>
      <xdr:rowOff>19050</xdr:rowOff>
    </xdr:from>
    <xdr:to>
      <xdr:col>101</xdr:col>
      <xdr:colOff>600075</xdr:colOff>
      <xdr:row>17</xdr:row>
      <xdr:rowOff>95250</xdr:rowOff>
    </xdr:to>
    <xdr:sp macro="" textlink="">
      <xdr:nvSpPr>
        <xdr:cNvPr id="5" name="TextBox 3">
          <a:extLst>
            <a:ext uri="{FF2B5EF4-FFF2-40B4-BE49-F238E27FC236}">
              <a16:creationId xmlns:a16="http://schemas.microsoft.com/office/drawing/2014/main" id="{00000000-0008-0000-0100-000005000000}"/>
            </a:ext>
          </a:extLst>
        </xdr:cNvPr>
        <xdr:cNvSpPr txBox="1"/>
      </xdr:nvSpPr>
      <xdr:spPr>
        <a:xfrm>
          <a:off x="15694025" y="2743200"/>
          <a:ext cx="920750" cy="438150"/>
        </a:xfrm>
        <a:prstGeom prst="rect">
          <a:avLst/>
        </a:prstGeom>
        <a:solidFill>
          <a:schemeClr val="accent6">
            <a:lumOff val="5882"/>
          </a:schemeClr>
        </a:solidFill>
        <a:ln w="9525" cap="flat">
          <a:solidFill>
            <a:srgbClr val="BABABA"/>
          </a:solidFill>
          <a:prstDash val="solid"/>
          <a:round/>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sz="1100" b="1" i="0" u="none" strike="noStrike" cap="none" spc="0" baseline="0">
              <a:solidFill>
                <a:srgbClr val="000000"/>
              </a:solidFill>
              <a:uFillTx/>
              <a:latin typeface="Arial"/>
              <a:ea typeface="Arial"/>
              <a:cs typeface="Arial"/>
              <a:sym typeface="Arial"/>
            </a:defRPr>
          </a:pPr>
          <a:r>
            <a:rPr sz="1100" b="1" i="0" u="none" strike="noStrike" cap="none" spc="0" baseline="0">
              <a:solidFill>
                <a:srgbClr val="000000"/>
              </a:solidFill>
              <a:uFillTx/>
              <a:latin typeface="Arial"/>
              <a:ea typeface="Arial"/>
              <a:cs typeface="Arial"/>
              <a:sym typeface="Arial"/>
            </a:rPr>
            <a:t>Values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202143</xdr:colOff>
      <xdr:row>0</xdr:row>
      <xdr:rowOff>0</xdr:rowOff>
    </xdr:from>
    <xdr:to>
      <xdr:col>8</xdr:col>
      <xdr:colOff>156633</xdr:colOff>
      <xdr:row>2</xdr:row>
      <xdr:rowOff>76200</xdr:rowOff>
    </xdr:to>
    <xdr:sp macro="" textlink="">
      <xdr:nvSpPr>
        <xdr:cNvPr id="7" name="TextBox 1">
          <a:extLst>
            <a:ext uri="{FF2B5EF4-FFF2-40B4-BE49-F238E27FC236}">
              <a16:creationId xmlns:a16="http://schemas.microsoft.com/office/drawing/2014/main" id="{00000000-0008-0000-0200-000007000000}"/>
            </a:ext>
          </a:extLst>
        </xdr:cNvPr>
        <xdr:cNvSpPr txBox="1"/>
      </xdr:nvSpPr>
      <xdr:spPr>
        <a:xfrm>
          <a:off x="2056343" y="-6350"/>
          <a:ext cx="3345391" cy="438150"/>
        </a:xfrm>
        <a:prstGeom prst="rect">
          <a:avLst/>
        </a:prstGeom>
        <a:solidFill>
          <a:srgbClr val="E1FF75"/>
        </a:solid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sz="1400" b="1" i="0" u="none" strike="noStrike" cap="none" spc="0" baseline="0">
              <a:solidFill>
                <a:srgbClr val="000000"/>
              </a:solidFill>
              <a:uFillTx/>
              <a:latin typeface="Arial"/>
              <a:ea typeface="Arial"/>
              <a:cs typeface="Arial"/>
              <a:sym typeface="Arial"/>
            </a:defRPr>
          </a:pPr>
          <a:r>
            <a:rPr sz="1400" b="1" i="0" u="none" strike="noStrike" cap="none" spc="0" baseline="0">
              <a:solidFill>
                <a:srgbClr val="000000"/>
              </a:solidFill>
              <a:uFillTx/>
              <a:latin typeface="Arial"/>
              <a:ea typeface="Arial"/>
              <a:cs typeface="Arial"/>
              <a:sym typeface="Arial"/>
            </a:rPr>
            <a:t>ROUND OF 32 (16vos de Final)</a:t>
          </a:r>
        </a:p>
      </xdr:txBody>
    </xdr:sp>
    <xdr:clientData/>
  </xdr:twoCellAnchor>
  <xdr:twoCellAnchor>
    <xdr:from>
      <xdr:col>17</xdr:col>
      <xdr:colOff>341841</xdr:colOff>
      <xdr:row>0</xdr:row>
      <xdr:rowOff>2117</xdr:rowOff>
    </xdr:from>
    <xdr:to>
      <xdr:col>22</xdr:col>
      <xdr:colOff>198966</xdr:colOff>
      <xdr:row>2</xdr:row>
      <xdr:rowOff>78317</xdr:rowOff>
    </xdr:to>
    <xdr:sp macro="" textlink="">
      <xdr:nvSpPr>
        <xdr:cNvPr id="8" name="TextBox 2">
          <a:extLst>
            <a:ext uri="{FF2B5EF4-FFF2-40B4-BE49-F238E27FC236}">
              <a16:creationId xmlns:a16="http://schemas.microsoft.com/office/drawing/2014/main" id="{00000000-0008-0000-0200-000008000000}"/>
            </a:ext>
          </a:extLst>
        </xdr:cNvPr>
        <xdr:cNvSpPr txBox="1"/>
      </xdr:nvSpPr>
      <xdr:spPr>
        <a:xfrm>
          <a:off x="10298641" y="2117"/>
          <a:ext cx="3336926" cy="438151"/>
        </a:xfrm>
        <a:prstGeom prst="rect">
          <a:avLst/>
        </a:prstGeom>
        <a:solidFill>
          <a:srgbClr val="D9D9D9"/>
        </a:solid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sz="1400" b="1" i="0" u="none" strike="noStrike" cap="none" spc="0" baseline="0">
              <a:solidFill>
                <a:srgbClr val="000000"/>
              </a:solidFill>
              <a:uFillTx/>
              <a:latin typeface="Arial"/>
              <a:ea typeface="Arial"/>
              <a:cs typeface="Arial"/>
              <a:sym typeface="Arial"/>
            </a:defRPr>
          </a:pPr>
          <a:r>
            <a:rPr sz="1400" b="1" i="0" u="none" strike="noStrike" cap="none" spc="0" baseline="0">
              <a:solidFill>
                <a:srgbClr val="000000"/>
              </a:solidFill>
              <a:uFillTx/>
              <a:latin typeface="Arial"/>
              <a:ea typeface="Arial"/>
              <a:cs typeface="Arial"/>
              <a:sym typeface="Arial"/>
            </a:rPr>
            <a:t>ROUND OF 16 (8vos de Final)</a:t>
          </a:r>
        </a:p>
      </xdr:txBody>
    </xdr:sp>
    <xdr:clientData/>
  </xdr:twoCellAnchor>
  <xdr:twoCellAnchor>
    <xdr:from>
      <xdr:col>15</xdr:col>
      <xdr:colOff>285750</xdr:colOff>
      <xdr:row>31</xdr:row>
      <xdr:rowOff>22939</xdr:rowOff>
    </xdr:from>
    <xdr:to>
      <xdr:col>15</xdr:col>
      <xdr:colOff>1085850</xdr:colOff>
      <xdr:row>33</xdr:row>
      <xdr:rowOff>78660</xdr:rowOff>
    </xdr:to>
    <xdr:sp macro="" textlink="">
      <xdr:nvSpPr>
        <xdr:cNvPr id="9" name="TextBox 3">
          <a:extLst>
            <a:ext uri="{FF2B5EF4-FFF2-40B4-BE49-F238E27FC236}">
              <a16:creationId xmlns:a16="http://schemas.microsoft.com/office/drawing/2014/main" id="{00000000-0008-0000-0200-000009000000}"/>
            </a:ext>
          </a:extLst>
        </xdr:cNvPr>
        <xdr:cNvSpPr txBox="1"/>
      </xdr:nvSpPr>
      <xdr:spPr>
        <a:xfrm>
          <a:off x="8667750" y="5909389"/>
          <a:ext cx="800100" cy="427197"/>
        </a:xfrm>
        <a:prstGeom prst="rect">
          <a:avLst/>
        </a:prstGeom>
        <a:solidFill>
          <a:srgbClr val="D8D8D8"/>
        </a:solidFill>
        <a:ln w="9525" cap="flat">
          <a:solidFill>
            <a:srgbClr val="BABABA"/>
          </a:solidFill>
          <a:prstDash val="solid"/>
          <a:round/>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sz="1100" b="1" i="0" u="none" strike="noStrike" cap="none" spc="0" baseline="0">
              <a:solidFill>
                <a:srgbClr val="000000"/>
              </a:solidFill>
              <a:uFillTx/>
              <a:latin typeface="Arial"/>
              <a:ea typeface="Arial"/>
              <a:cs typeface="Arial"/>
              <a:sym typeface="Arial"/>
            </a:defRPr>
          </a:pPr>
          <a:r>
            <a:rPr sz="1100" b="1" i="0" u="none" strike="noStrike" cap="none" spc="0" baseline="0">
              <a:solidFill>
                <a:srgbClr val="000000"/>
              </a:solidFill>
              <a:uFillTx/>
              <a:latin typeface="Arial"/>
              <a:ea typeface="Arial"/>
              <a:cs typeface="Arial"/>
              <a:sym typeface="Arial"/>
            </a:rPr>
            <a:t>CLEAR</a:t>
          </a:r>
        </a:p>
      </xdr:txBody>
    </xdr:sp>
    <xdr:clientData/>
  </xdr:twoCellAnchor>
  <xdr:twoCellAnchor>
    <xdr:from>
      <xdr:col>14</xdr:col>
      <xdr:colOff>19512</xdr:colOff>
      <xdr:row>16</xdr:row>
      <xdr:rowOff>59053</xdr:rowOff>
    </xdr:from>
    <xdr:to>
      <xdr:col>25</xdr:col>
      <xdr:colOff>64138</xdr:colOff>
      <xdr:row>16</xdr:row>
      <xdr:rowOff>59053</xdr:rowOff>
    </xdr:to>
    <xdr:sp macro="" textlink="">
      <xdr:nvSpPr>
        <xdr:cNvPr id="10" name="Straight Connector 5">
          <a:extLst>
            <a:ext uri="{FF2B5EF4-FFF2-40B4-BE49-F238E27FC236}">
              <a16:creationId xmlns:a16="http://schemas.microsoft.com/office/drawing/2014/main" id="{00000000-0008-0000-0200-00000A000000}"/>
            </a:ext>
          </a:extLst>
        </xdr:cNvPr>
        <xdr:cNvSpPr/>
      </xdr:nvSpPr>
      <xdr:spPr>
        <a:xfrm>
          <a:off x="8033212" y="3088003"/>
          <a:ext cx="7283627" cy="1"/>
        </a:xfrm>
        <a:prstGeom prst="line">
          <a:avLst/>
        </a:prstGeom>
        <a:noFill/>
        <a:ln w="9525" cap="flat">
          <a:solidFill>
            <a:srgbClr val="808080"/>
          </a:solidFill>
          <a:prstDash val="lgDash"/>
          <a:miter lim="800000"/>
        </a:ln>
        <a:effectLst/>
      </xdr:spPr>
      <xdr:txBody>
        <a:bodyPr/>
        <a:lstStyle/>
        <a:p>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202143</xdr:colOff>
      <xdr:row>0</xdr:row>
      <xdr:rowOff>0</xdr:rowOff>
    </xdr:from>
    <xdr:to>
      <xdr:col>8</xdr:col>
      <xdr:colOff>156633</xdr:colOff>
      <xdr:row>2</xdr:row>
      <xdr:rowOff>76200</xdr:rowOff>
    </xdr:to>
    <xdr:sp macro="" textlink="">
      <xdr:nvSpPr>
        <xdr:cNvPr id="12" name="TextBox 1">
          <a:extLst>
            <a:ext uri="{FF2B5EF4-FFF2-40B4-BE49-F238E27FC236}">
              <a16:creationId xmlns:a16="http://schemas.microsoft.com/office/drawing/2014/main" id="{00000000-0008-0000-0300-00000C000000}"/>
            </a:ext>
          </a:extLst>
        </xdr:cNvPr>
        <xdr:cNvSpPr txBox="1"/>
      </xdr:nvSpPr>
      <xdr:spPr>
        <a:xfrm>
          <a:off x="2132543" y="-6350"/>
          <a:ext cx="3256491" cy="438150"/>
        </a:xfrm>
        <a:prstGeom prst="rect">
          <a:avLst/>
        </a:prstGeom>
        <a:solidFill>
          <a:srgbClr val="E1FF75"/>
        </a:solid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sz="1400" b="1" i="0" u="none" strike="noStrike" cap="none" spc="0" baseline="0">
              <a:solidFill>
                <a:srgbClr val="000000"/>
              </a:solidFill>
              <a:uFillTx/>
              <a:latin typeface="Arial"/>
              <a:ea typeface="Arial"/>
              <a:cs typeface="Arial"/>
              <a:sym typeface="Arial"/>
            </a:defRPr>
          </a:pPr>
          <a:r>
            <a:rPr sz="1400" b="1" i="0" u="none" strike="noStrike" cap="none" spc="0" baseline="0">
              <a:solidFill>
                <a:srgbClr val="000000"/>
              </a:solidFill>
              <a:uFillTx/>
              <a:latin typeface="Arial"/>
              <a:ea typeface="Arial"/>
              <a:cs typeface="Arial"/>
              <a:sym typeface="Arial"/>
            </a:rPr>
            <a:t>Quater finals</a:t>
          </a:r>
        </a:p>
      </xdr:txBody>
    </xdr:sp>
    <xdr:clientData/>
  </xdr:twoCellAnchor>
  <xdr:twoCellAnchor>
    <xdr:from>
      <xdr:col>15</xdr:col>
      <xdr:colOff>345651</xdr:colOff>
      <xdr:row>0</xdr:row>
      <xdr:rowOff>126513</xdr:rowOff>
    </xdr:from>
    <xdr:to>
      <xdr:col>18</xdr:col>
      <xdr:colOff>1370541</xdr:colOff>
      <xdr:row>2</xdr:row>
      <xdr:rowOff>161487</xdr:rowOff>
    </xdr:to>
    <xdr:sp macro="" textlink="">
      <xdr:nvSpPr>
        <xdr:cNvPr id="13" name="TextBox 2">
          <a:extLst>
            <a:ext uri="{FF2B5EF4-FFF2-40B4-BE49-F238E27FC236}">
              <a16:creationId xmlns:a16="http://schemas.microsoft.com/office/drawing/2014/main" id="{00000000-0008-0000-0300-00000D000000}"/>
            </a:ext>
          </a:extLst>
        </xdr:cNvPr>
        <xdr:cNvSpPr txBox="1"/>
      </xdr:nvSpPr>
      <xdr:spPr>
        <a:xfrm>
          <a:off x="8524451" y="126513"/>
          <a:ext cx="3552191" cy="396925"/>
        </a:xfrm>
        <a:prstGeom prst="rect">
          <a:avLst/>
        </a:prstGeom>
        <a:solidFill>
          <a:schemeClr val="accent2"/>
        </a:solid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sz="2800" b="1" i="0" u="none" strike="noStrike" cap="none" spc="0" baseline="0">
              <a:solidFill>
                <a:srgbClr val="000000"/>
              </a:solidFill>
              <a:uFillTx/>
              <a:latin typeface="Arial"/>
              <a:ea typeface="Arial"/>
              <a:cs typeface="Arial"/>
              <a:sym typeface="Arial"/>
            </a:defRPr>
          </a:pPr>
          <a:r>
            <a:rPr sz="2800" b="1" i="0" u="none" strike="noStrike" cap="none" spc="0" baseline="0">
              <a:solidFill>
                <a:srgbClr val="000000"/>
              </a:solidFill>
              <a:uFillTx/>
              <a:latin typeface="Arial"/>
              <a:ea typeface="Arial"/>
              <a:cs typeface="Arial"/>
              <a:sym typeface="Arial"/>
            </a:rPr>
            <a:t>FINAL!!</a:t>
          </a:r>
        </a:p>
      </xdr:txBody>
    </xdr:sp>
    <xdr:clientData/>
  </xdr:twoCellAnchor>
  <xdr:twoCellAnchor>
    <xdr:from>
      <xdr:col>3</xdr:col>
      <xdr:colOff>160868</xdr:colOff>
      <xdr:row>13</xdr:row>
      <xdr:rowOff>182090</xdr:rowOff>
    </xdr:from>
    <xdr:to>
      <xdr:col>8</xdr:col>
      <xdr:colOff>115570</xdr:colOff>
      <xdr:row>16</xdr:row>
      <xdr:rowOff>83127</xdr:rowOff>
    </xdr:to>
    <xdr:sp macro="" textlink="">
      <xdr:nvSpPr>
        <xdr:cNvPr id="14" name="TextBox 4">
          <a:extLst>
            <a:ext uri="{FF2B5EF4-FFF2-40B4-BE49-F238E27FC236}">
              <a16:creationId xmlns:a16="http://schemas.microsoft.com/office/drawing/2014/main" id="{00000000-0008-0000-0300-00000E000000}"/>
            </a:ext>
          </a:extLst>
        </xdr:cNvPr>
        <xdr:cNvSpPr txBox="1"/>
      </xdr:nvSpPr>
      <xdr:spPr>
        <a:xfrm>
          <a:off x="2091268" y="2550005"/>
          <a:ext cx="3256703" cy="453488"/>
        </a:xfrm>
        <a:prstGeom prst="rect">
          <a:avLst/>
        </a:prstGeom>
        <a:solidFill>
          <a:srgbClr val="D9D9D9"/>
        </a:solid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sz="1400" b="1" i="0" u="none" strike="noStrike" cap="none" spc="0" baseline="0">
              <a:solidFill>
                <a:srgbClr val="000000"/>
              </a:solidFill>
              <a:uFillTx/>
              <a:latin typeface="Arial"/>
              <a:ea typeface="Arial"/>
              <a:cs typeface="Arial"/>
              <a:sym typeface="Arial"/>
            </a:defRPr>
          </a:pPr>
          <a:r>
            <a:rPr sz="1400" b="1" i="0" u="none" strike="noStrike" cap="none" spc="0" baseline="0">
              <a:solidFill>
                <a:srgbClr val="000000"/>
              </a:solidFill>
              <a:uFillTx/>
              <a:latin typeface="Arial"/>
              <a:ea typeface="Arial"/>
              <a:cs typeface="Arial"/>
              <a:sym typeface="Arial"/>
            </a:rPr>
            <a:t>Semifinals</a:t>
          </a:r>
        </a:p>
      </xdr:txBody>
    </xdr:sp>
    <xdr:clientData/>
  </xdr:twoCellAnchor>
  <xdr:twoCellAnchor>
    <xdr:from>
      <xdr:col>15</xdr:col>
      <xdr:colOff>369203</xdr:colOff>
      <xdr:row>9</xdr:row>
      <xdr:rowOff>101121</xdr:rowOff>
    </xdr:from>
    <xdr:to>
      <xdr:col>18</xdr:col>
      <xdr:colOff>1394094</xdr:colOff>
      <xdr:row>10</xdr:row>
      <xdr:rowOff>156746</xdr:rowOff>
    </xdr:to>
    <xdr:sp macro="" textlink="">
      <xdr:nvSpPr>
        <xdr:cNvPr id="15" name="TextBox 5">
          <a:extLst>
            <a:ext uri="{FF2B5EF4-FFF2-40B4-BE49-F238E27FC236}">
              <a16:creationId xmlns:a16="http://schemas.microsoft.com/office/drawing/2014/main" id="{00000000-0008-0000-0300-00000F000000}"/>
            </a:ext>
          </a:extLst>
        </xdr:cNvPr>
        <xdr:cNvSpPr txBox="1"/>
      </xdr:nvSpPr>
      <xdr:spPr>
        <a:xfrm>
          <a:off x="8548003" y="1735611"/>
          <a:ext cx="3552191" cy="236601"/>
        </a:xfrm>
        <a:prstGeom prst="rect">
          <a:avLst/>
        </a:prstGeom>
        <a:solidFill>
          <a:srgbClr val="F5FFD1"/>
        </a:solid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defRPr sz="1400" b="1" i="0" u="none" strike="noStrike" cap="none" spc="0" baseline="0">
              <a:solidFill>
                <a:srgbClr val="000000"/>
              </a:solidFill>
              <a:uFillTx/>
              <a:latin typeface="Arial"/>
              <a:ea typeface="Arial"/>
              <a:cs typeface="Arial"/>
              <a:sym typeface="Arial"/>
            </a:defRPr>
          </a:pPr>
          <a:r>
            <a:rPr sz="1400" b="1" i="0" u="none" strike="noStrike" cap="none" spc="0" baseline="0">
              <a:solidFill>
                <a:srgbClr val="000000"/>
              </a:solidFill>
              <a:uFillTx/>
              <a:latin typeface="Arial"/>
              <a:ea typeface="Arial"/>
              <a:cs typeface="Arial"/>
              <a:sym typeface="Arial"/>
            </a:rPr>
            <a:t>3rd place</a:t>
          </a:r>
        </a:p>
      </xdr:txBody>
    </xdr:sp>
    <xdr:clientData/>
  </xdr:twoCellAnchor>
  <xdr:twoCellAnchor>
    <xdr:from>
      <xdr:col>5</xdr:col>
      <xdr:colOff>56803</xdr:colOff>
      <xdr:row>2</xdr:row>
      <xdr:rowOff>77931</xdr:rowOff>
    </xdr:from>
    <xdr:to>
      <xdr:col>5</xdr:col>
      <xdr:colOff>56803</xdr:colOff>
      <xdr:row>11</xdr:row>
      <xdr:rowOff>20089</xdr:rowOff>
    </xdr:to>
    <xdr:sp macro="" textlink="">
      <xdr:nvSpPr>
        <xdr:cNvPr id="16" name="Straight Connector 3">
          <a:extLst>
            <a:ext uri="{FF2B5EF4-FFF2-40B4-BE49-F238E27FC236}">
              <a16:creationId xmlns:a16="http://schemas.microsoft.com/office/drawing/2014/main" id="{00000000-0008-0000-0300-000010000000}"/>
            </a:ext>
          </a:extLst>
        </xdr:cNvPr>
        <xdr:cNvSpPr/>
      </xdr:nvSpPr>
      <xdr:spPr>
        <a:xfrm flipV="1">
          <a:off x="3473103" y="439881"/>
          <a:ext cx="1" cy="1586174"/>
        </a:xfrm>
        <a:prstGeom prst="line">
          <a:avLst/>
        </a:prstGeom>
        <a:noFill/>
        <a:ln w="9525" cap="flat">
          <a:solidFill>
            <a:srgbClr val="808080"/>
          </a:solidFill>
          <a:prstDash val="lgDash"/>
          <a:miter lim="800000"/>
        </a:ln>
        <a:effectLst/>
      </xdr:spPr>
      <xdr:txBody>
        <a:bodyPr/>
        <a:lstStyle/>
        <a:p>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51436</xdr:colOff>
      <xdr:row>16</xdr:row>
      <xdr:rowOff>127634</xdr:rowOff>
    </xdr:from>
    <xdr:to>
      <xdr:col>20</xdr:col>
      <xdr:colOff>646488</xdr:colOff>
      <xdr:row>38</xdr:row>
      <xdr:rowOff>203834</xdr:rowOff>
    </xdr:to>
    <xdr:pic>
      <xdr:nvPicPr>
        <xdr:cNvPr id="18" name="Picture 1" descr="Picture 1">
          <a:extLst>
            <a:ext uri="{FF2B5EF4-FFF2-40B4-BE49-F238E27FC236}">
              <a16:creationId xmlns:a16="http://schemas.microsoft.com/office/drawing/2014/main" id="{00000000-0008-0000-0600-000012000000}"/>
            </a:ext>
          </a:extLst>
        </xdr:cNvPr>
        <xdr:cNvPicPr>
          <a:picLocks noChangeAspect="1"/>
        </xdr:cNvPicPr>
      </xdr:nvPicPr>
      <xdr:blipFill>
        <a:blip xmlns:r="http://schemas.openxmlformats.org/officeDocument/2006/relationships" r:embed="rId1"/>
        <a:stretch>
          <a:fillRect/>
        </a:stretch>
      </xdr:blipFill>
      <xdr:spPr>
        <a:xfrm>
          <a:off x="5055236" y="3480434"/>
          <a:ext cx="8710353" cy="4686301"/>
        </a:xfrm>
        <a:prstGeom prst="rect">
          <a:avLst/>
        </a:prstGeom>
        <a:ln w="12700" cap="flat">
          <a:noFill/>
          <a:miter lim="400000"/>
        </a:ln>
        <a:effectLst/>
      </xdr:spPr>
    </xdr:pic>
    <xdr:clientData/>
  </xdr:twoCellAnchor>
</xdr:wsDr>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B4E1FF"/>
      </a:accent1>
      <a:accent2>
        <a:srgbClr val="CDFF19"/>
      </a:accent2>
      <a:accent3>
        <a:srgbClr val="7D9B9B"/>
      </a:accent3>
      <a:accent4>
        <a:srgbClr val="D7AAFF"/>
      </a:accent4>
      <a:accent5>
        <a:srgbClr val="FF4B00"/>
      </a:accent5>
      <a:accent6>
        <a:srgbClr val="F0F0F0"/>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6">
            <a:lumOff val="5882"/>
          </a:schemeClr>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3"/>
  <sheetViews>
    <sheetView showGridLines="0" workbookViewId="0"/>
  </sheetViews>
  <sheetFormatPr defaultColWidth="9" defaultRowHeight="14.25" customHeight="1"/>
  <cols>
    <col min="1" max="1" width="12" style="1" customWidth="1"/>
    <col min="2" max="2" width="16.375" style="1" customWidth="1"/>
    <col min="3" max="7" width="9" style="1" customWidth="1"/>
    <col min="8" max="8" width="27" style="1" customWidth="1"/>
    <col min="9" max="10" width="9" style="1" customWidth="1"/>
    <col min="11" max="16384" width="9" style="1"/>
  </cols>
  <sheetData>
    <row r="1" spans="1:9" ht="14.25" customHeight="1">
      <c r="A1" s="2"/>
      <c r="B1" s="3"/>
      <c r="C1" s="3"/>
      <c r="D1" s="3"/>
      <c r="E1" s="3"/>
      <c r="F1" s="3"/>
      <c r="G1" s="3"/>
      <c r="H1" s="3"/>
      <c r="I1" s="4"/>
    </row>
    <row r="2" spans="1:9" ht="15" customHeight="1">
      <c r="A2" s="5"/>
      <c r="B2" s="6"/>
      <c r="C2" s="7" t="s">
        <v>0</v>
      </c>
      <c r="D2" s="7" t="s">
        <v>1</v>
      </c>
      <c r="E2" s="8" t="s">
        <v>2</v>
      </c>
      <c r="F2" s="8" t="s">
        <v>2</v>
      </c>
      <c r="G2" s="9"/>
      <c r="H2" s="10" t="s">
        <v>3</v>
      </c>
      <c r="I2" s="11"/>
    </row>
    <row r="3" spans="1:9" ht="15" customHeight="1">
      <c r="A3" s="759" t="s">
        <v>4</v>
      </c>
      <c r="B3" s="12" t="s">
        <v>5</v>
      </c>
      <c r="C3" s="13">
        <v>1</v>
      </c>
      <c r="D3" s="14">
        <v>72</v>
      </c>
      <c r="E3" s="14" cm="1">
        <f t="array" ref="E3">D3*C3</f>
        <v>72</v>
      </c>
      <c r="F3" s="762" cm="1">
        <f t="array" ref="F3">SUM(E3:E5)</f>
        <v>176</v>
      </c>
      <c r="G3" s="9"/>
      <c r="H3" s="12" t="s">
        <v>6</v>
      </c>
      <c r="I3" s="15">
        <v>-20</v>
      </c>
    </row>
    <row r="4" spans="1:9" ht="15" customHeight="1">
      <c r="A4" s="760"/>
      <c r="B4" s="16" t="s">
        <v>7</v>
      </c>
      <c r="C4" s="17">
        <v>1</v>
      </c>
      <c r="D4" s="18">
        <v>72</v>
      </c>
      <c r="E4" s="18" cm="1">
        <f t="array" ref="E4">D4*C4</f>
        <v>72</v>
      </c>
      <c r="F4" s="763"/>
      <c r="G4" s="9"/>
      <c r="H4" s="16" t="s">
        <v>8</v>
      </c>
      <c r="I4" s="19">
        <v>-20</v>
      </c>
    </row>
    <row r="5" spans="1:9" ht="15" customHeight="1">
      <c r="A5" s="761"/>
      <c r="B5" s="20" t="s">
        <v>9</v>
      </c>
      <c r="C5" s="21">
        <v>1</v>
      </c>
      <c r="D5" s="22">
        <v>32</v>
      </c>
      <c r="E5" s="22" cm="1">
        <f t="array" ref="E5">D5*C5</f>
        <v>32</v>
      </c>
      <c r="F5" s="764"/>
      <c r="G5" s="9"/>
      <c r="H5" s="16" t="s">
        <v>10</v>
      </c>
      <c r="I5" s="19">
        <v>-10</v>
      </c>
    </row>
    <row r="6" spans="1:9" ht="14.25" customHeight="1">
      <c r="A6" s="759" t="s">
        <v>11</v>
      </c>
      <c r="B6" s="12" t="s">
        <v>12</v>
      </c>
      <c r="C6" s="13">
        <v>3</v>
      </c>
      <c r="D6" s="14">
        <v>16</v>
      </c>
      <c r="E6" s="14" cm="1">
        <f t="array" ref="E6">D6*C6</f>
        <v>48</v>
      </c>
      <c r="F6" s="765" cm="1">
        <f t="array" ref="F6">SUM(E6:E11)</f>
        <v>191</v>
      </c>
      <c r="G6" s="9"/>
      <c r="H6" s="20" t="s">
        <v>13</v>
      </c>
      <c r="I6" s="23">
        <v>-20</v>
      </c>
    </row>
    <row r="7" spans="1:9" ht="14.25" customHeight="1">
      <c r="A7" s="760"/>
      <c r="B7" s="16" t="s">
        <v>14</v>
      </c>
      <c r="C7" s="17">
        <v>6</v>
      </c>
      <c r="D7" s="18">
        <v>8</v>
      </c>
      <c r="E7" s="18" cm="1">
        <f t="array" ref="E7">D7*C7</f>
        <v>48</v>
      </c>
      <c r="F7" s="766"/>
      <c r="G7" s="9"/>
      <c r="H7" s="24"/>
      <c r="I7" s="25"/>
    </row>
    <row r="8" spans="1:9" ht="14.25" customHeight="1">
      <c r="A8" s="760"/>
      <c r="B8" s="16" t="s">
        <v>15</v>
      </c>
      <c r="C8" s="17">
        <v>10</v>
      </c>
      <c r="D8" s="18">
        <v>4</v>
      </c>
      <c r="E8" s="18" cm="1">
        <f t="array" ref="E8">D8*C8</f>
        <v>40</v>
      </c>
      <c r="F8" s="766"/>
      <c r="G8" s="9"/>
      <c r="H8" s="9"/>
      <c r="I8" s="26"/>
    </row>
    <row r="9" spans="1:9" ht="14.25" customHeight="1">
      <c r="A9" s="760"/>
      <c r="B9" s="20" t="s">
        <v>16</v>
      </c>
      <c r="C9" s="21">
        <v>15</v>
      </c>
      <c r="D9" s="22">
        <v>2</v>
      </c>
      <c r="E9" s="22" cm="1">
        <f t="array" ref="E9">D9*C9</f>
        <v>30</v>
      </c>
      <c r="F9" s="766"/>
      <c r="G9" s="9"/>
      <c r="H9" s="16" t="s">
        <v>17</v>
      </c>
      <c r="I9" s="26"/>
    </row>
    <row r="10" spans="1:9" ht="15" customHeight="1">
      <c r="A10" s="760"/>
      <c r="B10" s="12" t="s">
        <v>18</v>
      </c>
      <c r="C10" s="13">
        <v>5</v>
      </c>
      <c r="D10" s="14">
        <v>1</v>
      </c>
      <c r="E10" s="14" cm="1">
        <f t="array" ref="E10">D10*C10</f>
        <v>5</v>
      </c>
      <c r="F10" s="766"/>
      <c r="G10" s="9"/>
      <c r="H10" s="16" t="s">
        <v>19</v>
      </c>
      <c r="I10" s="26"/>
    </row>
    <row r="11" spans="1:9" ht="15" customHeight="1">
      <c r="A11" s="761"/>
      <c r="B11" s="20" t="s">
        <v>20</v>
      </c>
      <c r="C11" s="21">
        <v>20</v>
      </c>
      <c r="D11" s="22">
        <v>1</v>
      </c>
      <c r="E11" s="22" cm="1">
        <f t="array" ref="E11">D11*C11</f>
        <v>20</v>
      </c>
      <c r="F11" s="767"/>
      <c r="G11" s="9"/>
      <c r="H11" s="16" t="s">
        <v>21</v>
      </c>
      <c r="I11" s="26"/>
    </row>
    <row r="12" spans="1:9" ht="15" customHeight="1">
      <c r="A12" s="759" t="s">
        <v>22</v>
      </c>
      <c r="B12" s="12" t="s">
        <v>23</v>
      </c>
      <c r="C12" s="13">
        <v>12</v>
      </c>
      <c r="D12" s="14">
        <v>1</v>
      </c>
      <c r="E12" s="14" cm="1">
        <f t="array" ref="E12">D12*C12</f>
        <v>12</v>
      </c>
      <c r="F12" s="765" cm="1">
        <f t="array" ref="F12">SUM(E12:E17)</f>
        <v>64</v>
      </c>
      <c r="G12" s="9"/>
      <c r="H12" s="16" t="s">
        <v>24</v>
      </c>
      <c r="I12" s="26"/>
    </row>
    <row r="13" spans="1:9" ht="15" customHeight="1">
      <c r="A13" s="760"/>
      <c r="B13" s="16" t="s">
        <v>25</v>
      </c>
      <c r="C13" s="17">
        <v>12</v>
      </c>
      <c r="D13" s="18">
        <v>1</v>
      </c>
      <c r="E13" s="18" cm="1">
        <f t="array" ref="E13">D13*C13</f>
        <v>12</v>
      </c>
      <c r="F13" s="766"/>
      <c r="G13" s="9"/>
      <c r="H13" s="16" t="s">
        <v>26</v>
      </c>
      <c r="I13" s="26"/>
    </row>
    <row r="14" spans="1:9" ht="15" customHeight="1">
      <c r="A14" s="760"/>
      <c r="B14" s="16" t="s">
        <v>27</v>
      </c>
      <c r="C14" s="17">
        <v>12</v>
      </c>
      <c r="D14" s="18">
        <v>1</v>
      </c>
      <c r="E14" s="18" cm="1">
        <f t="array" ref="E14">D14*C14</f>
        <v>12</v>
      </c>
      <c r="F14" s="766"/>
      <c r="G14" s="9"/>
      <c r="H14" s="9"/>
      <c r="I14" s="26"/>
    </row>
    <row r="15" spans="1:9" ht="15" customHeight="1">
      <c r="A15" s="760"/>
      <c r="B15" s="16" t="s">
        <v>28</v>
      </c>
      <c r="C15" s="17">
        <v>12</v>
      </c>
      <c r="D15" s="18">
        <v>1</v>
      </c>
      <c r="E15" s="18" cm="1">
        <f t="array" ref="E15">D15*C15</f>
        <v>12</v>
      </c>
      <c r="F15" s="766"/>
      <c r="G15" s="9"/>
      <c r="H15" s="16" t="s">
        <v>29</v>
      </c>
      <c r="I15" s="26"/>
    </row>
    <row r="16" spans="1:9" ht="15" customHeight="1">
      <c r="A16" s="760"/>
      <c r="B16" s="16" t="s">
        <v>30</v>
      </c>
      <c r="C16" s="17">
        <v>8</v>
      </c>
      <c r="D16" s="18">
        <v>1</v>
      </c>
      <c r="E16" s="18" cm="1">
        <f t="array" ref="E16">D16*C16</f>
        <v>8</v>
      </c>
      <c r="F16" s="766"/>
      <c r="G16" s="9"/>
      <c r="H16" s="16" t="s">
        <v>31</v>
      </c>
      <c r="I16" s="26"/>
    </row>
    <row r="17" spans="1:9" ht="15" customHeight="1">
      <c r="A17" s="761"/>
      <c r="B17" s="20" t="s">
        <v>32</v>
      </c>
      <c r="C17" s="21">
        <v>8</v>
      </c>
      <c r="D17" s="22">
        <v>1</v>
      </c>
      <c r="E17" s="22" cm="1">
        <f t="array" ref="E17">D17*C17</f>
        <v>8</v>
      </c>
      <c r="F17" s="767"/>
      <c r="G17" s="9"/>
      <c r="H17" s="9"/>
      <c r="I17" s="26"/>
    </row>
    <row r="18" spans="1:9" ht="14.25" customHeight="1">
      <c r="A18" s="27"/>
      <c r="B18" s="24"/>
      <c r="C18" s="24"/>
      <c r="D18" s="24"/>
      <c r="E18" s="14" cm="1">
        <f t="array" ref="E18">SUM(E3:E17)</f>
        <v>431</v>
      </c>
      <c r="F18" s="24"/>
      <c r="G18" s="9"/>
      <c r="H18" s="9"/>
      <c r="I18" s="26"/>
    </row>
    <row r="19" spans="1:9" ht="14.25" customHeight="1">
      <c r="A19" s="28"/>
      <c r="B19" s="9"/>
      <c r="C19" s="9"/>
      <c r="D19" s="9"/>
      <c r="E19" s="9"/>
      <c r="F19" s="9"/>
      <c r="G19" s="9"/>
      <c r="H19" s="9"/>
      <c r="I19" s="26"/>
    </row>
    <row r="20" spans="1:9" ht="14.25" customHeight="1">
      <c r="A20" s="29" t="s">
        <v>33</v>
      </c>
      <c r="B20" s="9"/>
      <c r="C20" s="9"/>
      <c r="D20" s="9"/>
      <c r="E20" s="9"/>
      <c r="F20" s="9"/>
      <c r="G20" s="9"/>
      <c r="H20" s="9"/>
      <c r="I20" s="26"/>
    </row>
    <row r="21" spans="1:9" ht="14.25" customHeight="1">
      <c r="A21" s="30" t="s">
        <v>34</v>
      </c>
      <c r="B21" s="9"/>
      <c r="C21" s="9"/>
      <c r="D21" s="9"/>
      <c r="E21" s="9"/>
      <c r="F21" s="9"/>
      <c r="G21" s="9"/>
      <c r="H21" s="9"/>
      <c r="I21" s="26"/>
    </row>
    <row r="22" spans="1:9" ht="14.25" customHeight="1">
      <c r="A22" s="28"/>
      <c r="B22" s="9"/>
      <c r="C22" s="9"/>
      <c r="D22" s="9"/>
      <c r="E22" s="9"/>
      <c r="F22" s="9"/>
      <c r="G22" s="9"/>
      <c r="H22" s="9"/>
      <c r="I22" s="26"/>
    </row>
    <row r="23" spans="1:9" ht="15" customHeight="1">
      <c r="A23" s="30" t="s">
        <v>35</v>
      </c>
      <c r="B23" s="9"/>
      <c r="C23" s="9"/>
      <c r="D23" s="9"/>
      <c r="E23" s="9"/>
      <c r="F23" s="9"/>
      <c r="G23" s="9"/>
      <c r="H23" s="9"/>
      <c r="I23" s="26"/>
    </row>
    <row r="24" spans="1:9" ht="14.25" customHeight="1">
      <c r="A24" s="28"/>
      <c r="B24" s="9"/>
      <c r="C24" s="9"/>
      <c r="D24" s="9"/>
      <c r="E24" s="9"/>
      <c r="F24" s="9"/>
      <c r="G24" s="9"/>
      <c r="H24" s="9"/>
      <c r="I24" s="26"/>
    </row>
    <row r="25" spans="1:9" ht="15" customHeight="1">
      <c r="A25" s="30" t="s">
        <v>36</v>
      </c>
      <c r="B25" s="9"/>
      <c r="C25" s="9"/>
      <c r="D25" s="9"/>
      <c r="E25" s="9"/>
      <c r="F25" s="9"/>
      <c r="G25" s="9"/>
      <c r="H25" s="9"/>
      <c r="I25" s="26"/>
    </row>
    <row r="26" spans="1:9" ht="14.25" customHeight="1">
      <c r="A26" s="30" t="s">
        <v>37</v>
      </c>
      <c r="B26" s="9"/>
      <c r="C26" s="9"/>
      <c r="D26" s="9"/>
      <c r="E26" s="9"/>
      <c r="F26" s="9"/>
      <c r="G26" s="9"/>
      <c r="H26" s="9"/>
      <c r="I26" s="26"/>
    </row>
    <row r="27" spans="1:9" ht="14.25" customHeight="1">
      <c r="A27" s="30" t="s">
        <v>38</v>
      </c>
      <c r="B27" s="9"/>
      <c r="C27" s="9"/>
      <c r="D27" s="9"/>
      <c r="E27" s="9"/>
      <c r="F27" s="9"/>
      <c r="G27" s="9"/>
      <c r="H27" s="9"/>
      <c r="I27" s="26"/>
    </row>
    <row r="28" spans="1:9" ht="14.25" customHeight="1">
      <c r="A28" s="30" t="s">
        <v>39</v>
      </c>
      <c r="B28" s="9"/>
      <c r="C28" s="9"/>
      <c r="D28" s="9"/>
      <c r="E28" s="9"/>
      <c r="F28" s="9"/>
      <c r="G28" s="9"/>
      <c r="H28" s="9"/>
      <c r="I28" s="26"/>
    </row>
    <row r="29" spans="1:9" ht="15" customHeight="1">
      <c r="A29" s="30" t="s">
        <v>40</v>
      </c>
      <c r="B29" s="9"/>
      <c r="C29" s="9"/>
      <c r="D29" s="9"/>
      <c r="E29" s="9"/>
      <c r="F29" s="9"/>
      <c r="G29" s="9"/>
      <c r="H29" s="9"/>
      <c r="I29" s="26"/>
    </row>
    <row r="30" spans="1:9" ht="14.25" customHeight="1">
      <c r="A30" s="30" t="s">
        <v>41</v>
      </c>
      <c r="B30" s="9"/>
      <c r="C30" s="9"/>
      <c r="D30" s="9"/>
      <c r="E30" s="9"/>
      <c r="F30" s="9"/>
      <c r="G30" s="9"/>
      <c r="H30" s="9"/>
      <c r="I30" s="26"/>
    </row>
    <row r="31" spans="1:9" ht="14.25" customHeight="1">
      <c r="A31" s="30" t="s">
        <v>42</v>
      </c>
      <c r="B31" s="9"/>
      <c r="C31" s="9"/>
      <c r="D31" s="9"/>
      <c r="E31" s="9"/>
      <c r="F31" s="9"/>
      <c r="G31" s="9"/>
      <c r="H31" s="9"/>
      <c r="I31" s="26"/>
    </row>
    <row r="32" spans="1:9" ht="14.25" customHeight="1">
      <c r="A32" s="30" t="s">
        <v>43</v>
      </c>
      <c r="B32" s="9"/>
      <c r="C32" s="9"/>
      <c r="D32" s="9"/>
      <c r="E32" s="9"/>
      <c r="F32" s="9"/>
      <c r="G32" s="9"/>
      <c r="H32" s="9"/>
      <c r="I32" s="26"/>
    </row>
    <row r="33" spans="1:9" ht="14.25" customHeight="1">
      <c r="A33" s="28"/>
      <c r="B33" s="9"/>
      <c r="C33" s="9"/>
      <c r="D33" s="9"/>
      <c r="E33" s="9"/>
      <c r="F33" s="9"/>
      <c r="G33" s="9"/>
      <c r="H33" s="9"/>
      <c r="I33" s="26"/>
    </row>
    <row r="34" spans="1:9" ht="14.25" customHeight="1">
      <c r="A34" s="28"/>
      <c r="B34" s="9"/>
      <c r="C34" s="9"/>
      <c r="D34" s="9"/>
      <c r="E34" s="9"/>
      <c r="F34" s="9"/>
      <c r="G34" s="9"/>
      <c r="H34" s="9"/>
      <c r="I34" s="26"/>
    </row>
    <row r="35" spans="1:9" ht="14.25" customHeight="1">
      <c r="A35" s="31" t="s">
        <v>44</v>
      </c>
      <c r="B35" s="32" t="s">
        <v>45</v>
      </c>
      <c r="C35" s="33" t="s">
        <v>46</v>
      </c>
      <c r="D35" s="33" t="s">
        <v>47</v>
      </c>
      <c r="E35" s="9"/>
      <c r="F35" s="9"/>
      <c r="G35" s="9"/>
      <c r="H35" s="9"/>
      <c r="I35" s="26"/>
    </row>
    <row r="36" spans="1:9" ht="14.25" customHeight="1">
      <c r="A36" s="34" cm="1">
        <f t="array" ref="A36">_xlfn.XLOOKUP(B36,'Ranking FIFA'!B1:B102,'Ranking FIFA'!A1:A102,"--",0)</f>
        <v>1</v>
      </c>
      <c r="B36" s="35" t="s">
        <v>48</v>
      </c>
      <c r="C36" s="36">
        <v>1</v>
      </c>
      <c r="D36" s="36">
        <v>1</v>
      </c>
      <c r="E36" s="9"/>
      <c r="F36" s="9"/>
      <c r="G36" s="9"/>
      <c r="H36" s="9"/>
      <c r="I36" s="26"/>
    </row>
    <row r="37" spans="1:9" ht="14.25" customHeight="1">
      <c r="A37" s="37" cm="1">
        <f t="array" ref="A37">_xlfn.XLOOKUP(B37,'Ranking FIFA'!B1:B102,'Ranking FIFA'!A1:A102,"--",0)</f>
        <v>2</v>
      </c>
      <c r="B37" s="38" t="s">
        <v>49</v>
      </c>
      <c r="C37" s="39">
        <v>1</v>
      </c>
      <c r="D37" s="39">
        <v>1</v>
      </c>
      <c r="E37" s="9"/>
      <c r="F37" s="9"/>
      <c r="G37" s="9"/>
      <c r="H37" s="9"/>
      <c r="I37" s="26"/>
    </row>
    <row r="38" spans="1:9" ht="14.25" customHeight="1">
      <c r="A38" s="37" cm="1">
        <f t="array" ref="A38">_xlfn.XLOOKUP(B38,'Ranking FIFA'!B1:B102,'Ranking FIFA'!A1:A102,"--",0)</f>
        <v>3</v>
      </c>
      <c r="B38" s="38" t="s">
        <v>50</v>
      </c>
      <c r="C38" s="39">
        <v>1</v>
      </c>
      <c r="D38" s="39">
        <v>1</v>
      </c>
      <c r="E38" s="9"/>
      <c r="F38" s="9"/>
      <c r="G38" s="9"/>
      <c r="H38" s="9"/>
      <c r="I38" s="26"/>
    </row>
    <row r="39" spans="1:9" ht="14.25" customHeight="1">
      <c r="A39" s="37" cm="1">
        <f t="array" ref="A39">_xlfn.XLOOKUP(B39,'Ranking FIFA'!B1:B102,'Ranking FIFA'!A1:A102,"--",0)</f>
        <v>4</v>
      </c>
      <c r="B39" s="38" t="s">
        <v>51</v>
      </c>
      <c r="C39" s="39">
        <v>1</v>
      </c>
      <c r="D39" s="39">
        <v>1</v>
      </c>
      <c r="E39" s="9"/>
      <c r="F39" s="9"/>
      <c r="G39" s="9"/>
      <c r="H39" s="9"/>
      <c r="I39" s="26"/>
    </row>
    <row r="40" spans="1:9" ht="14.25" customHeight="1">
      <c r="A40" s="37" cm="1">
        <f t="array" ref="A40">_xlfn.XLOOKUP(B40,'Ranking FIFA'!B1:B102,'Ranking FIFA'!A1:A102,"--",0)</f>
        <v>5</v>
      </c>
      <c r="B40" s="38" t="s">
        <v>52</v>
      </c>
      <c r="C40" s="39">
        <v>1</v>
      </c>
      <c r="D40" s="39">
        <v>1</v>
      </c>
      <c r="E40" s="9"/>
      <c r="F40" s="9"/>
      <c r="G40" s="9"/>
      <c r="H40" s="9"/>
      <c r="I40" s="26"/>
    </row>
    <row r="41" spans="1:9" ht="14.25" customHeight="1">
      <c r="A41" s="37" cm="1">
        <f t="array" ref="A41">_xlfn.XLOOKUP(B41,'Ranking FIFA'!B1:B102,'Ranking FIFA'!A1:A102,"--",0)</f>
        <v>6</v>
      </c>
      <c r="B41" s="38" t="s">
        <v>53</v>
      </c>
      <c r="C41" s="39">
        <v>1</v>
      </c>
      <c r="D41" s="39">
        <v>1</v>
      </c>
      <c r="E41" s="9"/>
      <c r="F41" s="9"/>
      <c r="G41" s="9"/>
      <c r="H41" s="9"/>
      <c r="I41" s="26"/>
    </row>
    <row r="42" spans="1:9" ht="14.25" customHeight="1">
      <c r="A42" s="37" cm="1">
        <f t="array" ref="A42">_xlfn.XLOOKUP(B42,'Ranking FIFA'!B1:B102,'Ranking FIFA'!A1:A102,"--",0)</f>
        <v>7</v>
      </c>
      <c r="B42" s="38" t="s">
        <v>54</v>
      </c>
      <c r="C42" s="39">
        <v>1</v>
      </c>
      <c r="D42" s="39">
        <v>1</v>
      </c>
      <c r="E42" s="9"/>
      <c r="F42" s="9"/>
      <c r="G42" s="9"/>
      <c r="H42" s="9"/>
      <c r="I42" s="26"/>
    </row>
    <row r="43" spans="1:9" ht="14.25" customHeight="1">
      <c r="A43" s="37" cm="1">
        <f t="array" ref="A43">_xlfn.XLOOKUP(B43,'Ranking FIFA'!B1:B102,'Ranking FIFA'!A1:A102,"--",0)</f>
        <v>9</v>
      </c>
      <c r="B43" s="38" t="s">
        <v>55</v>
      </c>
      <c r="C43" s="39">
        <v>1</v>
      </c>
      <c r="D43" s="39">
        <v>2</v>
      </c>
      <c r="E43" s="9"/>
      <c r="F43" s="9"/>
      <c r="G43" s="9"/>
      <c r="H43" s="9"/>
      <c r="I43" s="26"/>
    </row>
    <row r="44" spans="1:9" ht="14.25" customHeight="1">
      <c r="A44" s="37" cm="1">
        <f t="array" ref="A44">_xlfn.XLOOKUP(B44,'Ranking FIFA'!B1:B102,'Ranking FIFA'!A1:A102,"--",0)</f>
        <v>10</v>
      </c>
      <c r="B44" s="38" t="s">
        <v>56</v>
      </c>
      <c r="C44" s="39">
        <v>1</v>
      </c>
      <c r="D44" s="39">
        <v>1</v>
      </c>
      <c r="E44" s="9"/>
      <c r="F44" s="9"/>
      <c r="G44" s="9"/>
      <c r="H44" s="9"/>
      <c r="I44" s="26"/>
    </row>
    <row r="45" spans="1:9" ht="14.25" customHeight="1">
      <c r="A45" s="37" cm="1">
        <f t="array" ref="A45">_xlfn.XLOOKUP(B45,'Ranking FIFA'!B1:B102,'Ranking FIFA'!A1:A102,"--",0)</f>
        <v>11</v>
      </c>
      <c r="B45" s="38" t="s">
        <v>57</v>
      </c>
      <c r="C45" s="39">
        <v>1</v>
      </c>
      <c r="D45" s="39">
        <v>2</v>
      </c>
      <c r="E45" s="9"/>
      <c r="F45" s="9"/>
      <c r="G45" s="9"/>
      <c r="H45" s="9"/>
      <c r="I45" s="26"/>
    </row>
    <row r="46" spans="1:9" ht="14.25" customHeight="1">
      <c r="A46" s="37" cm="1">
        <f t="array" ref="A46">_xlfn.XLOOKUP(B46,'Ranking FIFA'!B1:B102,'Ranking FIFA'!A1:A102,"--",0)</f>
        <v>17</v>
      </c>
      <c r="B46" s="38" t="s">
        <v>58</v>
      </c>
      <c r="C46" s="39">
        <v>1</v>
      </c>
      <c r="D46" s="39">
        <v>2</v>
      </c>
      <c r="E46" s="9"/>
      <c r="F46" s="9"/>
      <c r="G46" s="9"/>
      <c r="H46" s="9"/>
      <c r="I46" s="26"/>
    </row>
    <row r="47" spans="1:9" ht="14.25" customHeight="1">
      <c r="A47" s="37" cm="1">
        <f t="array" ref="A47">_xlfn.XLOOKUP(B47,'Ranking FIFA'!B1:B102,'Ranking FIFA'!A1:A102,"--",0)</f>
        <v>8</v>
      </c>
      <c r="B47" s="38" t="s">
        <v>59</v>
      </c>
      <c r="C47" s="39">
        <v>2</v>
      </c>
      <c r="D47" s="40"/>
      <c r="E47" s="9"/>
      <c r="F47" s="9"/>
      <c r="G47" s="9"/>
      <c r="H47" s="9"/>
      <c r="I47" s="26"/>
    </row>
    <row r="48" spans="1:9" ht="14.25" customHeight="1">
      <c r="A48" s="37" cm="1">
        <f t="array" ref="A48">_xlfn.XLOOKUP(B48,'Ranking FIFA'!B1:B102,'Ranking FIFA'!A1:A102,"--",0)</f>
        <v>13</v>
      </c>
      <c r="B48" s="38" t="s">
        <v>60</v>
      </c>
      <c r="C48" s="39">
        <v>2</v>
      </c>
      <c r="D48" s="40"/>
      <c r="E48" s="9"/>
      <c r="F48" s="9"/>
      <c r="G48" s="9"/>
      <c r="H48" s="9"/>
      <c r="I48" s="26"/>
    </row>
    <row r="49" spans="1:9" ht="14.25" customHeight="1">
      <c r="A49" s="37" cm="1">
        <f t="array" ref="A49">_xlfn.XLOOKUP(B49,'Ranking FIFA'!B1:B102,'Ranking FIFA'!A1:A102,"--",0)</f>
        <v>14</v>
      </c>
      <c r="B49" s="38" t="s">
        <v>61</v>
      </c>
      <c r="C49" s="39">
        <v>2</v>
      </c>
      <c r="D49" s="40"/>
      <c r="E49" s="9"/>
      <c r="F49" s="9"/>
      <c r="G49" s="9"/>
      <c r="H49" s="9"/>
      <c r="I49" s="26"/>
    </row>
    <row r="50" spans="1:9" ht="14.25" customHeight="1">
      <c r="A50" s="37" cm="1">
        <f t="array" ref="A50">_xlfn.XLOOKUP(B50,'Ranking FIFA'!B1:B102,'Ranking FIFA'!A1:A102,"--",0)</f>
        <v>15</v>
      </c>
      <c r="B50" s="38" t="s">
        <v>62</v>
      </c>
      <c r="C50" s="39">
        <v>2</v>
      </c>
      <c r="D50" s="40"/>
      <c r="E50" s="9"/>
      <c r="F50" s="9"/>
      <c r="G50" s="9"/>
      <c r="H50" s="9"/>
      <c r="I50" s="26"/>
    </row>
    <row r="51" spans="1:9" ht="14.25" customHeight="1">
      <c r="A51" s="37" cm="1">
        <f t="array" ref="A51">_xlfn.XLOOKUP(B51,'Ranking FIFA'!B1:B102,'Ranking FIFA'!A1:A102,"--",0)</f>
        <v>16</v>
      </c>
      <c r="B51" s="38" t="s">
        <v>63</v>
      </c>
      <c r="C51" s="39">
        <v>2</v>
      </c>
      <c r="D51" s="40"/>
      <c r="E51" s="9"/>
      <c r="F51" s="9"/>
      <c r="G51" s="9"/>
      <c r="H51" s="9"/>
      <c r="I51" s="26"/>
    </row>
    <row r="52" spans="1:9" ht="14.25" customHeight="1">
      <c r="A52" s="37" cm="1">
        <f t="array" ref="A52">_xlfn.XLOOKUP(B52,'Ranking FIFA'!B1:B102,'Ranking FIFA'!A1:A102,"--",0)</f>
        <v>18</v>
      </c>
      <c r="B52" s="38" t="s">
        <v>64</v>
      </c>
      <c r="C52" s="39">
        <v>2</v>
      </c>
      <c r="D52" s="40"/>
      <c r="E52" s="9"/>
      <c r="F52" s="9"/>
      <c r="G52" s="9"/>
      <c r="H52" s="9"/>
      <c r="I52" s="26"/>
    </row>
    <row r="53" spans="1:9" ht="14.25" customHeight="1">
      <c r="A53" s="37" cm="1">
        <f t="array" ref="A53">_xlfn.XLOOKUP(B53,'Ranking FIFA'!B1:B102,'Ranking FIFA'!A1:A102,"--",0)</f>
        <v>19</v>
      </c>
      <c r="B53" s="38" t="s">
        <v>65</v>
      </c>
      <c r="C53" s="39">
        <v>2</v>
      </c>
      <c r="D53" s="40"/>
      <c r="E53" s="9"/>
      <c r="F53" s="9"/>
      <c r="G53" s="9"/>
      <c r="H53" s="9"/>
      <c r="I53" s="26"/>
    </row>
    <row r="54" spans="1:9" ht="14.25" customHeight="1">
      <c r="A54" s="37" cm="1">
        <f t="array" ref="A54">_xlfn.XLOOKUP(B54,'Ranking FIFA'!B1:B102,'Ranking FIFA'!A1:A102,"--",0)</f>
        <v>22</v>
      </c>
      <c r="B54" s="38" t="s">
        <v>66</v>
      </c>
      <c r="C54" s="39">
        <v>2</v>
      </c>
      <c r="D54" s="40"/>
      <c r="E54" s="9"/>
      <c r="F54" s="9"/>
      <c r="G54" s="9"/>
      <c r="H54" s="9"/>
      <c r="I54" s="26"/>
    </row>
    <row r="55" spans="1:9" ht="14.25" customHeight="1">
      <c r="A55" s="37" cm="1">
        <f t="array" ref="A55">_xlfn.XLOOKUP(B55,'Ranking FIFA'!B1:B102,'Ranking FIFA'!A1:A102,"--",0)</f>
        <v>23</v>
      </c>
      <c r="B55" s="38" t="s">
        <v>67</v>
      </c>
      <c r="C55" s="39">
        <v>2</v>
      </c>
      <c r="D55" s="40"/>
      <c r="E55" s="9"/>
      <c r="F55" s="9"/>
      <c r="G55" s="9"/>
      <c r="H55" s="9"/>
      <c r="I55" s="26"/>
    </row>
    <row r="56" spans="1:9" ht="14.25" customHeight="1">
      <c r="A56" s="37" cm="1">
        <f t="array" ref="A56">_xlfn.XLOOKUP(B56,'Ranking FIFA'!B1:B102,'Ranking FIFA'!A1:A102,"--",0)</f>
        <v>25</v>
      </c>
      <c r="B56" s="38" t="s">
        <v>68</v>
      </c>
      <c r="C56" s="39">
        <v>2</v>
      </c>
      <c r="D56" s="40"/>
      <c r="E56" s="9"/>
      <c r="F56" s="9"/>
      <c r="G56" s="9"/>
      <c r="H56" s="9"/>
      <c r="I56" s="26"/>
    </row>
    <row r="57" spans="1:9" ht="14.25" customHeight="1">
      <c r="A57" s="37" cm="1">
        <f t="array" ref="A57">_xlfn.XLOOKUP(B57,'Ranking FIFA'!B1:B102,'Ranking FIFA'!A1:A102,"--",0)</f>
        <v>31</v>
      </c>
      <c r="B57" s="38" t="s">
        <v>69</v>
      </c>
      <c r="C57" s="39">
        <v>2</v>
      </c>
      <c r="D57" s="40"/>
      <c r="E57" s="9"/>
      <c r="F57" s="9"/>
      <c r="G57" s="9"/>
      <c r="H57" s="9"/>
      <c r="I57" s="26"/>
    </row>
    <row r="58" spans="1:9" ht="14.25" customHeight="1">
      <c r="A58" s="37" cm="1">
        <f t="array" ref="A58">_xlfn.XLOOKUP(B58,'Ranking FIFA'!B1:B102,'Ranking FIFA'!A1:A102,"--",0)</f>
        <v>38</v>
      </c>
      <c r="B58" s="38" t="s">
        <v>70</v>
      </c>
      <c r="C58" s="39">
        <v>2</v>
      </c>
      <c r="D58" s="40"/>
      <c r="E58" s="9"/>
      <c r="F58" s="9"/>
      <c r="G58" s="9"/>
      <c r="H58" s="9"/>
      <c r="I58" s="26"/>
    </row>
    <row r="59" spans="1:9" ht="14.25" customHeight="1">
      <c r="A59" s="37" cm="1">
        <f t="array" ref="A59">_xlfn.XLOOKUP(B59,'Ranking FIFA'!B1:B102,'Ranking FIFA'!A1:A102,"--",0)</f>
        <v>40</v>
      </c>
      <c r="B59" s="38" t="s">
        <v>71</v>
      </c>
      <c r="C59" s="39">
        <v>2</v>
      </c>
      <c r="D59" s="40"/>
      <c r="E59" s="9"/>
      <c r="F59" s="9"/>
      <c r="G59" s="9"/>
      <c r="H59" s="9"/>
      <c r="I59" s="26"/>
    </row>
    <row r="60" spans="1:9" ht="14.25" customHeight="1">
      <c r="A60" s="37" cm="1">
        <f t="array" ref="A60">_xlfn.XLOOKUP(B60,'Ranking FIFA'!B1:B102,'Ranking FIFA'!A1:A102,"--",0)</f>
        <v>24</v>
      </c>
      <c r="B60" s="38" t="s">
        <v>72</v>
      </c>
      <c r="C60" s="39">
        <v>3</v>
      </c>
      <c r="D60" s="40"/>
      <c r="E60" s="9"/>
      <c r="F60" s="9"/>
      <c r="G60" s="9"/>
      <c r="H60" s="9"/>
      <c r="I60" s="26"/>
    </row>
    <row r="61" spans="1:9" ht="14.25" customHeight="1">
      <c r="A61" s="37" cm="1">
        <f t="array" ref="A61">_xlfn.XLOOKUP(B61,'Ranking FIFA'!B1:B102,'Ranking FIFA'!A1:A102,"--",0)</f>
        <v>27</v>
      </c>
      <c r="B61" s="38" t="s">
        <v>73</v>
      </c>
      <c r="C61" s="39">
        <v>3</v>
      </c>
      <c r="D61" s="40"/>
      <c r="E61" s="9"/>
      <c r="F61" s="9"/>
      <c r="G61" s="9"/>
      <c r="H61" s="9"/>
      <c r="I61" s="26"/>
    </row>
    <row r="62" spans="1:9" ht="14.25" customHeight="1">
      <c r="A62" s="37" cm="1">
        <f t="array" ref="A62">_xlfn.XLOOKUP(B62,'Ranking FIFA'!B1:B102,'Ranking FIFA'!A1:A102,"--",0)</f>
        <v>28</v>
      </c>
      <c r="B62" s="38" t="s">
        <v>74</v>
      </c>
      <c r="C62" s="39">
        <v>3</v>
      </c>
      <c r="D62" s="40"/>
      <c r="E62" s="9"/>
      <c r="F62" s="9"/>
      <c r="G62" s="9"/>
      <c r="H62" s="9"/>
      <c r="I62" s="26"/>
    </row>
    <row r="63" spans="1:9" ht="14.25" customHeight="1">
      <c r="A63" s="37" cm="1">
        <f t="array" ref="A63">_xlfn.XLOOKUP(B63,'Ranking FIFA'!B1:B102,'Ranking FIFA'!A1:A102,"--",0)</f>
        <v>29</v>
      </c>
      <c r="B63" s="38" t="s">
        <v>75</v>
      </c>
      <c r="C63" s="39">
        <v>3</v>
      </c>
      <c r="D63" s="40"/>
      <c r="E63" s="9"/>
      <c r="F63" s="9"/>
      <c r="G63" s="9"/>
      <c r="H63" s="9"/>
      <c r="I63" s="26"/>
    </row>
    <row r="64" spans="1:9" ht="14.25" customHeight="1">
      <c r="A64" s="37" cm="1">
        <f t="array" ref="A64">_xlfn.XLOOKUP(B64,'Ranking FIFA'!B1:B102,'Ranking FIFA'!A1:A102,"--",0)</f>
        <v>30</v>
      </c>
      <c r="B64" s="38" t="s">
        <v>76</v>
      </c>
      <c r="C64" s="39">
        <v>3</v>
      </c>
      <c r="D64" s="40"/>
      <c r="E64" s="9"/>
      <c r="F64" s="9"/>
      <c r="G64" s="9"/>
      <c r="H64" s="9"/>
      <c r="I64" s="26"/>
    </row>
    <row r="65" spans="1:9" ht="14.25" customHeight="1">
      <c r="A65" s="37" cm="1">
        <f t="array" ref="A65">_xlfn.XLOOKUP(B65,'Ranking FIFA'!B1:B102,'Ranking FIFA'!A1:A102,"--",0)</f>
        <v>33</v>
      </c>
      <c r="B65" s="38" t="s">
        <v>77</v>
      </c>
      <c r="C65" s="39">
        <v>3</v>
      </c>
      <c r="D65" s="40"/>
      <c r="E65" s="9"/>
      <c r="F65" s="9"/>
      <c r="G65" s="9"/>
      <c r="H65" s="9"/>
      <c r="I65" s="26"/>
    </row>
    <row r="66" spans="1:9" ht="14.25" customHeight="1">
      <c r="A66" s="37" cm="1">
        <f t="array" ref="A66">_xlfn.XLOOKUP(B66,'Ranking FIFA'!B1:B102,'Ranking FIFA'!A1:A102,"--",0)</f>
        <v>34</v>
      </c>
      <c r="B66" s="38" t="s">
        <v>78</v>
      </c>
      <c r="C66" s="39">
        <v>3</v>
      </c>
      <c r="D66" s="40"/>
      <c r="E66" s="9"/>
      <c r="F66" s="9"/>
      <c r="G66" s="9"/>
      <c r="H66" s="9"/>
      <c r="I66" s="26"/>
    </row>
    <row r="67" spans="1:9" ht="14.25" customHeight="1">
      <c r="A67" s="37" cm="1">
        <f t="array" ref="A67">_xlfn.XLOOKUP(B67,'Ranking FIFA'!B1:B102,'Ranking FIFA'!A1:A102,"--",0)</f>
        <v>41</v>
      </c>
      <c r="B67" s="38" t="s">
        <v>79</v>
      </c>
      <c r="C67" s="39">
        <v>3</v>
      </c>
      <c r="D67" s="40"/>
      <c r="E67" s="9"/>
      <c r="F67" s="9"/>
      <c r="G67" s="9"/>
      <c r="H67" s="9"/>
      <c r="I67" s="26"/>
    </row>
    <row r="68" spans="1:9" ht="14.25" customHeight="1">
      <c r="A68" s="37" cm="1">
        <f t="array" ref="A68">_xlfn.XLOOKUP(B68,'Ranking FIFA'!B1:B102,'Ranking FIFA'!A1:A102,"--",0)</f>
        <v>43</v>
      </c>
      <c r="B68" s="38" t="s">
        <v>80</v>
      </c>
      <c r="C68" s="39">
        <v>3</v>
      </c>
      <c r="D68" s="40"/>
      <c r="E68" s="9"/>
      <c r="F68" s="9"/>
      <c r="G68" s="9"/>
      <c r="H68" s="9"/>
      <c r="I68" s="26"/>
    </row>
    <row r="69" spans="1:9" ht="14.25" customHeight="1">
      <c r="A69" s="37" cm="1">
        <f t="array" ref="A69">_xlfn.XLOOKUP(B69,'Ranking FIFA'!B1:B102,'Ranking FIFA'!A1:A102,"--",0)</f>
        <v>44</v>
      </c>
      <c r="B69" s="38" t="s">
        <v>81</v>
      </c>
      <c r="C69" s="39">
        <v>3</v>
      </c>
      <c r="D69" s="40"/>
      <c r="E69" s="9"/>
      <c r="F69" s="9"/>
      <c r="G69" s="9"/>
      <c r="H69" s="9"/>
      <c r="I69" s="26"/>
    </row>
    <row r="70" spans="1:9" ht="14.25" customHeight="1">
      <c r="A70" s="37" cm="1">
        <f t="array" ref="A70">_xlfn.XLOOKUP(B70,'Ranking FIFA'!B1:B102,'Ranking FIFA'!A1:A102,"--",0)</f>
        <v>60</v>
      </c>
      <c r="B70" s="38" t="s">
        <v>82</v>
      </c>
      <c r="C70" s="39">
        <v>3</v>
      </c>
      <c r="D70" s="40"/>
      <c r="E70" s="9"/>
      <c r="F70" s="9"/>
      <c r="G70" s="9"/>
      <c r="H70" s="9"/>
      <c r="I70" s="26"/>
    </row>
    <row r="71" spans="1:9" ht="14.25" customHeight="1">
      <c r="A71" s="37" cm="1">
        <f t="array" ref="A71">_xlfn.XLOOKUP(B71,'Ranking FIFA'!B1:B102,'Ranking FIFA'!A1:A102,"--",0)</f>
        <v>61</v>
      </c>
      <c r="B71" s="38" t="s">
        <v>83</v>
      </c>
      <c r="C71" s="39">
        <v>3</v>
      </c>
      <c r="D71" s="40"/>
      <c r="E71" s="9"/>
      <c r="F71" s="9"/>
      <c r="G71" s="9"/>
      <c r="H71" s="9"/>
      <c r="I71" s="26"/>
    </row>
    <row r="72" spans="1:9" ht="14.25" customHeight="1">
      <c r="A72" s="37" cm="1">
        <f t="array" ref="A72">_xlfn.XLOOKUP(B72,'Ranking FIFA'!B1:B102,'Ranking FIFA'!A1:A102,"--",0)</f>
        <v>65</v>
      </c>
      <c r="B72" s="38" t="s">
        <v>84</v>
      </c>
      <c r="C72" s="39">
        <v>3</v>
      </c>
      <c r="D72" s="40"/>
      <c r="E72" s="9"/>
      <c r="F72" s="9"/>
      <c r="G72" s="9"/>
      <c r="H72" s="9"/>
      <c r="I72" s="26"/>
    </row>
    <row r="73" spans="1:9" ht="14.25" customHeight="1">
      <c r="A73" s="37" cm="1">
        <f t="array" ref="A73">_xlfn.XLOOKUP(B73,'Ranking FIFA'!B1:B102,'Ranking FIFA'!A1:A102,"--",0)</f>
        <v>74</v>
      </c>
      <c r="B73" s="38" t="s">
        <v>85</v>
      </c>
      <c r="C73" s="39">
        <v>3</v>
      </c>
      <c r="D73" s="40"/>
      <c r="E73" s="9"/>
      <c r="F73" s="9"/>
      <c r="G73" s="9"/>
      <c r="H73" s="9"/>
      <c r="I73" s="26"/>
    </row>
    <row r="74" spans="1:9" ht="14.25" customHeight="1">
      <c r="A74" s="37" cm="1">
        <f t="array" ref="A74">_xlfn.XLOOKUP(B74,'Ranking FIFA'!B1:B102,'Ranking FIFA'!A1:A102,"--",0)</f>
        <v>21</v>
      </c>
      <c r="B74" s="38" t="s">
        <v>86</v>
      </c>
      <c r="C74" s="39">
        <v>3</v>
      </c>
      <c r="D74" s="40"/>
      <c r="E74" s="9"/>
      <c r="F74" s="9"/>
      <c r="G74" s="9"/>
      <c r="H74" s="9"/>
      <c r="I74" s="26"/>
    </row>
    <row r="75" spans="1:9" ht="14.25" customHeight="1">
      <c r="A75" s="37" cm="1">
        <f t="array" ref="A75">_xlfn.XLOOKUP(B75,'Ranking FIFA'!B1:B102,'Ranking FIFA'!A1:A102,"--",0)</f>
        <v>46</v>
      </c>
      <c r="B75" s="38" t="s">
        <v>87</v>
      </c>
      <c r="C75" s="39">
        <v>4</v>
      </c>
      <c r="D75" s="40"/>
      <c r="E75" s="9"/>
      <c r="F75" s="9"/>
      <c r="G75" s="9"/>
      <c r="H75" s="9"/>
      <c r="I75" s="26"/>
    </row>
    <row r="76" spans="1:9" ht="14.25" customHeight="1">
      <c r="A76" s="37" cm="1">
        <f t="array" ref="A76">_xlfn.XLOOKUP(B76,'Ranking FIFA'!B1:B102,'Ranking FIFA'!A1:A102,"--",0)</f>
        <v>50</v>
      </c>
      <c r="B76" s="38" t="s">
        <v>88</v>
      </c>
      <c r="C76" s="39">
        <v>4</v>
      </c>
      <c r="D76" s="40"/>
      <c r="E76" s="9"/>
      <c r="F76" s="9"/>
      <c r="G76" s="9"/>
      <c r="H76" s="9"/>
      <c r="I76" s="26"/>
    </row>
    <row r="77" spans="1:9" ht="14.25" customHeight="1">
      <c r="A77" s="37" cm="1">
        <f t="array" ref="A77">_xlfn.XLOOKUP(B77,'Ranking FIFA'!B1:B102,'Ranking FIFA'!A1:A102,"--",0)</f>
        <v>55</v>
      </c>
      <c r="B77" s="38" t="s">
        <v>89</v>
      </c>
      <c r="C77" s="39">
        <v>4</v>
      </c>
      <c r="D77" s="40"/>
      <c r="E77" s="9"/>
      <c r="F77" s="9"/>
      <c r="G77" s="9"/>
      <c r="H77" s="9"/>
      <c r="I77" s="26"/>
    </row>
    <row r="78" spans="1:9" ht="14.25" customHeight="1">
      <c r="A78" s="37" cm="1">
        <f t="array" ref="A78">_xlfn.XLOOKUP(B78,'Ranking FIFA'!B1:B102,'Ranking FIFA'!A1:A102,"--",0)</f>
        <v>57</v>
      </c>
      <c r="B78" s="38" t="s">
        <v>90</v>
      </c>
      <c r="C78" s="39">
        <v>4</v>
      </c>
      <c r="D78" s="40"/>
      <c r="E78" s="9"/>
      <c r="F78" s="9"/>
      <c r="G78" s="9"/>
      <c r="H78" s="9"/>
      <c r="I78" s="26"/>
    </row>
    <row r="79" spans="1:9" ht="14.25" customHeight="1">
      <c r="A79" s="37" cm="1">
        <f t="array" ref="A79">_xlfn.XLOOKUP(B79,'Ranking FIFA'!B1:B102,'Ranking FIFA'!A1:A102,"--",0)</f>
        <v>63</v>
      </c>
      <c r="B79" s="38" t="s">
        <v>91</v>
      </c>
      <c r="C79" s="39">
        <v>4</v>
      </c>
      <c r="D79" s="40"/>
      <c r="E79" s="9"/>
      <c r="F79" s="9"/>
      <c r="G79" s="9"/>
      <c r="H79" s="9"/>
      <c r="I79" s="26"/>
    </row>
    <row r="80" spans="1:9" ht="14.25" customHeight="1">
      <c r="A80" s="37" cm="1">
        <f t="array" ref="A80">_xlfn.XLOOKUP(B80,'Ranking FIFA'!B1:B102,'Ranking FIFA'!A1:A102,"--",0)</f>
        <v>69</v>
      </c>
      <c r="B80" s="38" t="s">
        <v>92</v>
      </c>
      <c r="C80" s="39">
        <v>4</v>
      </c>
      <c r="D80" s="40"/>
      <c r="E80" s="9"/>
      <c r="F80" s="9"/>
      <c r="G80" s="9"/>
      <c r="H80" s="9"/>
      <c r="I80" s="26"/>
    </row>
    <row r="81" spans="1:9" ht="14.25" customHeight="1">
      <c r="A81" s="37" cm="1">
        <f t="array" ref="A81">_xlfn.XLOOKUP(B81,'Ranking FIFA'!B1:B102,'Ranking FIFA'!A1:A102,"--",0)</f>
        <v>82</v>
      </c>
      <c r="B81" s="38" t="s">
        <v>93</v>
      </c>
      <c r="C81" s="39">
        <v>4</v>
      </c>
      <c r="D81" s="40"/>
      <c r="E81" s="9"/>
      <c r="F81" s="9"/>
      <c r="G81" s="9"/>
      <c r="H81" s="9"/>
      <c r="I81" s="26"/>
    </row>
    <row r="82" spans="1:9" ht="14.25" customHeight="1">
      <c r="A82" s="37" cm="1">
        <f t="array" ref="A82">_xlfn.XLOOKUP(B82,'Ranking FIFA'!B1:B102,'Ranking FIFA'!A1:A102,"--",0)</f>
        <v>83</v>
      </c>
      <c r="B82" s="38" t="s">
        <v>94</v>
      </c>
      <c r="C82" s="39">
        <v>4</v>
      </c>
      <c r="D82" s="40"/>
      <c r="E82" s="9"/>
      <c r="F82" s="9"/>
      <c r="G82" s="9"/>
      <c r="H82" s="9"/>
      <c r="I82" s="26"/>
    </row>
    <row r="83" spans="1:9" ht="14.25" customHeight="1">
      <c r="A83" s="41" cm="1">
        <f t="array" ref="A83">_xlfn.XLOOKUP(B83,'Ranking FIFA'!B1:B102,'Ranking FIFA'!A1:A102,"--",0)</f>
        <v>85</v>
      </c>
      <c r="B83" s="42" t="s">
        <v>95</v>
      </c>
      <c r="C83" s="43">
        <v>4</v>
      </c>
      <c r="D83" s="44"/>
      <c r="E83" s="45"/>
      <c r="F83" s="45"/>
      <c r="G83" s="45"/>
      <c r="H83" s="45"/>
      <c r="I83" s="46"/>
    </row>
  </sheetData>
  <mergeCells count="6">
    <mergeCell ref="A3:A5"/>
    <mergeCell ref="F3:F5"/>
    <mergeCell ref="A6:A11"/>
    <mergeCell ref="F6:F11"/>
    <mergeCell ref="A12:A17"/>
    <mergeCell ref="F12:F17"/>
  </mergeCells>
  <pageMargins left="0.7" right="0.7" top="0.75" bottom="0.75" header="0.3" footer="0.3"/>
  <pageSetup orientation="portrait"/>
  <headerFooter>
    <oddFooter>&amp;C&amp;"Helvetica Neue,Regular"&amp;12&amp;K000000&amp;P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X108"/>
  <sheetViews>
    <sheetView showGridLines="0" zoomScale="85" zoomScaleNormal="85" workbookViewId="0"/>
  </sheetViews>
  <sheetFormatPr defaultColWidth="8.375" defaultRowHeight="14.25" customHeight="1"/>
  <cols>
    <col min="1" max="1" width="8" style="47" customWidth="1"/>
    <col min="2" max="2" width="14.375" style="47" customWidth="1"/>
    <col min="3" max="3" width="8.375" style="47" hidden="1" customWidth="1"/>
    <col min="4" max="4" width="2.375" style="47" customWidth="1"/>
    <col min="5" max="5" width="17" style="47" customWidth="1"/>
    <col min="6" max="7" width="3.375" style="47" customWidth="1"/>
    <col min="8" max="8" width="17" style="47" customWidth="1"/>
    <col min="9" max="9" width="8.375" style="47" customWidth="1"/>
    <col min="10" max="24" width="8.375" style="47" hidden="1" customWidth="1"/>
    <col min="25" max="25" width="3" style="47" customWidth="1"/>
    <col min="26" max="26" width="17" style="47" customWidth="1"/>
    <col min="27" max="34" width="5.375" style="47" customWidth="1"/>
    <col min="35" max="40" width="8.375" style="47" hidden="1" customWidth="1"/>
    <col min="41" max="41" width="6.125" style="47" customWidth="1"/>
    <col min="42" max="42" width="4.625" style="47" customWidth="1"/>
    <col min="43" max="46" width="8.375" style="47" hidden="1" customWidth="1"/>
    <col min="47" max="47" width="13.875" style="47" customWidth="1"/>
    <col min="48" max="49" width="4" style="47" customWidth="1"/>
    <col min="50" max="97" width="8.375" style="47" hidden="1" customWidth="1"/>
    <col min="98" max="98" width="8.375" style="47" customWidth="1"/>
    <col min="99" max="99" width="4.125" style="47" customWidth="1"/>
    <col min="100" max="100" width="12.375" style="47" customWidth="1"/>
    <col min="101" max="101" width="16.375" style="47" customWidth="1"/>
    <col min="102" max="102" width="12.375" style="47" customWidth="1"/>
    <col min="103" max="103" width="8.375" style="47" customWidth="1"/>
    <col min="104" max="16384" width="8.375" style="47"/>
  </cols>
  <sheetData>
    <row r="1" spans="1:102" ht="14.25" customHeight="1">
      <c r="A1" s="48"/>
      <c r="B1" s="49"/>
      <c r="C1" s="49"/>
      <c r="D1" s="49"/>
      <c r="E1" s="49"/>
      <c r="F1" s="49"/>
      <c r="G1" s="49"/>
      <c r="H1" s="49"/>
      <c r="I1" s="50"/>
      <c r="J1" s="50"/>
      <c r="K1" s="50"/>
      <c r="L1" s="50"/>
      <c r="M1" s="50"/>
      <c r="N1" s="50"/>
      <c r="O1" s="50"/>
      <c r="P1" s="50"/>
      <c r="Q1" s="50"/>
      <c r="R1" s="50"/>
      <c r="S1" s="50"/>
      <c r="T1" s="50"/>
      <c r="U1" s="50"/>
      <c r="V1" s="50"/>
      <c r="W1" s="50"/>
      <c r="X1" s="50"/>
      <c r="Y1" s="49"/>
      <c r="Z1" s="49"/>
      <c r="AA1" s="49"/>
      <c r="AB1" s="49"/>
      <c r="AC1" s="49"/>
      <c r="AD1" s="49"/>
      <c r="AE1" s="49"/>
      <c r="AF1" s="49"/>
      <c r="AG1" s="49"/>
      <c r="AH1" s="49"/>
      <c r="AI1" s="50"/>
      <c r="AJ1" s="50"/>
      <c r="AK1" s="50"/>
      <c r="AL1" s="50"/>
      <c r="AM1" s="50"/>
      <c r="AN1" s="50"/>
      <c r="AO1" s="50"/>
      <c r="AP1" s="50"/>
      <c r="AQ1" s="50"/>
      <c r="AR1" s="50"/>
      <c r="AS1" s="50"/>
      <c r="AT1" s="50"/>
      <c r="AU1" s="50"/>
      <c r="AV1" s="50"/>
      <c r="AW1" s="50"/>
      <c r="AX1" s="50"/>
      <c r="AY1" s="50"/>
      <c r="AZ1" s="50"/>
      <c r="BA1" s="50"/>
      <c r="BB1" s="50"/>
      <c r="BC1" s="50"/>
      <c r="BD1" s="50"/>
      <c r="BE1" s="50"/>
      <c r="BF1" s="51" cm="1">
        <f t="array" ref="BF1">IF(BA3&gt;1,AZ3,IF(BA4&gt;1,AZ4,IF(BA5&gt;1,AZ5,IF(BA6&gt;1,AZ6,"-"))))</f>
        <v>4</v>
      </c>
      <c r="BG1" s="50"/>
      <c r="BH1" s="50"/>
      <c r="BI1" s="50"/>
      <c r="BJ1" s="50"/>
      <c r="BK1" s="50"/>
      <c r="BL1" s="50"/>
      <c r="BM1" s="50"/>
      <c r="BN1" s="50"/>
      <c r="BO1" s="50"/>
      <c r="BP1" s="50"/>
      <c r="BQ1" s="50"/>
      <c r="BR1" s="50"/>
      <c r="BS1" s="50"/>
      <c r="BT1" s="50"/>
      <c r="BU1" s="50"/>
      <c r="BV1" s="50"/>
      <c r="BW1" s="52">
        <v>10</v>
      </c>
      <c r="BX1" s="50"/>
      <c r="BY1" s="50"/>
      <c r="BZ1" s="53" t="str" cm="1">
        <f t="array" ref="BZ1">IF(BC3&gt;1,BB3,IF(BC4&gt;1,BB4,IF(BC5&gt;1,BB5,IF(BC6&gt;1,BB6,"-"))))</f>
        <v>-</v>
      </c>
      <c r="CA1" s="50"/>
      <c r="CB1" s="50"/>
      <c r="CC1" s="50"/>
      <c r="CD1" s="50"/>
      <c r="CE1" s="50"/>
      <c r="CF1" s="50"/>
      <c r="CG1" s="50"/>
      <c r="CH1" s="50"/>
      <c r="CI1" s="50"/>
      <c r="CJ1" s="50"/>
      <c r="CK1" s="50"/>
      <c r="CL1" s="50"/>
      <c r="CM1" s="50"/>
      <c r="CN1" s="50"/>
      <c r="CO1" s="50"/>
      <c r="CP1" s="50"/>
      <c r="CQ1" s="52">
        <v>10</v>
      </c>
      <c r="CR1" s="50"/>
      <c r="CS1" s="54" t="s">
        <v>97</v>
      </c>
      <c r="CT1" s="50"/>
      <c r="CU1" s="55"/>
      <c r="CV1" s="56" t="s">
        <v>98</v>
      </c>
      <c r="CW1" s="57" t="s">
        <v>99</v>
      </c>
      <c r="CX1" s="58" t="s">
        <v>100</v>
      </c>
    </row>
    <row r="2" spans="1:102" ht="14.25" customHeight="1">
      <c r="A2" s="59" t="s">
        <v>101</v>
      </c>
      <c r="B2" s="60" t="s">
        <v>102</v>
      </c>
      <c r="C2" s="60" t="s">
        <v>103</v>
      </c>
      <c r="D2" s="61"/>
      <c r="E2" s="62" t="s">
        <v>104</v>
      </c>
      <c r="F2" s="63"/>
      <c r="G2" s="63"/>
      <c r="H2" s="64"/>
      <c r="I2" s="65"/>
      <c r="J2" s="66" t="s">
        <v>105</v>
      </c>
      <c r="K2" s="66" t="s">
        <v>106</v>
      </c>
      <c r="L2" s="66" t="s">
        <v>106</v>
      </c>
      <c r="M2" s="66" t="s">
        <v>107</v>
      </c>
      <c r="N2" s="65"/>
      <c r="O2" s="67" t="str" cm="1">
        <f t="array" ref="O2">E2</f>
        <v>Grupo A</v>
      </c>
      <c r="P2" s="68" t="s">
        <v>105</v>
      </c>
      <c r="Q2" s="68" t="s">
        <v>106</v>
      </c>
      <c r="R2" s="68" t="s">
        <v>107</v>
      </c>
      <c r="S2" s="68" t="s">
        <v>108</v>
      </c>
      <c r="T2" s="68" t="s">
        <v>109</v>
      </c>
      <c r="U2" s="68" t="s">
        <v>110</v>
      </c>
      <c r="V2" s="68" t="s">
        <v>0</v>
      </c>
      <c r="W2" s="69"/>
      <c r="X2" s="65"/>
      <c r="Y2" s="786" t="s">
        <v>104</v>
      </c>
      <c r="Z2" s="787"/>
      <c r="AA2" s="70" t="s">
        <v>111</v>
      </c>
      <c r="AB2" s="71" t="s">
        <v>105</v>
      </c>
      <c r="AC2" s="71" t="s">
        <v>106</v>
      </c>
      <c r="AD2" s="71" t="s">
        <v>107</v>
      </c>
      <c r="AE2" s="71" t="s">
        <v>108</v>
      </c>
      <c r="AF2" s="71" t="s">
        <v>109</v>
      </c>
      <c r="AG2" s="71" t="s">
        <v>110</v>
      </c>
      <c r="AH2" s="72" t="s">
        <v>0</v>
      </c>
      <c r="AI2" s="73"/>
      <c r="AJ2" s="74"/>
      <c r="AK2" s="74"/>
      <c r="AL2" s="75" t="s">
        <v>0</v>
      </c>
      <c r="AM2" s="75" t="s">
        <v>112</v>
      </c>
      <c r="AN2" s="76"/>
      <c r="AO2" s="76"/>
      <c r="AP2" s="76"/>
      <c r="AQ2" s="76"/>
      <c r="AR2" s="76"/>
      <c r="AS2" s="76"/>
      <c r="AT2" s="76"/>
      <c r="AU2" s="77"/>
      <c r="AV2" s="78"/>
      <c r="AW2" s="74"/>
      <c r="AX2" s="74"/>
      <c r="AY2" s="75" t="s">
        <v>113</v>
      </c>
      <c r="AZ2" s="75" t="s">
        <v>0</v>
      </c>
      <c r="BA2" s="75" t="s">
        <v>114</v>
      </c>
      <c r="BB2" s="76"/>
      <c r="BC2" s="76"/>
      <c r="BD2" s="76"/>
      <c r="BE2" s="74"/>
      <c r="BF2" s="78"/>
      <c r="BG2" s="78"/>
      <c r="BH2" s="78"/>
      <c r="BI2" s="78"/>
      <c r="BJ2" s="74"/>
      <c r="BK2" s="79"/>
      <c r="BL2" s="80" t="s">
        <v>111</v>
      </c>
      <c r="BM2" s="75" t="s">
        <v>105</v>
      </c>
      <c r="BN2" s="75" t="s">
        <v>106</v>
      </c>
      <c r="BO2" s="75" t="s">
        <v>107</v>
      </c>
      <c r="BP2" s="75" t="s">
        <v>108</v>
      </c>
      <c r="BQ2" s="75" t="s">
        <v>109</v>
      </c>
      <c r="BR2" s="75" t="s">
        <v>110</v>
      </c>
      <c r="BS2" s="75" t="s">
        <v>0</v>
      </c>
      <c r="BT2" s="75" t="s">
        <v>115</v>
      </c>
      <c r="BU2" s="76"/>
      <c r="BV2" s="75" t="s">
        <v>116</v>
      </c>
      <c r="BW2" s="75" t="s">
        <v>115</v>
      </c>
      <c r="BX2" s="74"/>
      <c r="BY2" s="74"/>
      <c r="BZ2" s="78"/>
      <c r="CA2" s="78"/>
      <c r="CB2" s="78"/>
      <c r="CC2" s="78"/>
      <c r="CD2" s="74"/>
      <c r="CE2" s="79"/>
      <c r="CF2" s="80" t="s">
        <v>111</v>
      </c>
      <c r="CG2" s="75" t="s">
        <v>105</v>
      </c>
      <c r="CH2" s="75" t="s">
        <v>106</v>
      </c>
      <c r="CI2" s="75" t="s">
        <v>107</v>
      </c>
      <c r="CJ2" s="75" t="s">
        <v>108</v>
      </c>
      <c r="CK2" s="75" t="s">
        <v>109</v>
      </c>
      <c r="CL2" s="75" t="s">
        <v>110</v>
      </c>
      <c r="CM2" s="75" t="s">
        <v>0</v>
      </c>
      <c r="CN2" s="75" t="s">
        <v>115</v>
      </c>
      <c r="CO2" s="76"/>
      <c r="CP2" s="75" t="s">
        <v>116</v>
      </c>
      <c r="CQ2" s="75" t="s">
        <v>115</v>
      </c>
      <c r="CR2" s="74"/>
      <c r="CS2" s="81" cm="1">
        <f t="array" ref="CS2">SUMIF(AA1:AA108,3)</f>
        <v>144</v>
      </c>
      <c r="CT2" s="74"/>
      <c r="CU2" s="82"/>
      <c r="CV2" s="83" t="str" cm="1">
        <f t="array" ref="CV2">'Mejores 3eros'!AP2</f>
        <v>Repubilca Checa</v>
      </c>
      <c r="CW2" s="24" t="str" cm="1">
        <f t="array" ref="CW2">_xlfn.XLOOKUP(CV2,'Mejores 3eros'!$BD$2:$BD$13,'Mejores 3eros'!$BG$2:$BG$13,"-",0)</f>
        <v>IN</v>
      </c>
      <c r="CX2" s="84" t="s">
        <v>118</v>
      </c>
    </row>
    <row r="3" spans="1:102" ht="14.25" customHeight="1">
      <c r="A3" s="85" t="s">
        <v>119</v>
      </c>
      <c r="B3" s="86">
        <v>46184</v>
      </c>
      <c r="C3" s="87"/>
      <c r="D3" s="88"/>
      <c r="E3" s="85" t="s">
        <v>62</v>
      </c>
      <c r="F3" s="89">
        <v>2</v>
      </c>
      <c r="G3" s="89">
        <v>0</v>
      </c>
      <c r="H3" s="90" t="s">
        <v>82</v>
      </c>
      <c r="I3" s="65"/>
      <c r="J3" s="65" t="str" cm="1">
        <f t="array" ref="J3">IF(OR(ISBLANK(F3),ISBLANK(G3)),"",IF(F3&gt;G3,E3,IF(G3&gt;F3,H3,"")))</f>
        <v>Mexico</v>
      </c>
      <c r="K3" s="65" t="str" cm="1">
        <f t="array" ref="K3">IF(OR(ISBLANK(F3),ISBLANK(G3)),"",IF(F3=G3,E3,""))</f>
        <v/>
      </c>
      <c r="L3" s="65" t="str" cm="1">
        <f t="array" ref="L3">IF(OR(ISBLANK(F3),ISBLANK(G3)),"",IF(F3=G3,H3,""))</f>
        <v/>
      </c>
      <c r="M3" s="65" t="str" cm="1">
        <f t="array" ref="M3">IF(OR(ISBLANK(F3),ISBLANK(G3)),"",IF(F3&lt;G3,E3,IF(G3&lt;F3,H3,"")))</f>
        <v>Sudafrica</v>
      </c>
      <c r="N3" s="65"/>
      <c r="O3" s="67" t="str" cm="1">
        <f t="array" ref="O3">E3</f>
        <v>Mexico</v>
      </c>
      <c r="P3" s="91" cm="1">
        <f t="array" ref="P3">COUNTIF(J3:J8,"="&amp;$O3)</f>
        <v>3</v>
      </c>
      <c r="Q3" s="91" cm="1">
        <f t="array" ref="Q3">COUNTIF(K3:L8,"="&amp;$O3)</f>
        <v>0</v>
      </c>
      <c r="R3" s="91" cm="1">
        <f t="array" ref="R3">COUNTIF(M3:M8,"="&amp;$O3)</f>
        <v>0</v>
      </c>
      <c r="S3" s="91" cm="1">
        <f t="array" ref="S3">T3-U3</f>
        <v>4</v>
      </c>
      <c r="T3" s="91" cm="1">
        <f t="array" ref="T3">SUMIF(E3:E8,$O3,F3:F8)+SUMIF(H3:H8,$O3,G3:G8)</f>
        <v>5</v>
      </c>
      <c r="U3" s="91" cm="1">
        <f t="array" ref="U3">SUMIF(E3:E8,$O3,G3:G8)+SUMIF(H3:H8,$O3,F3:F8)</f>
        <v>1</v>
      </c>
      <c r="V3" s="92" cm="1">
        <f t="array" ref="V3">P3*3+Q3*1+BT3+CN3+S3/1000+T3/10000+AV3/1000000+ROW()/10000000</f>
        <v>9.0045003000000001</v>
      </c>
      <c r="W3" s="67" t="str" cm="1">
        <f t="array" ref="W3">O3</f>
        <v>Mexico</v>
      </c>
      <c r="X3" s="65"/>
      <c r="Y3" s="93" t="str" cm="1">
        <f t="array" ref="Y3">CONCATENATE("1",RIGHT(E2,1))</f>
        <v>1A</v>
      </c>
      <c r="Z3" s="94" t="str" cm="1">
        <f t="array" ref="Z3">VLOOKUP(AL3,V3:W6,2,FALSE)</f>
        <v>Mexico</v>
      </c>
      <c r="AA3" s="95" cm="1">
        <f t="array" ref="AA3">SUM(AB3:AD3)</f>
        <v>3</v>
      </c>
      <c r="AB3" s="96" cm="1">
        <f t="array" ref="AB3">VLOOKUP($Z3,$O$3:$U$6,COLUMN()-26,FALSE)</f>
        <v>3</v>
      </c>
      <c r="AC3" s="96" cm="1">
        <f t="array" ref="AC3">VLOOKUP($Z3,$O$3:$U$6,COLUMN()-26,FALSE)</f>
        <v>0</v>
      </c>
      <c r="AD3" s="96" cm="1">
        <f t="array" ref="AD3">VLOOKUP($Z3,$O$3:$U$6,COLUMN()-26,FALSE)</f>
        <v>0</v>
      </c>
      <c r="AE3" s="96" cm="1">
        <f t="array" ref="AE3">VLOOKUP($Z3,$O$3:$U$6,COLUMN()-26,FALSE)</f>
        <v>4</v>
      </c>
      <c r="AF3" s="96" cm="1">
        <f t="array" ref="AF3">VLOOKUP($Z3,$O$3:$U$6,COLUMN()-26,FALSE)</f>
        <v>5</v>
      </c>
      <c r="AG3" s="96" cm="1">
        <f t="array" ref="AG3">VLOOKUP($Z3,$O$3:$U$6,COLUMN()-26,FALSE)</f>
        <v>1</v>
      </c>
      <c r="AH3" s="97" cm="1">
        <f t="array" ref="AH3">VLOOKUP($Z3,$O$3:$V$6,COLUMN()-26,FALSE)</f>
        <v>9.0045003000000001</v>
      </c>
      <c r="AI3" s="98"/>
      <c r="AJ3" s="74"/>
      <c r="AK3" s="74"/>
      <c r="AL3" s="99" cm="1">
        <f t="array" ref="AL3">LARGE(V3:V6,1)</f>
        <v>9.0045003000000001</v>
      </c>
      <c r="AM3" s="100" cm="1">
        <f t="array" ref="AM3">(AH3-AL3)*100000000000000000000</f>
        <v>0</v>
      </c>
      <c r="AN3" s="74"/>
      <c r="AO3" s="74"/>
      <c r="AP3" s="101" t="str" cm="1">
        <f t="array" ref="AP3">O3</f>
        <v>Mexico</v>
      </c>
      <c r="AQ3" s="102" cm="1">
        <f t="array" ref="AQ3">P3*3+Q3*1+BT3+CN3+S3/1000+T3/10000</f>
        <v>9.0045000000000002</v>
      </c>
      <c r="AR3" s="102" t="b" cm="1">
        <f t="array" ref="AR3">IF(OR(AQ3=AQ4,AQ3=AQ5,AQ3=AQ6),1)</f>
        <v>0</v>
      </c>
      <c r="AS3" s="103" cm="1">
        <f t="array" ref="AS3">AV3</f>
        <v>0</v>
      </c>
      <c r="AT3" s="103" cm="1">
        <f t="array" ref="AT3">IF(AND(AM7="si",OR(AR3=1,AR4=1,AR5=1)),1,0)</f>
        <v>0</v>
      </c>
      <c r="AU3" s="104" t="str" cm="1">
        <f t="array" ref="AU3">O3</f>
        <v>Mexico</v>
      </c>
      <c r="AV3" s="105"/>
      <c r="AW3" s="106"/>
      <c r="AX3" s="74" t="str" cm="1">
        <f t="array" ref="AX3">Y2</f>
        <v>Grupo A</v>
      </c>
      <c r="AY3" s="76" t="str" cm="1">
        <f t="array" ref="AY3">O3</f>
        <v>Mexico</v>
      </c>
      <c r="AZ3" s="107" cm="1">
        <f t="array" ref="AZ3">P3*3+Q3</f>
        <v>9</v>
      </c>
      <c r="BA3" s="107" cm="1">
        <f t="array" ref="BA3">COUNTIFS($AX$1:AX3,AX3,$AZ$1:AZ3,AZ3)</f>
        <v>1</v>
      </c>
      <c r="BB3" s="107" cm="1">
        <f t="array" ref="BB3">IF(AZ3=BF1,ROW()*0.001,AZ3)</f>
        <v>9</v>
      </c>
      <c r="BC3" s="107" cm="1">
        <f t="array" ref="BC3">COUNTIFS($AX$1:AZ3,AZ3,$AZ$1:BB3,BB3)</f>
        <v>1</v>
      </c>
      <c r="BD3" s="107"/>
      <c r="BE3" s="108" t="str" cm="1">
        <f t="array" ref="BE3">IF(OR(BF3="-",BI3="-",BF1=0),"-","OK")</f>
        <v>-</v>
      </c>
      <c r="BF3" s="109" t="str" cm="1">
        <f t="array" ref="BF3">IF(_xlfn.XLOOKUP($E3,$AY1:$AY108,$AZ1:$AZ108,"-",0)=BF1,$E3,"-")</f>
        <v>-</v>
      </c>
      <c r="BG3" s="110" cm="1">
        <f t="array" ref="BG3">$F3</f>
        <v>2</v>
      </c>
      <c r="BH3" s="110" cm="1">
        <f t="array" ref="BH3">$G3</f>
        <v>0</v>
      </c>
      <c r="BI3" s="109" t="str" cm="1">
        <f t="array" ref="BI3">IF(_xlfn.XLOOKUP($H3,$AY1:$AY108,$AZ1:$AZ108,"-",0)=BF1,$H3,"-")</f>
        <v>-</v>
      </c>
      <c r="BJ3" s="74"/>
      <c r="BK3" s="79" t="str" cm="1">
        <f t="array" ref="BK3">O3</f>
        <v>Mexico</v>
      </c>
      <c r="BL3" s="111" cm="1">
        <f t="array" ref="BL3">COUNTIFS($BE1:$BE108,"OK",$BI1:$BI108,BK3)+COUNTIFS($BE1:$BE108,"OK",$BF1:$BF108,BK3)</f>
        <v>0</v>
      </c>
      <c r="BM3" s="112" cm="1">
        <f t="array" ref="BM3">COUNTIFS(J1:J108,$BK3,$BE1:$BE108,"OK")</f>
        <v>0</v>
      </c>
      <c r="BN3" s="112" cm="1">
        <f t="array" ref="BN3">COUNTIFS(K1:K108,$BK3,$BE1:$BE108,"OK")+COUNTIFS(L1:L108,$BK3,$BE1:$BE108,"OK")</f>
        <v>0</v>
      </c>
      <c r="BO3" s="112" cm="1">
        <f t="array" ref="BO3">COUNTIFS(M1:M108,$BK3,$BE1:$BE108,"OK")</f>
        <v>0</v>
      </c>
      <c r="BP3" s="112" cm="1">
        <f t="array" ref="BP3">BQ3-BR3</f>
        <v>0</v>
      </c>
      <c r="BQ3" s="112" cm="1">
        <f t="array" ref="BQ3">SUMIFS(BG1:BG108,$BE1:$BE108,"OK",BF1:BF108,$BK3)+SUMIFS(BH1:BH108,$BE1:$BE108,"OK",BI1:BI108,$BK3)</f>
        <v>0</v>
      </c>
      <c r="BR3" s="112" cm="1">
        <f t="array" ref="BR3">SUMIFS(BH1:BH108,$BE1:$BE108,"OK",BF1:BF108,$BK3)+SUMIFS(BG1:BG108,$BE1:$BE108,"OK",BI1:BI108,$BK3)</f>
        <v>0</v>
      </c>
      <c r="BS3" s="113" cm="1">
        <f t="array" ref="BS3">BM3*3+BN3*1+BP3/100+BQ3/10000</f>
        <v>0</v>
      </c>
      <c r="BT3" s="107" cm="1">
        <f t="array" ref="BT3">IF(BL3=0,0,_xlfn.XLOOKUP(BS3,BV3:BV6,BW3:BW6))</f>
        <v>0</v>
      </c>
      <c r="BU3" s="99"/>
      <c r="BV3" s="113" cm="1">
        <f t="array" ref="BV3">LARGE(BS3:BS6,1)</f>
        <v>1.0001</v>
      </c>
      <c r="BW3" s="112" cm="1">
        <f t="array" ref="BW3">BX3/$BW$1</f>
        <v>0.3</v>
      </c>
      <c r="BX3" s="114">
        <v>3</v>
      </c>
      <c r="BY3" s="108" t="str" cm="1">
        <f t="array" ref="BY3">IF(OR(BZ3="-",CC3="-"),"-","OK")</f>
        <v>-</v>
      </c>
      <c r="BZ3" s="109" t="str" cm="1">
        <f t="array" ref="BZ3">IF(_xlfn.XLOOKUP($E3,$AY1:$AY108,$AZ1:$AZ108,"-",0)=BZ1,$E3,"-")</f>
        <v>-</v>
      </c>
      <c r="CA3" s="110" cm="1">
        <f t="array" ref="CA3">$F3</f>
        <v>2</v>
      </c>
      <c r="CB3" s="110" cm="1">
        <f t="array" ref="CB3">$G3</f>
        <v>0</v>
      </c>
      <c r="CC3" s="109" t="str" cm="1">
        <f t="array" ref="CC3">IF(_xlfn.XLOOKUP($H3,$AY1:$AY108,$AZ1:$AZ108,"-",0)=BZ1,$H3,"-")</f>
        <v>-</v>
      </c>
      <c r="CD3" s="74"/>
      <c r="CE3" s="79" t="str" cm="1">
        <f t="array" ref="CE3">BK3</f>
        <v>Mexico</v>
      </c>
      <c r="CF3" s="111" cm="1">
        <f t="array" ref="CF3">COUNTIFS($BY1:$BY108,"OK",$CC1:$CC108,CE3)+COUNTIFS($BY1:$BY108,"OK",$BZ1:$BZ108,CE3)</f>
        <v>0</v>
      </c>
      <c r="CG3" s="112" cm="1">
        <f t="array" ref="CG3">COUNTIFS(P1:P108,$BK3,$BY1:$BY108,"OK")</f>
        <v>0</v>
      </c>
      <c r="CH3" s="112" cm="1">
        <f t="array" ref="CH3">COUNTIFS(K1:K108,$BK3,$BY1:$BY108,"OK")+COUNTIFS(L1:L108,$BK3,$BY1:$BY108,"OK")</f>
        <v>0</v>
      </c>
      <c r="CI3" s="112" cm="1">
        <f t="array" ref="CI3">COUNTIFS(M1:M108,$CE3,$BY1:$BY108,"OK")</f>
        <v>0</v>
      </c>
      <c r="CJ3" s="112" cm="1">
        <f t="array" ref="CJ3">CK3-CL3</f>
        <v>0</v>
      </c>
      <c r="CK3" s="112" cm="1">
        <f t="array" ref="CK3">SUMIFS(CA1:CA108,$BY1:$BY108,"OK",BZ1:BZ108,$BK3)+SUMIFS(CB1:CB108,$BY1:$BY108,"OK",CC1:CC108,$BK3)</f>
        <v>0</v>
      </c>
      <c r="CL3" s="112" cm="1">
        <f t="array" ref="CL3">SUMIFS(CB1:CB108,$BY1:$BY108,"OK",BZ1:BZ108,$BK3)+SUMIFS(CA1:CA108,$BY1:$BY108,"OK",CC1:CC108,$BK3)</f>
        <v>0</v>
      </c>
      <c r="CM3" s="113" cm="1">
        <f t="array" ref="CM3">CG3*3+CH3*1+CJ3/100+CK3/10000</f>
        <v>0</v>
      </c>
      <c r="CN3" s="107" cm="1">
        <f t="array" ref="CN3">IF(CF3=0,0,_xlfn.XLOOKUP(CM3,CP3:CP6,CQ3:CQ6))</f>
        <v>0</v>
      </c>
      <c r="CO3" s="99"/>
      <c r="CP3" s="113" cm="1">
        <f t="array" ref="CP3">LARGE(CM3:CM6,1)</f>
        <v>0</v>
      </c>
      <c r="CQ3" s="112" cm="1">
        <f t="array" ref="CQ3">CR3/$BW$1</f>
        <v>0.3</v>
      </c>
      <c r="CR3" s="114">
        <v>3</v>
      </c>
      <c r="CS3" s="81" cm="1">
        <f t="array" ref="CS3">12*12</f>
        <v>144</v>
      </c>
      <c r="CT3" s="74"/>
      <c r="CU3" s="82"/>
      <c r="CV3" s="115" t="str" cm="1">
        <f t="array" ref="CV3">'Mejores 3eros'!AP3</f>
        <v>Bosnia</v>
      </c>
      <c r="CW3" s="9" t="str" cm="1">
        <f t="array" ref="CW3">_xlfn.XLOOKUP(CV3,'Mejores 3eros'!$BD$2:$BD$13,'Mejores 3eros'!$BG$2:$BG$13,"-",0)</f>
        <v>OUT</v>
      </c>
      <c r="CX3" s="116" t="s">
        <v>118</v>
      </c>
    </row>
    <row r="4" spans="1:102" ht="14.25" customHeight="1">
      <c r="A4" s="85" t="s">
        <v>122</v>
      </c>
      <c r="B4" s="86">
        <v>46184</v>
      </c>
      <c r="C4" s="87"/>
      <c r="D4" s="88"/>
      <c r="E4" s="85" t="s">
        <v>68</v>
      </c>
      <c r="F4" s="89">
        <v>1</v>
      </c>
      <c r="G4" s="89">
        <v>1</v>
      </c>
      <c r="H4" s="90" t="s">
        <v>79</v>
      </c>
      <c r="I4" s="65"/>
      <c r="J4" s="65" t="str" cm="1">
        <f t="array" ref="J4">IF(OR(ISBLANK(F4),ISBLANK(G4)),"",IF(F4&gt;G4,E4,IF(G4&gt;F4,H4,"")))</f>
        <v/>
      </c>
      <c r="K4" s="65" t="str" cm="1">
        <f t="array" ref="K4">IF(OR(ISBLANK(F4),ISBLANK(G4)),"",IF(F4=G4,E4,""))</f>
        <v>Corea del Sur</v>
      </c>
      <c r="L4" s="65" t="str" cm="1">
        <f t="array" ref="L4">IF(OR(ISBLANK(F4),ISBLANK(G4)),"",IF(F4=G4,H4,""))</f>
        <v>Repubilca Checa</v>
      </c>
      <c r="M4" s="65" t="str" cm="1">
        <f t="array" ref="M4">IF(OR(ISBLANK(F4),ISBLANK(G4)),"",IF(F4&lt;G4,E4,IF(G4&lt;F4,H4,"")))</f>
        <v/>
      </c>
      <c r="N4" s="65"/>
      <c r="O4" s="67" t="str" cm="1">
        <f t="array" ref="O4">H3</f>
        <v>Sudafrica</v>
      </c>
      <c r="P4" s="91" cm="1">
        <f t="array" ref="P4">COUNTIF(J3:J8,"="&amp;$O4)</f>
        <v>0</v>
      </c>
      <c r="Q4" s="91" cm="1">
        <f t="array" ref="Q4">COUNTIF(K3:L8,"="&amp;$O4)</f>
        <v>0</v>
      </c>
      <c r="R4" s="91" cm="1">
        <f t="array" ref="R4">COUNTIF(M3:M8,"="&amp;$O4)</f>
        <v>3</v>
      </c>
      <c r="S4" s="91" cm="1">
        <f t="array" ref="S4">T4-U4</f>
        <v>-4</v>
      </c>
      <c r="T4" s="91" cm="1">
        <f t="array" ref="T4">SUMIF(E3:E8,$O4,F3:F8)+SUMIF(H3:H8,$O4,G3:G8)</f>
        <v>0</v>
      </c>
      <c r="U4" s="91" cm="1">
        <f t="array" ref="U4">SUMIF(E3:E8,$O4,G3:G8)+SUMIF(H3:H8,$O4,F3:F8)</f>
        <v>4</v>
      </c>
      <c r="V4" s="92" cm="1">
        <f t="array" ref="V4">P4*3+Q4*1+BT4+CN4+S4/1000+T4/10000+AV4/1000000+ROW()/10000000</f>
        <v>-3.9995999999999999E-3</v>
      </c>
      <c r="W4" s="67" t="str" cm="1">
        <f t="array" ref="W4">O4</f>
        <v>Sudafrica</v>
      </c>
      <c r="X4" s="65"/>
      <c r="Y4" s="117" t="str" cm="1">
        <f t="array" ref="Y4">CONCATENATE("2",RIGHT(E2,1))</f>
        <v>2A</v>
      </c>
      <c r="Z4" s="118" t="str" cm="1">
        <f t="array" ref="Z4">VLOOKUP(AL4,V3:W6,2,FALSE)</f>
        <v>Corea del Sur</v>
      </c>
      <c r="AA4" s="119" cm="1">
        <f t="array" ref="AA4">SUM(AB4:AD4)</f>
        <v>3</v>
      </c>
      <c r="AB4" s="120" cm="1">
        <f t="array" ref="AB4">VLOOKUP($Z4,$O$3:$U$6,COLUMN()-26,FALSE)</f>
        <v>1</v>
      </c>
      <c r="AC4" s="120" cm="1">
        <f t="array" ref="AC4">VLOOKUP($Z4,$O$3:$U$6,COLUMN()-26,FALSE)</f>
        <v>1</v>
      </c>
      <c r="AD4" s="120" cm="1">
        <f t="array" ref="AD4">VLOOKUP($Z4,$O$3:$U$6,COLUMN()-26,FALSE)</f>
        <v>1</v>
      </c>
      <c r="AE4" s="120" cm="1">
        <f t="array" ref="AE4">VLOOKUP($Z4,$O$3:$U$6,COLUMN()-26,FALSE)</f>
        <v>0</v>
      </c>
      <c r="AF4" s="120" cm="1">
        <f t="array" ref="AF4">VLOOKUP($Z4,$O$3:$U$6,COLUMN()-26,FALSE)</f>
        <v>3</v>
      </c>
      <c r="AG4" s="120" cm="1">
        <f t="array" ref="AG4">VLOOKUP($Z4,$O$3:$U$6,COLUMN()-26,FALSE)</f>
        <v>3</v>
      </c>
      <c r="AH4" s="121" cm="1">
        <f t="array" ref="AH4">VLOOKUP($Z4,$O$3:$V$6,COLUMN()-26,FALSE)</f>
        <v>4.3003004999999996</v>
      </c>
      <c r="AI4" s="98"/>
      <c r="AJ4" s="74"/>
      <c r="AK4" s="74"/>
      <c r="AL4" s="99" cm="1">
        <f t="array" ref="AL4">LARGE(V3:V6,2)</f>
        <v>4.3003004999999996</v>
      </c>
      <c r="AM4" s="100" cm="1">
        <f t="array" ref="AM4">(AH4-AL4)*100000000000000000000</f>
        <v>0</v>
      </c>
      <c r="AN4" s="74"/>
      <c r="AO4" s="74"/>
      <c r="AP4" s="101" t="str" cm="1">
        <f t="array" ref="AP4">O4</f>
        <v>Sudafrica</v>
      </c>
      <c r="AQ4" s="102" cm="1">
        <f t="array" ref="AQ4">P4*3+Q4*1+BT4+CN4+S4/1000+T4/10000</f>
        <v>-4.0000000000000001E-3</v>
      </c>
      <c r="AR4" s="102" t="b" cm="1">
        <f t="array" ref="AR4">IF(OR(AQ4=AQ5,AQ4=AQ6),1)</f>
        <v>0</v>
      </c>
      <c r="AS4" s="103" cm="1">
        <f t="array" ref="AS4">AV4</f>
        <v>0</v>
      </c>
      <c r="AT4" s="103" cm="1">
        <f t="array" ref="AT4">IF(AND(AM7="si",OR(AR3=1,AR4=1,AR5=1)),1,0)</f>
        <v>0</v>
      </c>
      <c r="AU4" s="122" t="str" cm="1">
        <f t="array" ref="AU4">O4</f>
        <v>Sudafrica</v>
      </c>
      <c r="AV4" s="101"/>
      <c r="AW4" s="106"/>
      <c r="AX4" s="74" t="str" cm="1">
        <f t="array" ref="AX4">Y2</f>
        <v>Grupo A</v>
      </c>
      <c r="AY4" s="76" t="str" cm="1">
        <f t="array" ref="AY4">O4</f>
        <v>Sudafrica</v>
      </c>
      <c r="AZ4" s="107" cm="1">
        <f t="array" ref="AZ4">P4*3+Q4</f>
        <v>0</v>
      </c>
      <c r="BA4" s="107" cm="1">
        <f t="array" ref="BA4">COUNTIFS($AX$1:AX4,AX4,$AZ$1:AZ4,AZ4)</f>
        <v>1</v>
      </c>
      <c r="BB4" s="107" cm="1">
        <f t="array" ref="BB4">IF(AZ4=BF1,ROW()*0.001,AZ4)</f>
        <v>0</v>
      </c>
      <c r="BC4" s="107" cm="1">
        <f t="array" ref="BC4">COUNTIFS($AX$1:AZ4,AZ4,$AZ$1:BB4,BB4)</f>
        <v>1</v>
      </c>
      <c r="BD4" s="107"/>
      <c r="BE4" s="108" t="str" cm="1">
        <f t="array" ref="BE4">IF(OR(BF4="-",BI4="-",BF1=0),"-","OK")</f>
        <v>OK</v>
      </c>
      <c r="BF4" s="109" t="str" cm="1">
        <f t="array" ref="BF4">IF(_xlfn.XLOOKUP($E4,$AY1:$AY108,$AZ1:$AZ108,"-",0)=BF1,$E4,"-")</f>
        <v>Corea del Sur</v>
      </c>
      <c r="BG4" s="110" cm="1">
        <f t="array" ref="BG4">$F4</f>
        <v>1</v>
      </c>
      <c r="BH4" s="110" cm="1">
        <f t="array" ref="BH4">$G4</f>
        <v>1</v>
      </c>
      <c r="BI4" s="109" t="str" cm="1">
        <f t="array" ref="BI4">IF(_xlfn.XLOOKUP($H4,$AY1:$AY108,$AZ1:$AZ108,"-",0)=BF1,$H4,"-")</f>
        <v>Repubilca Checa</v>
      </c>
      <c r="BJ4" s="74"/>
      <c r="BK4" s="79" t="str" cm="1">
        <f t="array" ref="BK4">O4</f>
        <v>Sudafrica</v>
      </c>
      <c r="BL4" s="111" cm="1">
        <f t="array" ref="BL4">COUNTIFS($BE1:$BE108,"OK",$BI1:$BI108,BK4)+COUNTIFS($BE1:$BE108,"OK",$BF1:$BF108,BK4)</f>
        <v>0</v>
      </c>
      <c r="BM4" s="112" cm="1">
        <f t="array" ref="BM4">COUNTIFS(J1:J108,$BK4,$BE1:$BE108,"OK")</f>
        <v>0</v>
      </c>
      <c r="BN4" s="112" cm="1">
        <f t="array" ref="BN4">COUNTIFS(K1:K108,$BK4,$BE1:$BE108,"OK")+COUNTIFS(L1:L108,$BK4,$BE1:$BE108,"OK")</f>
        <v>0</v>
      </c>
      <c r="BO4" s="112" cm="1">
        <f t="array" ref="BO4">COUNTIFS(M1:M108,$BK4,$BE1:$BE108,"OK")</f>
        <v>0</v>
      </c>
      <c r="BP4" s="112" cm="1">
        <f t="array" ref="BP4">BQ4-BR4</f>
        <v>0</v>
      </c>
      <c r="BQ4" s="112" cm="1">
        <f t="array" ref="BQ4">SUMIFS(BG1:BG108,$BE1:$BE108,"OK",BF1:BF108,$BK4)+SUMIFS(BH1:BH108,$BE1:$BE108,"OK",BI1:BI108,$BK4)</f>
        <v>0</v>
      </c>
      <c r="BR4" s="112" cm="1">
        <f t="array" ref="BR4">SUMIFS(BH1:BH108,$BE1:$BE108,"OK",BF1:BF108,$BK4)+SUMIFS(BG1:BG108,$BE1:$BE108,"OK",BI1:BI108,$BK4)</f>
        <v>0</v>
      </c>
      <c r="BS4" s="113" cm="1">
        <f t="array" ref="BS4">BM4*3+BN4*1+BP4/100+BQ4/10000</f>
        <v>0</v>
      </c>
      <c r="BT4" s="107" cm="1">
        <f t="array" ref="BT4">IF(BL4=0,0,_xlfn.XLOOKUP(BS4,BV3:BV6,BW3:BW6))</f>
        <v>0</v>
      </c>
      <c r="BU4" s="99"/>
      <c r="BV4" s="113" cm="1">
        <f t="array" ref="BV4">LARGE(BS3:BS6,2)</f>
        <v>1.0001</v>
      </c>
      <c r="BW4" s="112" cm="1">
        <f t="array" ref="BW4">BX4/$BW$1</f>
        <v>0.2</v>
      </c>
      <c r="BX4" s="114">
        <v>2</v>
      </c>
      <c r="BY4" s="108" t="str" cm="1">
        <f t="array" ref="BY4">IF(OR(BZ4="-",CC4="-"),"-","OK")</f>
        <v>-</v>
      </c>
      <c r="BZ4" s="109" t="str" cm="1">
        <f t="array" ref="BZ4">IF(_xlfn.XLOOKUP($E4,$AY1:$AY108,$AZ1:$AZ108,"-",0)=BZ1,$E4,"-")</f>
        <v>-</v>
      </c>
      <c r="CA4" s="110" cm="1">
        <f t="array" ref="CA4">$F4</f>
        <v>1</v>
      </c>
      <c r="CB4" s="110" cm="1">
        <f t="array" ref="CB4">$G4</f>
        <v>1</v>
      </c>
      <c r="CC4" s="109" t="str" cm="1">
        <f t="array" ref="CC4">IF(_xlfn.XLOOKUP($H4,$AY1:$AY108,$AZ1:$AZ108,"-",0)=BZ1,$H4,"-")</f>
        <v>-</v>
      </c>
      <c r="CD4" s="74"/>
      <c r="CE4" s="79" t="str" cm="1">
        <f t="array" ref="CE4">BK4</f>
        <v>Sudafrica</v>
      </c>
      <c r="CF4" s="111" cm="1">
        <f t="array" ref="CF4">COUNTIFS($BY1:$BY108,"OK",$CC1:$CC108,CE4)+COUNTIFS($BY1:$BY108,"OK",$BZ1:$BZ108,CE4)</f>
        <v>0</v>
      </c>
      <c r="CG4" s="112" cm="1">
        <f t="array" ref="CG4">COUNTIFS(P1:P108,$BK4,$BY1:$BY108,"OK")</f>
        <v>0</v>
      </c>
      <c r="CH4" s="112" cm="1">
        <f t="array" ref="CH4">COUNTIFS(K1:K108,$BK4,$BY1:$BY108,"OK")+COUNTIFS(L1:L108,$BK4,$BY1:$BY108,"OK")</f>
        <v>0</v>
      </c>
      <c r="CI4" s="112" cm="1">
        <f t="array" ref="CI4">COUNTIFS(M1:M108,$CE4,$BY1:$BY108,"OK")</f>
        <v>0</v>
      </c>
      <c r="CJ4" s="112" cm="1">
        <f t="array" ref="CJ4">CK4-CL4</f>
        <v>0</v>
      </c>
      <c r="CK4" s="112" cm="1">
        <f t="array" ref="CK4">SUMIFS(CA1:CA108,$BY1:$BY108,"OK",BZ1:BZ108,$BK4)+SUMIFS(CB1:CB108,$BY1:$BY108,"OK",CC1:CC108,$BK4)</f>
        <v>0</v>
      </c>
      <c r="CL4" s="112" cm="1">
        <f t="array" ref="CL4">SUMIFS(CB1:CB108,$BY1:$BY108,"OK",BZ1:BZ108,$BK4)+SUMIFS(CA1:CA108,$BY1:$BY108,"OK",CC1:CC108,$BK4)</f>
        <v>0</v>
      </c>
      <c r="CM4" s="113" cm="1">
        <f t="array" ref="CM4">CG4*3+CH4*1+CJ4/100+CK4/10000</f>
        <v>0</v>
      </c>
      <c r="CN4" s="107" cm="1">
        <f t="array" ref="CN4">IF(CF4=0,0,_xlfn.XLOOKUP(CM4,CP3:CP6,CQ3:CQ6))</f>
        <v>0</v>
      </c>
      <c r="CO4" s="99"/>
      <c r="CP4" s="113" cm="1">
        <f t="array" ref="CP4">LARGE(CM3:CM6,2)</f>
        <v>0</v>
      </c>
      <c r="CQ4" s="112" cm="1">
        <f t="array" ref="CQ4">CR4/$BW$1</f>
        <v>0.2</v>
      </c>
      <c r="CR4" s="114">
        <v>2</v>
      </c>
      <c r="CS4" s="123" t="str" cm="1">
        <f t="array" ref="CS4">IF(CS2=CS3,"OK","-")</f>
        <v>OK</v>
      </c>
      <c r="CT4" s="74"/>
      <c r="CU4" s="82"/>
      <c r="CV4" s="115" t="str" cm="1">
        <f t="array" ref="CV4">'Mejores 3eros'!AP4</f>
        <v>Escocia</v>
      </c>
      <c r="CW4" s="9" t="str" cm="1">
        <f t="array" ref="CW4">_xlfn.XLOOKUP(CV4,'Mejores 3eros'!$BD$2:$BD$13,'Mejores 3eros'!$BG$2:$BG$13,"-",0)</f>
        <v>IN</v>
      </c>
      <c r="CX4" s="124"/>
    </row>
    <row r="5" spans="1:102" ht="14.25" customHeight="1">
      <c r="A5" s="85" t="s">
        <v>124</v>
      </c>
      <c r="B5" s="86">
        <v>46191</v>
      </c>
      <c r="C5" s="87"/>
      <c r="D5" s="88"/>
      <c r="E5" s="85" t="s">
        <v>79</v>
      </c>
      <c r="F5" s="89">
        <v>1</v>
      </c>
      <c r="G5" s="89">
        <v>0</v>
      </c>
      <c r="H5" s="90" t="s">
        <v>82</v>
      </c>
      <c r="I5" s="65"/>
      <c r="J5" s="65" t="str" cm="1">
        <f t="array" ref="J5">IF(OR(ISBLANK(F5),ISBLANK(G5)),"",IF(F5&gt;G5,E5,IF(G5&gt;F5,H5,"")))</f>
        <v>Repubilca Checa</v>
      </c>
      <c r="K5" s="65" t="str" cm="1">
        <f t="array" ref="K5">IF(OR(ISBLANK(F5),ISBLANK(G5)),"",IF(F5=G5,E5,""))</f>
        <v/>
      </c>
      <c r="L5" s="65" t="str" cm="1">
        <f t="array" ref="L5">IF(OR(ISBLANK(F5),ISBLANK(G5)),"",IF(F5=G5,H5,""))</f>
        <v/>
      </c>
      <c r="M5" s="65" t="str" cm="1">
        <f t="array" ref="M5">IF(OR(ISBLANK(F5),ISBLANK(G5)),"",IF(F5&lt;G5,E5,IF(G5&lt;F5,H5,"")))</f>
        <v>Sudafrica</v>
      </c>
      <c r="N5" s="65"/>
      <c r="O5" s="67" t="str" cm="1">
        <f t="array" ref="O5">E4</f>
        <v>Corea del Sur</v>
      </c>
      <c r="P5" s="91" cm="1">
        <f t="array" ref="P5">COUNTIF(J3:J8,"="&amp;$O5)</f>
        <v>1</v>
      </c>
      <c r="Q5" s="91" cm="1">
        <f t="array" ref="Q5">COUNTIF(K3:L8,"="&amp;$O5)</f>
        <v>1</v>
      </c>
      <c r="R5" s="91" cm="1">
        <f t="array" ref="R5">COUNTIF(M3:M8,"="&amp;$O5)</f>
        <v>1</v>
      </c>
      <c r="S5" s="91" cm="1">
        <f t="array" ref="S5">T5-U5</f>
        <v>0</v>
      </c>
      <c r="T5" s="91" cm="1">
        <f t="array" ref="T5">SUMIF(E3:E8,$O5,F3:F8)+SUMIF(H3:H8,$O5,G3:G8)</f>
        <v>3</v>
      </c>
      <c r="U5" s="91" cm="1">
        <f t="array" ref="U5">SUMIF(E3:E8,$O5,G3:G8)+SUMIF(H3:H8,$O5,F3:F8)</f>
        <v>3</v>
      </c>
      <c r="V5" s="92" cm="1">
        <f t="array" ref="V5">P5*3+Q5*1+BT5+CN5+S5/1000+T5/10000+AV5/1000000+ROW()/10000000</f>
        <v>4.3003004999999996</v>
      </c>
      <c r="W5" s="67" t="str" cm="1">
        <f t="array" ref="W5">O5</f>
        <v>Corea del Sur</v>
      </c>
      <c r="X5" s="65"/>
      <c r="Y5" s="125" t="str" cm="1">
        <f t="array" ref="Y5">CONCATENATE("3",RIGHT(E2,1))</f>
        <v>3A</v>
      </c>
      <c r="Z5" s="126" t="str" cm="1">
        <f t="array" ref="Z5">VLOOKUP(AL5,V3:W6,2,FALSE)</f>
        <v>Repubilca Checa</v>
      </c>
      <c r="AA5" s="127" cm="1">
        <f t="array" ref="AA5">SUM(AB5:AD5)</f>
        <v>3</v>
      </c>
      <c r="AB5" s="128" cm="1">
        <f t="array" ref="AB5">VLOOKUP($Z5,$O$3:$U$6,COLUMN()-26,FALSE)</f>
        <v>1</v>
      </c>
      <c r="AC5" s="128" cm="1">
        <f t="array" ref="AC5">VLOOKUP($Z5,$O$3:$U$6,COLUMN()-26,FALSE)</f>
        <v>1</v>
      </c>
      <c r="AD5" s="128" cm="1">
        <f t="array" ref="AD5">VLOOKUP($Z5,$O$3:$U$6,COLUMN()-26,FALSE)</f>
        <v>1</v>
      </c>
      <c r="AE5" s="128" cm="1">
        <f t="array" ref="AE5">VLOOKUP($Z5,$O$3:$U$6,COLUMN()-26,FALSE)</f>
        <v>0</v>
      </c>
      <c r="AF5" s="128" cm="1">
        <f t="array" ref="AF5">VLOOKUP($Z5,$O$3:$U$6,COLUMN()-26,FALSE)</f>
        <v>2</v>
      </c>
      <c r="AG5" s="128" cm="1">
        <f t="array" ref="AG5">VLOOKUP($Z5,$O$3:$U$6,COLUMN()-26,FALSE)</f>
        <v>2</v>
      </c>
      <c r="AH5" s="129" cm="1">
        <f t="array" ref="AH5">VLOOKUP($Z5,$O$3:$V$6,COLUMN()-26,FALSE)</f>
        <v>4.3002006000000002</v>
      </c>
      <c r="AI5" s="130" cm="1">
        <f t="array" ref="AI5">(COUNTIFS($CV$2:$CV$13,Z5,$CX$2:$CX$13,"IN")+COUNTIFS($CV$2:$CV$13,Z5,$CW$2:$CW$13,"IN"))*IF(SUM(AA3:AA6)=12,1,0)</f>
        <v>1</v>
      </c>
      <c r="AJ5" s="74"/>
      <c r="AK5" s="74"/>
      <c r="AL5" s="99" cm="1">
        <f t="array" ref="AL5">LARGE(V3:V6,3)</f>
        <v>4.3002006000000002</v>
      </c>
      <c r="AM5" s="100" cm="1">
        <f t="array" ref="AM5">(AH5-AL5)*100000000000000000000</f>
        <v>0</v>
      </c>
      <c r="AN5" s="74"/>
      <c r="AO5" s="74"/>
      <c r="AP5" s="101" t="str" cm="1">
        <f t="array" ref="AP5">O5</f>
        <v>Corea del Sur</v>
      </c>
      <c r="AQ5" s="102" cm="1">
        <f t="array" ref="AQ5">P5*3+Q5*1+BT5+CN5+S5/1000+T5/10000</f>
        <v>4.3003</v>
      </c>
      <c r="AR5" s="102" t="b" cm="1">
        <f t="array" ref="AR5">IF(OR(AQ5=AQ6),1)</f>
        <v>0</v>
      </c>
      <c r="AS5" s="103" cm="1">
        <f t="array" ref="AS5">AV5</f>
        <v>0</v>
      </c>
      <c r="AT5" s="103" cm="1">
        <f t="array" ref="AT5">IF(AND(AM7="si",OR(AR3=1,AR4=1,AR5=1)),1,0)</f>
        <v>0</v>
      </c>
      <c r="AU5" s="122" t="str" cm="1">
        <f t="array" ref="AU5">O5</f>
        <v>Corea del Sur</v>
      </c>
      <c r="AV5" s="101"/>
      <c r="AW5" s="106"/>
      <c r="AX5" s="74" t="str" cm="1">
        <f t="array" ref="AX5">Y2</f>
        <v>Grupo A</v>
      </c>
      <c r="AY5" s="76" t="str" cm="1">
        <f t="array" ref="AY5">O5</f>
        <v>Corea del Sur</v>
      </c>
      <c r="AZ5" s="107" cm="1">
        <f t="array" ref="AZ5">P5*3+Q5</f>
        <v>4</v>
      </c>
      <c r="BA5" s="107" cm="1">
        <f t="array" ref="BA5">COUNTIFS($AX$1:AX5,AX5,$AZ$1:AZ5,AZ5)</f>
        <v>1</v>
      </c>
      <c r="BB5" s="107" cm="1">
        <f t="array" ref="BB5">IF(AZ5=BF1,ROW()*0.001,AZ5)</f>
        <v>5.0000000000000001E-3</v>
      </c>
      <c r="BC5" s="107" cm="1">
        <f t="array" ref="BC5">COUNTIFS($AX$1:AZ5,AZ5,$AZ$1:BB5,BB5)</f>
        <v>1</v>
      </c>
      <c r="BD5" s="107"/>
      <c r="BE5" s="108" t="str" cm="1">
        <f t="array" ref="BE5">IF(OR(BF5="-",BI5="-",BF1=0),"-","OK")</f>
        <v>-</v>
      </c>
      <c r="BF5" s="109" t="str" cm="1">
        <f t="array" ref="BF5">IF(_xlfn.XLOOKUP($E5,$AY1:$AY108,$AZ1:$AZ108,"-",0)=BF1,$E5,"-")</f>
        <v>Repubilca Checa</v>
      </c>
      <c r="BG5" s="110" cm="1">
        <f t="array" ref="BG5">$F5</f>
        <v>1</v>
      </c>
      <c r="BH5" s="110" cm="1">
        <f t="array" ref="BH5">$G5</f>
        <v>0</v>
      </c>
      <c r="BI5" s="109" t="str" cm="1">
        <f t="array" ref="BI5">IF(_xlfn.XLOOKUP($H5,$AY1:$AY108,$AZ1:$AZ108,"-",0)=BF1,$H5,"-")</f>
        <v>-</v>
      </c>
      <c r="BJ5" s="74"/>
      <c r="BK5" s="79" t="str" cm="1">
        <f t="array" ref="BK5">O5</f>
        <v>Corea del Sur</v>
      </c>
      <c r="BL5" s="111" cm="1">
        <f t="array" ref="BL5">COUNTIFS($BE1:$BE108,"OK",$BI1:$BI108,BK5)+COUNTIFS($BE1:$BE108,"OK",$BF1:$BF108,BK5)</f>
        <v>1</v>
      </c>
      <c r="BM5" s="112" cm="1">
        <f t="array" ref="BM5">COUNTIFS(J1:J108,$BK5,$BE1:$BE108,"OK")</f>
        <v>0</v>
      </c>
      <c r="BN5" s="112" cm="1">
        <f t="array" ref="BN5">COUNTIFS(K1:K108,$BK5,$BE1:$BE108,"OK")+COUNTIFS(L1:L108,$BK5,$BE1:$BE108,"OK")</f>
        <v>1</v>
      </c>
      <c r="BO5" s="112" cm="1">
        <f t="array" ref="BO5">COUNTIFS(M1:M108,$BK5,$BE1:$BE108,"OK")</f>
        <v>0</v>
      </c>
      <c r="BP5" s="112" cm="1">
        <f t="array" ref="BP5">BQ5-BR5</f>
        <v>0</v>
      </c>
      <c r="BQ5" s="112" cm="1">
        <f t="array" ref="BQ5">SUMIFS(BG1:BG108,$BE1:$BE108,"OK",BF1:BF108,$BK5)+SUMIFS(BH1:BH108,$BE1:$BE108,"OK",BI1:BI108,$BK5)</f>
        <v>1</v>
      </c>
      <c r="BR5" s="112" cm="1">
        <f t="array" ref="BR5">SUMIFS(BH1:BH108,$BE1:$BE108,"OK",BF1:BF108,$BK5)+SUMIFS(BG1:BG108,$BE1:$BE108,"OK",BI1:BI108,$BK5)</f>
        <v>1</v>
      </c>
      <c r="BS5" s="113" cm="1">
        <f t="array" ref="BS5">BM5*3+BN5*1+BP5/100+BQ5/10000</f>
        <v>1.0001</v>
      </c>
      <c r="BT5" s="107" cm="1">
        <f t="array" ref="BT5">IF(BL5=0,0,_xlfn.XLOOKUP(BS5,BV3:BV6,BW3:BW6))</f>
        <v>0.3</v>
      </c>
      <c r="BU5" s="99"/>
      <c r="BV5" s="113" cm="1">
        <f t="array" ref="BV5">LARGE(BS3:BS6,3)</f>
        <v>0</v>
      </c>
      <c r="BW5" s="112" cm="1">
        <f t="array" ref="BW5">BX5/$BW$1</f>
        <v>0.1</v>
      </c>
      <c r="BX5" s="114">
        <v>1</v>
      </c>
      <c r="BY5" s="108" t="str" cm="1">
        <f t="array" ref="BY5">IF(OR(BZ5="-",CC5="-"),"-","OK")</f>
        <v>-</v>
      </c>
      <c r="BZ5" s="109" t="str" cm="1">
        <f t="array" ref="BZ5">IF(_xlfn.XLOOKUP($E5,$AY1:$AY108,$AZ1:$AZ108,"-",0)=BZ1,$E5,"-")</f>
        <v>-</v>
      </c>
      <c r="CA5" s="110" cm="1">
        <f t="array" ref="CA5">$F5</f>
        <v>1</v>
      </c>
      <c r="CB5" s="110" cm="1">
        <f t="array" ref="CB5">$G5</f>
        <v>0</v>
      </c>
      <c r="CC5" s="109" t="str" cm="1">
        <f t="array" ref="CC5">IF(_xlfn.XLOOKUP($H5,$AY1:$AY108,$AZ1:$AZ108,"-",0)=BZ1,$H5,"-")</f>
        <v>-</v>
      </c>
      <c r="CD5" s="74"/>
      <c r="CE5" s="79" t="str" cm="1">
        <f t="array" ref="CE5">BK5</f>
        <v>Corea del Sur</v>
      </c>
      <c r="CF5" s="111" cm="1">
        <f t="array" ref="CF5">COUNTIFS($BY1:$BY108,"OK",$CC1:$CC108,CE5)+COUNTIFS($BY1:$BY108,"OK",$BZ1:$BZ108,CE5)</f>
        <v>0</v>
      </c>
      <c r="CG5" s="112" cm="1">
        <f t="array" ref="CG5">COUNTIFS(P1:P108,$BK5,$BY1:$BY108,"OK")</f>
        <v>0</v>
      </c>
      <c r="CH5" s="112" cm="1">
        <f t="array" ref="CH5">COUNTIFS(K1:K108,$BK5,$BY1:$BY108,"OK")+COUNTIFS(L1:L108,$BK5,$BY1:$BY108,"OK")</f>
        <v>0</v>
      </c>
      <c r="CI5" s="112" cm="1">
        <f t="array" ref="CI5">COUNTIFS(M1:M108,$CE5,$BY1:$BY108,"OK")</f>
        <v>0</v>
      </c>
      <c r="CJ5" s="112" cm="1">
        <f t="array" ref="CJ5">CK5-CL5</f>
        <v>0</v>
      </c>
      <c r="CK5" s="112" cm="1">
        <f t="array" ref="CK5">SUMIFS(CA1:CA108,$BY1:$BY108,"OK",BZ1:BZ108,$BK5)+SUMIFS(CB1:CB108,$BY1:$BY108,"OK",CC1:CC108,$BK5)</f>
        <v>0</v>
      </c>
      <c r="CL5" s="112" cm="1">
        <f t="array" ref="CL5">SUMIFS(CB1:CB108,$BY1:$BY108,"OK",BZ1:BZ108,$BK5)+SUMIFS(CA1:CA108,$BY1:$BY108,"OK",CC1:CC108,$BK5)</f>
        <v>0</v>
      </c>
      <c r="CM5" s="113" cm="1">
        <f t="array" ref="CM5">CG5*3+CH5*1+CJ5/100+CK5/10000</f>
        <v>0</v>
      </c>
      <c r="CN5" s="107" cm="1">
        <f t="array" ref="CN5">IF(CF5=0,0,_xlfn.XLOOKUP(CM5,CP3:CP6,CQ3:CQ6))</f>
        <v>0</v>
      </c>
      <c r="CO5" s="99"/>
      <c r="CP5" s="113" cm="1">
        <f t="array" ref="CP5">LARGE(CM3:CM6,3)</f>
        <v>0</v>
      </c>
      <c r="CQ5" s="112" cm="1">
        <f t="array" ref="CQ5">CR5/$BW$1</f>
        <v>0.1</v>
      </c>
      <c r="CR5" s="114">
        <v>1</v>
      </c>
      <c r="CS5" s="74"/>
      <c r="CT5" s="74"/>
      <c r="CU5" s="82"/>
      <c r="CV5" s="115" t="str" cm="1">
        <f t="array" ref="CV5">'Mejores 3eros'!AP5</f>
        <v>Turquia</v>
      </c>
      <c r="CW5" s="9" t="str" cm="1">
        <f t="array" ref="CW5">_xlfn.XLOOKUP(CV5,'Mejores 3eros'!$BD$2:$BD$13,'Mejores 3eros'!$BG$2:$BG$13,"-",0)</f>
        <v>IN</v>
      </c>
      <c r="CX5" s="116" t="s">
        <v>118</v>
      </c>
    </row>
    <row r="6" spans="1:102" ht="14.25" customHeight="1">
      <c r="A6" s="85" t="s">
        <v>126</v>
      </c>
      <c r="B6" s="86">
        <v>46191</v>
      </c>
      <c r="C6" s="87"/>
      <c r="D6" s="88"/>
      <c r="E6" s="85" t="s">
        <v>62</v>
      </c>
      <c r="F6" s="89">
        <v>2</v>
      </c>
      <c r="G6" s="89">
        <v>1</v>
      </c>
      <c r="H6" s="90" t="s">
        <v>68</v>
      </c>
      <c r="I6" s="65"/>
      <c r="J6" s="65" t="str" cm="1">
        <f t="array" ref="J6">IF(OR(ISBLANK(F6),ISBLANK(G6)),"",IF(F6&gt;G6,E6,IF(G6&gt;F6,H6,"")))</f>
        <v>Mexico</v>
      </c>
      <c r="K6" s="65" t="str" cm="1">
        <f t="array" ref="K6">IF(OR(ISBLANK(F6),ISBLANK(G6)),"",IF(F6=G6,E6,""))</f>
        <v/>
      </c>
      <c r="L6" s="65" t="str" cm="1">
        <f t="array" ref="L6">IF(OR(ISBLANK(F6),ISBLANK(G6)),"",IF(F6=G6,H6,""))</f>
        <v/>
      </c>
      <c r="M6" s="65" t="str" cm="1">
        <f t="array" ref="M6">IF(OR(ISBLANK(F6),ISBLANK(G6)),"",IF(F6&lt;G6,E6,IF(G6&lt;F6,H6,"")))</f>
        <v>Corea del Sur</v>
      </c>
      <c r="N6" s="65"/>
      <c r="O6" s="67" t="str" cm="1">
        <f t="array" ref="O6">H4</f>
        <v>Repubilca Checa</v>
      </c>
      <c r="P6" s="91" cm="1">
        <f t="array" ref="P6">COUNTIF(J3:J8,"="&amp;$O6)</f>
        <v>1</v>
      </c>
      <c r="Q6" s="91" cm="1">
        <f t="array" ref="Q6">COUNTIF(K3:L8,"="&amp;$O6)</f>
        <v>1</v>
      </c>
      <c r="R6" s="91" cm="1">
        <f t="array" ref="R6">COUNTIF(M3:M8,"="&amp;$O6)</f>
        <v>1</v>
      </c>
      <c r="S6" s="91" cm="1">
        <f t="array" ref="S6">T6-U6</f>
        <v>0</v>
      </c>
      <c r="T6" s="91" cm="1">
        <f t="array" ref="T6">SUMIF(E3:E8,$O6,F3:F8)+SUMIF(H3:H8,$O6,G3:G8)</f>
        <v>2</v>
      </c>
      <c r="U6" s="91" cm="1">
        <f t="array" ref="U6">SUMIF(E3:E8,$O6,G3:G8)+SUMIF(H3:H8,$O6,F3:F8)</f>
        <v>2</v>
      </c>
      <c r="V6" s="92" cm="1">
        <f t="array" ref="V6">P6*3+Q6*1+BT6+CN6+S6/1000+T6/10000+AV6/1000000+ROW()/10000000</f>
        <v>4.3002006000000002</v>
      </c>
      <c r="W6" s="67" t="str" cm="1">
        <f t="array" ref="W6">O6</f>
        <v>Repubilca Checa</v>
      </c>
      <c r="X6" s="65"/>
      <c r="Y6" s="131" t="str" cm="1">
        <f t="array" ref="Y6">CONCATENATE("4",RIGHT(E2,1))</f>
        <v>4A</v>
      </c>
      <c r="Z6" s="132" t="str" cm="1">
        <f t="array" ref="Z6">VLOOKUP(AL6,V3:W6,2,FALSE)</f>
        <v>Sudafrica</v>
      </c>
      <c r="AA6" s="133" cm="1">
        <f t="array" ref="AA6">SUM(AB6:AD6)</f>
        <v>3</v>
      </c>
      <c r="AB6" s="134" cm="1">
        <f t="array" ref="AB6">VLOOKUP($Z6,$O$3:$U$6,COLUMN()-26,FALSE)</f>
        <v>0</v>
      </c>
      <c r="AC6" s="134" cm="1">
        <f t="array" ref="AC6">VLOOKUP($Z6,$O$3:$U$6,COLUMN()-26,FALSE)</f>
        <v>0</v>
      </c>
      <c r="AD6" s="134" cm="1">
        <f t="array" ref="AD6">VLOOKUP($Z6,$O$3:$U$6,COLUMN()-26,FALSE)</f>
        <v>3</v>
      </c>
      <c r="AE6" s="134" cm="1">
        <f t="array" ref="AE6">VLOOKUP($Z6,$O$3:$U$6,COLUMN()-26,FALSE)</f>
        <v>-4</v>
      </c>
      <c r="AF6" s="134" cm="1">
        <f t="array" ref="AF6">VLOOKUP($Z6,$O$3:$U$6,COLUMN()-26,FALSE)</f>
        <v>0</v>
      </c>
      <c r="AG6" s="134" cm="1">
        <f t="array" ref="AG6">VLOOKUP($Z6,$O$3:$U$6,COLUMN()-26,FALSE)</f>
        <v>4</v>
      </c>
      <c r="AH6" s="135" cm="1">
        <f t="array" ref="AH6">VLOOKUP($Z6,$O$3:$V$6,COLUMN()-26,FALSE)</f>
        <v>-3.9995999999999999E-3</v>
      </c>
      <c r="AI6" s="130"/>
      <c r="AJ6" s="74"/>
      <c r="AK6" s="74"/>
      <c r="AL6" s="99" cm="1">
        <f t="array" ref="AL6">LARGE(V3:V6,4)</f>
        <v>-3.9995999999999999E-3</v>
      </c>
      <c r="AM6" s="100" cm="1">
        <f t="array" ref="AM6">(AH6-AL6)*100000000000000000000</f>
        <v>0</v>
      </c>
      <c r="AN6" s="74"/>
      <c r="AO6" s="74"/>
      <c r="AP6" s="101" t="str" cm="1">
        <f t="array" ref="AP6">O6</f>
        <v>Repubilca Checa</v>
      </c>
      <c r="AQ6" s="102" cm="1">
        <f t="array" ref="AQ6">P6*3+Q6*1+BT6+CN6+S6/1000+T6/10000</f>
        <v>4.3002000000000002</v>
      </c>
      <c r="AR6" s="65"/>
      <c r="AS6" s="103" cm="1">
        <f t="array" ref="AS6">AV6</f>
        <v>0</v>
      </c>
      <c r="AT6" s="103" cm="1">
        <f t="array" ref="AT6">IF(AND(AM7="si",OR(AR3=1,AR4=1,AR5=1)),1,0)</f>
        <v>0</v>
      </c>
      <c r="AU6" s="136" t="str" cm="1">
        <f t="array" ref="AU6">O6</f>
        <v>Repubilca Checa</v>
      </c>
      <c r="AV6" s="137"/>
      <c r="AW6" s="106"/>
      <c r="AX6" s="74" t="str" cm="1">
        <f t="array" ref="AX6">Y2</f>
        <v>Grupo A</v>
      </c>
      <c r="AY6" s="76" t="str" cm="1">
        <f t="array" ref="AY6">O6</f>
        <v>Repubilca Checa</v>
      </c>
      <c r="AZ6" s="107" cm="1">
        <f t="array" ref="AZ6">P6*3+Q6</f>
        <v>4</v>
      </c>
      <c r="BA6" s="107" cm="1">
        <f t="array" ref="BA6">COUNTIFS($AX$1:AX6,AX6,$AZ$1:AZ6,AZ6)</f>
        <v>2</v>
      </c>
      <c r="BB6" s="107" cm="1">
        <f t="array" ref="BB6">IF(AZ6=BF1,ROW()*0.001,AZ6)</f>
        <v>6.0000000000000001E-3</v>
      </c>
      <c r="BC6" s="107" cm="1">
        <f t="array" ref="BC6">COUNTIFS($AX$1:AZ6,AZ6,$AZ$1:BB6,BB6)</f>
        <v>1</v>
      </c>
      <c r="BD6" s="107"/>
      <c r="BE6" s="108" t="str" cm="1">
        <f t="array" ref="BE6">IF(OR(BF6="-",BI6="-",BF1=0),"-","OK")</f>
        <v>-</v>
      </c>
      <c r="BF6" s="109" t="str" cm="1">
        <f t="array" ref="BF6">IF(_xlfn.XLOOKUP($E6,$AY1:$AY108,$AZ1:$AZ108,"-",0)=BF1,$E6,"-")</f>
        <v>-</v>
      </c>
      <c r="BG6" s="110" cm="1">
        <f t="array" ref="BG6">$F6</f>
        <v>2</v>
      </c>
      <c r="BH6" s="110" cm="1">
        <f t="array" ref="BH6">$G6</f>
        <v>1</v>
      </c>
      <c r="BI6" s="109" t="str" cm="1">
        <f t="array" ref="BI6">IF(_xlfn.XLOOKUP($H6,$AY1:$AY108,$AZ1:$AZ108,"-",0)=BF1,$H6,"-")</f>
        <v>Corea del Sur</v>
      </c>
      <c r="BJ6" s="74"/>
      <c r="BK6" s="79" t="str" cm="1">
        <f t="array" ref="BK6">O6</f>
        <v>Repubilca Checa</v>
      </c>
      <c r="BL6" s="111" cm="1">
        <f t="array" ref="BL6">COUNTIFS($BE1:$BE108,"OK",$BI1:$BI108,BK6)+COUNTIFS($BE1:$BE108,"OK",$BF1:$BF108,BK6)</f>
        <v>1</v>
      </c>
      <c r="BM6" s="112" cm="1">
        <f t="array" ref="BM6">COUNTIFS(J1:J108,$BK6,$BE1:$BE108,"OK")</f>
        <v>0</v>
      </c>
      <c r="BN6" s="112" cm="1">
        <f t="array" ref="BN6">COUNTIFS(K1:K108,$BK6,$BE1:$BE108,"OK")+COUNTIFS(L1:L108,$BK6,$BE1:$BE108,"OK")</f>
        <v>1</v>
      </c>
      <c r="BO6" s="112" cm="1">
        <f t="array" ref="BO6">COUNTIFS(M1:M108,$BK6,$BE1:$BE108,"OK")</f>
        <v>0</v>
      </c>
      <c r="BP6" s="112" cm="1">
        <f t="array" ref="BP6">BQ6-BR6</f>
        <v>0</v>
      </c>
      <c r="BQ6" s="112" cm="1">
        <f t="array" ref="BQ6">SUMIFS(BG1:BG108,$BE1:$BE108,"OK",BF1:BF108,$BK6)+SUMIFS(BH1:BH108,$BE1:$BE108,"OK",BI1:BI108,$BK6)</f>
        <v>1</v>
      </c>
      <c r="BR6" s="112" cm="1">
        <f t="array" ref="BR6">SUMIFS(BH1:BH108,$BE1:$BE108,"OK",BF1:BF108,$BK6)+SUMIFS(BG1:BG108,$BE1:$BE108,"OK",BI1:BI108,$BK6)</f>
        <v>1</v>
      </c>
      <c r="BS6" s="113" cm="1">
        <f t="array" ref="BS6">BM6*3+BN6*1+BP6/100+BQ6/10000</f>
        <v>1.0001</v>
      </c>
      <c r="BT6" s="107" cm="1">
        <f t="array" ref="BT6">IF(BL6=0,0,_xlfn.XLOOKUP(BS6,BV3:BV6,BW3:BW6))</f>
        <v>0.3</v>
      </c>
      <c r="BU6" s="99"/>
      <c r="BV6" s="113" cm="1">
        <f t="array" ref="BV6">LARGE(BS3:BS6,4)</f>
        <v>0</v>
      </c>
      <c r="BW6" s="112" cm="1">
        <f t="array" ref="BW6">BX6/$BW$1</f>
        <v>0</v>
      </c>
      <c r="BX6" s="114">
        <v>0</v>
      </c>
      <c r="BY6" s="108" t="str" cm="1">
        <f t="array" ref="BY6">IF(OR(BZ6="-",CC6="-"),"-","OK")</f>
        <v>-</v>
      </c>
      <c r="BZ6" s="109" t="str" cm="1">
        <f t="array" ref="BZ6">IF(_xlfn.XLOOKUP($E6,$AY1:$AY108,$AZ1:$AZ108,"-",0)=BZ1,$E6,"-")</f>
        <v>-</v>
      </c>
      <c r="CA6" s="110" cm="1">
        <f t="array" ref="CA6">$F6</f>
        <v>2</v>
      </c>
      <c r="CB6" s="110" cm="1">
        <f t="array" ref="CB6">$G6</f>
        <v>1</v>
      </c>
      <c r="CC6" s="109" t="str" cm="1">
        <f t="array" ref="CC6">IF(_xlfn.XLOOKUP($H6,$AY1:$AY108,$AZ1:$AZ108,"-",0)=BZ1,$H6,"-")</f>
        <v>-</v>
      </c>
      <c r="CD6" s="74"/>
      <c r="CE6" s="79" t="str" cm="1">
        <f t="array" ref="CE6">BK6</f>
        <v>Repubilca Checa</v>
      </c>
      <c r="CF6" s="111" cm="1">
        <f t="array" ref="CF6">COUNTIFS($BY1:$BY108,"OK",$CC1:$CC108,CE6)+COUNTIFS($BY1:$BY108,"OK",$BZ1:$BZ108,CE6)</f>
        <v>0</v>
      </c>
      <c r="CG6" s="112" cm="1">
        <f t="array" ref="CG6">COUNTIFS(P1:P108,$BK6,$BY1:$BY108,"OK")</f>
        <v>0</v>
      </c>
      <c r="CH6" s="112" cm="1">
        <f t="array" ref="CH6">COUNTIFS(K1:K108,$BK6,$BY1:$BY108,"OK")+COUNTIFS(L1:L108,$BK6,$BY1:$BY108,"OK")</f>
        <v>0</v>
      </c>
      <c r="CI6" s="112" cm="1">
        <f t="array" ref="CI6">COUNTIFS(M1:M108,$CE6,$BY1:$BY108,"OK")</f>
        <v>0</v>
      </c>
      <c r="CJ6" s="112" cm="1">
        <f t="array" ref="CJ6">CK6-CL6</f>
        <v>0</v>
      </c>
      <c r="CK6" s="112" cm="1">
        <f t="array" ref="CK6">SUMIFS(CA1:CA108,$BY1:$BY108,"OK",BZ1:BZ108,$BK6)+SUMIFS(CB1:CB108,$BY1:$BY108,"OK",CC1:CC108,$BK6)</f>
        <v>0</v>
      </c>
      <c r="CL6" s="112" cm="1">
        <f t="array" ref="CL6">SUMIFS(CB1:CB108,$BY1:$BY108,"OK",BZ1:BZ108,$BK6)+SUMIFS(CA1:CA108,$BY1:$BY108,"OK",CC1:CC108,$BK6)</f>
        <v>0</v>
      </c>
      <c r="CM6" s="113" cm="1">
        <f t="array" ref="CM6">CG6*3+CH6*1+CJ6/100+CK6/10000</f>
        <v>0</v>
      </c>
      <c r="CN6" s="107" cm="1">
        <f t="array" ref="CN6">IF(CF6=0,0,_xlfn.XLOOKUP(CM6,CP3:CP6,CQ3:CQ6))</f>
        <v>0</v>
      </c>
      <c r="CO6" s="99"/>
      <c r="CP6" s="113" cm="1">
        <f t="array" ref="CP6">LARGE(CM3:CM6,4)</f>
        <v>0</v>
      </c>
      <c r="CQ6" s="112" cm="1">
        <f t="array" ref="CQ6">CR6/$BW$1</f>
        <v>0</v>
      </c>
      <c r="CR6" s="114">
        <v>0</v>
      </c>
      <c r="CS6" s="74"/>
      <c r="CT6" s="74"/>
      <c r="CU6" s="82"/>
      <c r="CV6" s="115" t="str" cm="1">
        <f t="array" ref="CV6">'Mejores 3eros'!AP6</f>
        <v>Costa de Marfil</v>
      </c>
      <c r="CW6" s="9" t="str" cm="1">
        <f t="array" ref="CW6">_xlfn.XLOOKUP(CV6,'Mejores 3eros'!$BD$2:$BD$13,'Mejores 3eros'!$BG$2:$BG$13,"-",0)</f>
        <v>IN</v>
      </c>
      <c r="CX6" s="116" t="s">
        <v>118</v>
      </c>
    </row>
    <row r="7" spans="1:102" ht="14.25" customHeight="1">
      <c r="A7" s="85" t="s">
        <v>127</v>
      </c>
      <c r="B7" s="86">
        <v>46197</v>
      </c>
      <c r="C7" s="87"/>
      <c r="D7" s="88"/>
      <c r="E7" s="85" t="s">
        <v>79</v>
      </c>
      <c r="F7" s="89">
        <v>0</v>
      </c>
      <c r="G7" s="89">
        <v>1</v>
      </c>
      <c r="H7" s="90" t="s">
        <v>62</v>
      </c>
      <c r="I7" s="106"/>
      <c r="J7" s="74" t="str" cm="1">
        <f t="array" ref="J7">IF(OR(ISBLANK(F7),ISBLANK(G7)),"",IF(F7&gt;G7,E7,IF(G7&gt;F7,H7,"")))</f>
        <v>Mexico</v>
      </c>
      <c r="K7" s="74" t="str" cm="1">
        <f t="array" ref="K7">IF(OR(ISBLANK(F7),ISBLANK(G7)),"",IF(F7=G7,E7,""))</f>
        <v/>
      </c>
      <c r="L7" s="74" t="str" cm="1">
        <f t="array" ref="L7">IF(OR(ISBLANK(F7),ISBLANK(G7)),"",IF(F7=G7,H7,""))</f>
        <v/>
      </c>
      <c r="M7" s="74" t="str" cm="1">
        <f t="array" ref="M7">IF(OR(ISBLANK(F7),ISBLANK(G7)),"",IF(F7&lt;G7,E7,IF(G7&lt;F7,H7,"")))</f>
        <v>Repubilca Checa</v>
      </c>
      <c r="N7" s="74"/>
      <c r="O7" s="74"/>
      <c r="P7" s="74"/>
      <c r="Q7" s="74"/>
      <c r="R7" s="74"/>
      <c r="S7" s="74"/>
      <c r="T7" s="74"/>
      <c r="U7" s="74"/>
      <c r="V7" s="74"/>
      <c r="W7" s="74"/>
      <c r="X7" s="74"/>
      <c r="Y7" s="138"/>
      <c r="Z7" s="138"/>
      <c r="AA7" s="138"/>
      <c r="AB7" s="138"/>
      <c r="AC7" s="138"/>
      <c r="AD7" s="138"/>
      <c r="AE7" s="138"/>
      <c r="AF7" s="138"/>
      <c r="AG7" s="138"/>
      <c r="AH7" s="138"/>
      <c r="AI7" s="74"/>
      <c r="AJ7" s="74"/>
      <c r="AK7" s="74"/>
      <c r="AL7" s="139" t="s">
        <v>128</v>
      </c>
      <c r="AM7" s="74" t="str" cm="1">
        <f t="array" ref="AM7">IF(SUM(AA3:AA6)=12,"si","no")</f>
        <v>si</v>
      </c>
      <c r="AN7" s="74"/>
      <c r="AO7" s="74"/>
      <c r="AP7" s="74"/>
      <c r="AQ7" s="74"/>
      <c r="AR7" s="74"/>
      <c r="AS7" s="74"/>
      <c r="AT7" s="74"/>
      <c r="AU7" s="138"/>
      <c r="AV7" s="138"/>
      <c r="AW7" s="74"/>
      <c r="AX7" s="74"/>
      <c r="AY7" s="74"/>
      <c r="AZ7" s="74"/>
      <c r="BA7" s="74"/>
      <c r="BB7" s="74"/>
      <c r="BC7" s="74"/>
      <c r="BD7" s="74"/>
      <c r="BE7" s="108" t="str" cm="1">
        <f t="array" ref="BE7">IF(OR(BF7="-",BI7="-",BF1=0),"-","OK")</f>
        <v>-</v>
      </c>
      <c r="BF7" s="109" t="str" cm="1">
        <f t="array" ref="BF7">IF(_xlfn.XLOOKUP($E7,$AY1:$AY108,$AZ1:$AZ108,"-",0)=BF1,$E7,"-")</f>
        <v>Repubilca Checa</v>
      </c>
      <c r="BG7" s="110" cm="1">
        <f t="array" ref="BG7">$F7</f>
        <v>0</v>
      </c>
      <c r="BH7" s="110" cm="1">
        <f t="array" ref="BH7">$G7</f>
        <v>1</v>
      </c>
      <c r="BI7" s="109" t="str" cm="1">
        <f t="array" ref="BI7">IF(_xlfn.XLOOKUP($H7,$AY1:$AY108,$AZ1:$AZ108,"-",0)=BF1,$H7,"-")</f>
        <v>-</v>
      </c>
      <c r="BJ7" s="74"/>
      <c r="BK7" s="74"/>
      <c r="BL7" s="74"/>
      <c r="BM7" s="74"/>
      <c r="BN7" s="74"/>
      <c r="BO7" s="74"/>
      <c r="BP7" s="74"/>
      <c r="BQ7" s="74"/>
      <c r="BR7" s="74"/>
      <c r="BS7" s="74"/>
      <c r="BT7" s="74"/>
      <c r="BU7" s="74"/>
      <c r="BV7" s="74"/>
      <c r="BW7" s="74"/>
      <c r="BX7" s="74"/>
      <c r="BY7" s="108" t="str" cm="1">
        <f t="array" ref="BY7">IF(OR(BZ7="-",CC7="-"),"-","OK")</f>
        <v>-</v>
      </c>
      <c r="BZ7" s="109" t="str" cm="1">
        <f t="array" ref="BZ7">IF(_xlfn.XLOOKUP($E7,$AY1:$AY108,$AZ1:$AZ108,"-",0)=BZ1,$E7,"-")</f>
        <v>-</v>
      </c>
      <c r="CA7" s="110" cm="1">
        <f t="array" ref="CA7">$F7</f>
        <v>0</v>
      </c>
      <c r="CB7" s="110" cm="1">
        <f t="array" ref="CB7">$G7</f>
        <v>1</v>
      </c>
      <c r="CC7" s="109" t="str" cm="1">
        <f t="array" ref="CC7">IF(_xlfn.XLOOKUP($H7,$AY1:$AY108,$AZ1:$AZ108,"-",0)=BZ1,$H7,"-")</f>
        <v>-</v>
      </c>
      <c r="CD7" s="74"/>
      <c r="CE7" s="74"/>
      <c r="CF7" s="74"/>
      <c r="CG7" s="74"/>
      <c r="CH7" s="74"/>
      <c r="CI7" s="74"/>
      <c r="CJ7" s="74"/>
      <c r="CK7" s="74"/>
      <c r="CL7" s="74"/>
      <c r="CM7" s="74"/>
      <c r="CN7" s="74"/>
      <c r="CO7" s="74"/>
      <c r="CP7" s="74"/>
      <c r="CQ7" s="74"/>
      <c r="CR7" s="74"/>
      <c r="CS7" s="74"/>
      <c r="CT7" s="74"/>
      <c r="CU7" s="82"/>
      <c r="CV7" s="115" t="str" cm="1">
        <f t="array" ref="CV7">'Mejores 3eros'!AP7</f>
        <v>Suecia</v>
      </c>
      <c r="CW7" s="9" t="str" cm="1">
        <f t="array" ref="CW7">_xlfn.XLOOKUP(CV7,'Mejores 3eros'!$BD$2:$BD$13,'Mejores 3eros'!$BG$2:$BG$13,"-",0)</f>
        <v>IN</v>
      </c>
      <c r="CX7" s="116" t="s">
        <v>118</v>
      </c>
    </row>
    <row r="8" spans="1:102" ht="14.25" customHeight="1">
      <c r="A8" s="85" t="s">
        <v>129</v>
      </c>
      <c r="B8" s="86">
        <v>46197</v>
      </c>
      <c r="C8" s="87"/>
      <c r="D8" s="88"/>
      <c r="E8" s="85" t="s">
        <v>82</v>
      </c>
      <c r="F8" s="89">
        <v>0</v>
      </c>
      <c r="G8" s="89">
        <v>1</v>
      </c>
      <c r="H8" s="90" t="s">
        <v>68</v>
      </c>
      <c r="I8" s="106"/>
      <c r="J8" s="74" t="str" cm="1">
        <f t="array" ref="J8">IF(OR(ISBLANK(F8),ISBLANK(G8)),"",IF(F8&gt;G8,E8,IF(G8&gt;F8,H8,"")))</f>
        <v>Corea del Sur</v>
      </c>
      <c r="K8" s="74" t="str" cm="1">
        <f t="array" ref="K8">IF(OR(ISBLANK(F8),ISBLANK(G8)),"",IF(F8=G8,E8,""))</f>
        <v/>
      </c>
      <c r="L8" s="74" t="str" cm="1">
        <f t="array" ref="L8">IF(OR(ISBLANK(F8),ISBLANK(G8)),"",IF(F8=G8,H8,""))</f>
        <v/>
      </c>
      <c r="M8" s="74" t="str" cm="1">
        <f t="array" ref="M8">IF(OR(ISBLANK(F8),ISBLANK(G8)),"",IF(F8&lt;G8,E8,IF(G8&lt;F8,H8,"")))</f>
        <v>Sudafrica</v>
      </c>
      <c r="N8" s="74"/>
      <c r="O8" s="74"/>
      <c r="P8" s="74"/>
      <c r="Q8" s="74"/>
      <c r="R8" s="74"/>
      <c r="S8" s="74"/>
      <c r="T8" s="74"/>
      <c r="U8" s="74"/>
      <c r="V8" s="74"/>
      <c r="W8" s="74"/>
      <c r="X8" s="74"/>
      <c r="Y8" s="140" t="s">
        <v>130</v>
      </c>
      <c r="Z8" s="74"/>
      <c r="AA8" s="74"/>
      <c r="AB8" s="74"/>
      <c r="AC8" s="74"/>
      <c r="AD8" s="74"/>
      <c r="AE8" s="74"/>
      <c r="AF8" s="74"/>
      <c r="AG8" s="74"/>
      <c r="AH8" s="74"/>
      <c r="AI8" s="74"/>
      <c r="AJ8" s="74"/>
      <c r="AK8" s="74"/>
      <c r="AL8" s="74"/>
      <c r="AM8" s="74"/>
      <c r="AN8" s="74"/>
      <c r="AO8" s="74"/>
      <c r="AP8" s="74"/>
      <c r="AQ8" s="74"/>
      <c r="AR8" s="114" cm="1">
        <f t="array" ref="AR8">IF(AND(AM7="si",OR(AR3=1,AR4=1,AR5=1)),1,0)</f>
        <v>0</v>
      </c>
      <c r="AS8" s="74"/>
      <c r="AT8" s="74"/>
      <c r="AU8" s="74"/>
      <c r="AV8" s="74"/>
      <c r="AW8" s="74"/>
      <c r="AX8" s="74"/>
      <c r="AY8" s="74"/>
      <c r="AZ8" s="74"/>
      <c r="BA8" s="74"/>
      <c r="BB8" s="74"/>
      <c r="BC8" s="74"/>
      <c r="BD8" s="74"/>
      <c r="BE8" s="108" t="str" cm="1">
        <f t="array" ref="BE8">IF(OR(BF8="-",BI8="-",BF1=0),"-","OK")</f>
        <v>-</v>
      </c>
      <c r="BF8" s="109" t="str" cm="1">
        <f t="array" ref="BF8">IF(_xlfn.XLOOKUP($E8,$AY1:$AY108,$AZ1:$AZ108,"-",0)=BF1,$E8,"-")</f>
        <v>-</v>
      </c>
      <c r="BG8" s="110" cm="1">
        <f t="array" ref="BG8">$F8</f>
        <v>0</v>
      </c>
      <c r="BH8" s="110" cm="1">
        <f t="array" ref="BH8">$G8</f>
        <v>1</v>
      </c>
      <c r="BI8" s="109" t="str" cm="1">
        <f t="array" ref="BI8">IF(_xlfn.XLOOKUP($H8,$AY1:$AY108,$AZ1:$AZ108,"-",0)=BF1,$H8,"-")</f>
        <v>Corea del Sur</v>
      </c>
      <c r="BJ8" s="74"/>
      <c r="BK8" s="74"/>
      <c r="BL8" s="74"/>
      <c r="BM8" s="74"/>
      <c r="BN8" s="74"/>
      <c r="BO8" s="74"/>
      <c r="BP8" s="74"/>
      <c r="BQ8" s="74"/>
      <c r="BR8" s="74"/>
      <c r="BS8" s="74"/>
      <c r="BT8" s="74"/>
      <c r="BU8" s="74"/>
      <c r="BV8" s="74"/>
      <c r="BW8" s="74"/>
      <c r="BX8" s="74"/>
      <c r="BY8" s="108" t="str" cm="1">
        <f t="array" ref="BY8">IF(OR(BZ8="-",CC8="-"),"-","OK")</f>
        <v>-</v>
      </c>
      <c r="BZ8" s="109" t="str" cm="1">
        <f t="array" ref="BZ8">IF(_xlfn.XLOOKUP($E8,$AY1:$AY108,$AZ1:$AZ108,"-",0)=BZ1,$E8,"-")</f>
        <v>-</v>
      </c>
      <c r="CA8" s="110" cm="1">
        <f t="array" ref="CA8">$F8</f>
        <v>0</v>
      </c>
      <c r="CB8" s="110" cm="1">
        <f t="array" ref="CB8">$G8</f>
        <v>1</v>
      </c>
      <c r="CC8" s="109" t="str" cm="1">
        <f t="array" ref="CC8">IF(_xlfn.XLOOKUP($H8,$AY1:$AY108,$AZ1:$AZ108,"-",0)=BZ1,$H8,"-")</f>
        <v>-</v>
      </c>
      <c r="CD8" s="74"/>
      <c r="CE8" s="74"/>
      <c r="CF8" s="74"/>
      <c r="CG8" s="74"/>
      <c r="CH8" s="74"/>
      <c r="CI8" s="74"/>
      <c r="CJ8" s="74"/>
      <c r="CK8" s="74"/>
      <c r="CL8" s="74"/>
      <c r="CM8" s="74"/>
      <c r="CN8" s="74"/>
      <c r="CO8" s="74"/>
      <c r="CP8" s="74"/>
      <c r="CQ8" s="74"/>
      <c r="CR8" s="74"/>
      <c r="CS8" s="74"/>
      <c r="CT8" s="74"/>
      <c r="CU8" s="82"/>
      <c r="CV8" s="115" t="str" cm="1">
        <f t="array" ref="CV8">'Mejores 3eros'!AP8</f>
        <v>Iran</v>
      </c>
      <c r="CW8" s="9" t="str" cm="1">
        <f t="array" ref="CW8">_xlfn.XLOOKUP(CV8,'Mejores 3eros'!$BD$2:$BD$13,'Mejores 3eros'!$BG$2:$BG$13,"-",0)</f>
        <v>OUT</v>
      </c>
      <c r="CX8" s="116" t="s">
        <v>118</v>
      </c>
    </row>
    <row r="9" spans="1:102" ht="14.25" customHeight="1">
      <c r="A9" s="141"/>
      <c r="B9" s="142"/>
      <c r="C9" s="143"/>
      <c r="D9" s="144"/>
      <c r="E9" s="145"/>
      <c r="F9" s="143"/>
      <c r="G9" s="143"/>
      <c r="H9" s="146"/>
      <c r="I9" s="78"/>
      <c r="J9" s="77"/>
      <c r="K9" s="77"/>
      <c r="L9" s="77"/>
      <c r="M9" s="77"/>
      <c r="N9" s="78"/>
      <c r="O9" s="78"/>
      <c r="P9" s="78"/>
      <c r="Q9" s="78"/>
      <c r="R9" s="78"/>
      <c r="S9" s="78"/>
      <c r="T9" s="78"/>
      <c r="U9" s="78"/>
      <c r="V9" s="78"/>
      <c r="W9" s="78"/>
      <c r="X9" s="78"/>
      <c r="Y9" s="78"/>
      <c r="Z9" s="78"/>
      <c r="AA9" s="78"/>
      <c r="AB9" s="78"/>
      <c r="AC9" s="78"/>
      <c r="AD9" s="78"/>
      <c r="AE9" s="78"/>
      <c r="AF9" s="78"/>
      <c r="AG9" s="78"/>
      <c r="AH9" s="78"/>
      <c r="AI9" s="78"/>
      <c r="AJ9" s="78"/>
      <c r="AK9" s="78"/>
      <c r="AL9" s="78"/>
      <c r="AM9" s="78"/>
      <c r="AN9" s="78"/>
      <c r="AO9" s="78"/>
      <c r="AP9" s="78"/>
      <c r="AQ9" s="78"/>
      <c r="AR9" s="78"/>
      <c r="AS9" s="78"/>
      <c r="AT9" s="78"/>
      <c r="AU9" s="78"/>
      <c r="AV9" s="78"/>
      <c r="AW9" s="78"/>
      <c r="AX9" s="78"/>
      <c r="AY9" s="78"/>
      <c r="AZ9" s="78"/>
      <c r="BA9" s="78"/>
      <c r="BB9" s="78"/>
      <c r="BC9" s="78"/>
      <c r="BD9" s="78"/>
      <c r="BE9" s="77"/>
      <c r="BF9" s="144"/>
      <c r="BG9" s="144"/>
      <c r="BH9" s="144"/>
      <c r="BI9" s="144"/>
      <c r="BJ9" s="78"/>
      <c r="BK9" s="78"/>
      <c r="BL9" s="78"/>
      <c r="BM9" s="78"/>
      <c r="BN9" s="78"/>
      <c r="BO9" s="78"/>
      <c r="BP9" s="78"/>
      <c r="BQ9" s="78"/>
      <c r="BR9" s="78"/>
      <c r="BS9" s="78"/>
      <c r="BT9" s="78"/>
      <c r="BU9" s="78"/>
      <c r="BV9" s="78"/>
      <c r="BW9" s="78"/>
      <c r="BX9" s="78"/>
      <c r="BY9" s="78"/>
      <c r="BZ9" s="144"/>
      <c r="CA9" s="144"/>
      <c r="CB9" s="144"/>
      <c r="CC9" s="144"/>
      <c r="CD9" s="78"/>
      <c r="CE9" s="78"/>
      <c r="CF9" s="78"/>
      <c r="CG9" s="78"/>
      <c r="CH9" s="78"/>
      <c r="CI9" s="78"/>
      <c r="CJ9" s="78"/>
      <c r="CK9" s="78"/>
      <c r="CL9" s="78"/>
      <c r="CM9" s="78"/>
      <c r="CN9" s="78"/>
      <c r="CO9" s="78"/>
      <c r="CP9" s="78"/>
      <c r="CQ9" s="78"/>
      <c r="CR9" s="78"/>
      <c r="CS9" s="78"/>
      <c r="CT9" s="78"/>
      <c r="CU9" s="147"/>
      <c r="CV9" s="115" t="str" cm="1">
        <f t="array" ref="CV9">'Mejores 3eros'!AP9</f>
        <v>Arabia Saudita</v>
      </c>
      <c r="CW9" s="148" t="str" cm="1">
        <f t="array" ref="CW9">_xlfn.XLOOKUP(CV9,'Mejores 3eros'!$BD$2:$BD$13,'Mejores 3eros'!$BG$2:$BG$13,"-",0)</f>
        <v>OUT</v>
      </c>
      <c r="CX9" s="149" t="s">
        <v>118</v>
      </c>
    </row>
    <row r="10" spans="1:102" ht="14.25" customHeight="1">
      <c r="A10" s="150"/>
      <c r="B10" s="144"/>
      <c r="C10" s="144"/>
      <c r="D10" s="144"/>
      <c r="E10" s="144"/>
      <c r="F10" s="144"/>
      <c r="G10" s="144"/>
      <c r="H10" s="144"/>
      <c r="I10" s="138"/>
      <c r="J10" s="138"/>
      <c r="K10" s="138"/>
      <c r="L10" s="138"/>
      <c r="M10" s="138"/>
      <c r="N10" s="138"/>
      <c r="O10" s="138"/>
      <c r="P10" s="138"/>
      <c r="Q10" s="138"/>
      <c r="R10" s="138"/>
      <c r="S10" s="138"/>
      <c r="T10" s="138"/>
      <c r="U10" s="138"/>
      <c r="V10" s="138"/>
      <c r="W10" s="138"/>
      <c r="X10" s="138"/>
      <c r="Y10" s="144"/>
      <c r="Z10" s="144"/>
      <c r="AA10" s="144"/>
      <c r="AB10" s="144"/>
      <c r="AC10" s="144"/>
      <c r="AD10" s="144"/>
      <c r="AE10" s="144"/>
      <c r="AF10" s="144"/>
      <c r="AG10" s="144"/>
      <c r="AH10" s="144"/>
      <c r="AI10" s="138"/>
      <c r="AJ10" s="138"/>
      <c r="AK10" s="138"/>
      <c r="AL10" s="138"/>
      <c r="AM10" s="138"/>
      <c r="AN10" s="138"/>
      <c r="AO10" s="138"/>
      <c r="AP10" s="138"/>
      <c r="AQ10" s="138"/>
      <c r="AR10" s="138"/>
      <c r="AS10" s="138"/>
      <c r="AT10" s="138"/>
      <c r="AU10" s="138"/>
      <c r="AV10" s="138"/>
      <c r="AW10" s="138"/>
      <c r="AX10" s="138"/>
      <c r="AY10" s="138"/>
      <c r="AZ10" s="138"/>
      <c r="BA10" s="138"/>
      <c r="BB10" s="138"/>
      <c r="BC10" s="138"/>
      <c r="BD10" s="138"/>
      <c r="BE10" s="138"/>
      <c r="BF10" s="151" cm="1">
        <f t="array" ref="BF10">IF(BA12&gt;1,AZ12,IF(BA13&gt;1,AZ13,IF(BA14&gt;1,AZ14,IF(BA15&gt;1,AZ15,"-"))))</f>
        <v>1</v>
      </c>
      <c r="BG10" s="138"/>
      <c r="BH10" s="138"/>
      <c r="BI10" s="138"/>
      <c r="BJ10" s="138"/>
      <c r="BK10" s="138"/>
      <c r="BL10" s="138"/>
      <c r="BM10" s="138"/>
      <c r="BN10" s="138"/>
      <c r="BO10" s="138"/>
      <c r="BP10" s="138"/>
      <c r="BQ10" s="138"/>
      <c r="BR10" s="138"/>
      <c r="BS10" s="138"/>
      <c r="BT10" s="138"/>
      <c r="BU10" s="138"/>
      <c r="BV10" s="138"/>
      <c r="BW10" s="152">
        <v>10</v>
      </c>
      <c r="BX10" s="138"/>
      <c r="BY10" s="138"/>
      <c r="BZ10" s="153" cm="1">
        <f t="array" ref="BZ10">IF(BC12&gt;1,BB12,IF(BC13&gt;1,BB13,IF(BC14&gt;1,BB14,IF(BC15&gt;1,BB15,"-"))))</f>
        <v>7</v>
      </c>
      <c r="CA10" s="138"/>
      <c r="CB10" s="138"/>
      <c r="CC10" s="138"/>
      <c r="CD10" s="138"/>
      <c r="CE10" s="138"/>
      <c r="CF10" s="138"/>
      <c r="CG10" s="138"/>
      <c r="CH10" s="138"/>
      <c r="CI10" s="138"/>
      <c r="CJ10" s="138"/>
      <c r="CK10" s="138"/>
      <c r="CL10" s="138"/>
      <c r="CM10" s="138"/>
      <c r="CN10" s="138"/>
      <c r="CO10" s="138"/>
      <c r="CP10" s="138"/>
      <c r="CQ10" s="152">
        <v>10</v>
      </c>
      <c r="CR10" s="138"/>
      <c r="CS10" s="138"/>
      <c r="CT10" s="138"/>
      <c r="CU10" s="154"/>
      <c r="CV10" s="115" t="str" cm="1">
        <f t="array" ref="CV10">'Mejores 3eros'!AP10</f>
        <v>Senegal</v>
      </c>
      <c r="CW10" s="9" t="str" cm="1">
        <f t="array" ref="CW10">_xlfn.XLOOKUP(CV10,'Mejores 3eros'!$BD$2:$BD$13,'Mejores 3eros'!$BG$2:$BG$13,"-",0)</f>
        <v>IN</v>
      </c>
      <c r="CX10" s="124"/>
    </row>
    <row r="11" spans="1:102" ht="14.25" customHeight="1">
      <c r="A11" s="155" t="s">
        <v>101</v>
      </c>
      <c r="B11" s="156" t="s">
        <v>102</v>
      </c>
      <c r="C11" s="156" t="s">
        <v>103</v>
      </c>
      <c r="D11" s="157"/>
      <c r="E11" s="158" t="s">
        <v>131</v>
      </c>
      <c r="F11" s="159"/>
      <c r="G11" s="159"/>
      <c r="H11" s="160"/>
      <c r="I11" s="65"/>
      <c r="J11" s="66" t="s">
        <v>105</v>
      </c>
      <c r="K11" s="66" t="s">
        <v>106</v>
      </c>
      <c r="L11" s="66" t="s">
        <v>106</v>
      </c>
      <c r="M11" s="66" t="s">
        <v>107</v>
      </c>
      <c r="N11" s="65"/>
      <c r="O11" s="67" t="str" cm="1">
        <f t="array" ref="O11">E11</f>
        <v>Grupo B</v>
      </c>
      <c r="P11" s="68" t="s">
        <v>105</v>
      </c>
      <c r="Q11" s="68" t="s">
        <v>106</v>
      </c>
      <c r="R11" s="68" t="s">
        <v>107</v>
      </c>
      <c r="S11" s="68" t="s">
        <v>108</v>
      </c>
      <c r="T11" s="68" t="s">
        <v>109</v>
      </c>
      <c r="U11" s="68" t="s">
        <v>110</v>
      </c>
      <c r="V11" s="68" t="s">
        <v>0</v>
      </c>
      <c r="W11" s="69"/>
      <c r="X11" s="65"/>
      <c r="Y11" s="788" t="s">
        <v>131</v>
      </c>
      <c r="Z11" s="789"/>
      <c r="AA11" s="161" t="s">
        <v>111</v>
      </c>
      <c r="AB11" s="162" t="s">
        <v>105</v>
      </c>
      <c r="AC11" s="162" t="s">
        <v>106</v>
      </c>
      <c r="AD11" s="162" t="s">
        <v>107</v>
      </c>
      <c r="AE11" s="162" t="s">
        <v>108</v>
      </c>
      <c r="AF11" s="162" t="s">
        <v>109</v>
      </c>
      <c r="AG11" s="162" t="s">
        <v>110</v>
      </c>
      <c r="AH11" s="163" t="s">
        <v>0</v>
      </c>
      <c r="AI11" s="164"/>
      <c r="AJ11" s="74"/>
      <c r="AK11" s="74"/>
      <c r="AL11" s="75" t="s">
        <v>0</v>
      </c>
      <c r="AM11" s="75" t="s">
        <v>112</v>
      </c>
      <c r="AN11" s="76"/>
      <c r="AO11" s="76"/>
      <c r="AP11" s="76"/>
      <c r="AQ11" s="76"/>
      <c r="AR11" s="76"/>
      <c r="AS11" s="76"/>
      <c r="AT11" s="76"/>
      <c r="AU11" s="77"/>
      <c r="AV11" s="78"/>
      <c r="AW11" s="74"/>
      <c r="AX11" s="74"/>
      <c r="AY11" s="75" t="s">
        <v>113</v>
      </c>
      <c r="AZ11" s="75" t="s">
        <v>0</v>
      </c>
      <c r="BA11" s="75" t="s">
        <v>114</v>
      </c>
      <c r="BB11" s="76"/>
      <c r="BC11" s="76"/>
      <c r="BD11" s="76"/>
      <c r="BE11" s="74"/>
      <c r="BF11" s="78"/>
      <c r="BG11" s="78"/>
      <c r="BH11" s="78"/>
      <c r="BI11" s="78"/>
      <c r="BJ11" s="74"/>
      <c r="BK11" s="79"/>
      <c r="BL11" s="80" t="s">
        <v>111</v>
      </c>
      <c r="BM11" s="75" t="s">
        <v>105</v>
      </c>
      <c r="BN11" s="75" t="s">
        <v>106</v>
      </c>
      <c r="BO11" s="75" t="s">
        <v>107</v>
      </c>
      <c r="BP11" s="75" t="s">
        <v>108</v>
      </c>
      <c r="BQ11" s="75" t="s">
        <v>109</v>
      </c>
      <c r="BR11" s="75" t="s">
        <v>110</v>
      </c>
      <c r="BS11" s="75" t="s">
        <v>0</v>
      </c>
      <c r="BT11" s="75" t="s">
        <v>115</v>
      </c>
      <c r="BU11" s="76"/>
      <c r="BV11" s="75" t="s">
        <v>116</v>
      </c>
      <c r="BW11" s="75" t="s">
        <v>115</v>
      </c>
      <c r="BX11" s="74"/>
      <c r="BY11" s="74"/>
      <c r="BZ11" s="78"/>
      <c r="CA11" s="78"/>
      <c r="CB11" s="78"/>
      <c r="CC11" s="78"/>
      <c r="CD11" s="74"/>
      <c r="CE11" s="79"/>
      <c r="CF11" s="80" t="s">
        <v>111</v>
      </c>
      <c r="CG11" s="75" t="s">
        <v>105</v>
      </c>
      <c r="CH11" s="75" t="s">
        <v>106</v>
      </c>
      <c r="CI11" s="75" t="s">
        <v>107</v>
      </c>
      <c r="CJ11" s="75" t="s">
        <v>108</v>
      </c>
      <c r="CK11" s="75" t="s">
        <v>109</v>
      </c>
      <c r="CL11" s="75" t="s">
        <v>110</v>
      </c>
      <c r="CM11" s="75" t="s">
        <v>0</v>
      </c>
      <c r="CN11" s="75" t="s">
        <v>115</v>
      </c>
      <c r="CO11" s="76"/>
      <c r="CP11" s="75" t="s">
        <v>116</v>
      </c>
      <c r="CQ11" s="75" t="s">
        <v>115</v>
      </c>
      <c r="CR11" s="74"/>
      <c r="CS11" s="74"/>
      <c r="CT11" s="74"/>
      <c r="CU11" s="82"/>
      <c r="CV11" s="115" t="str" cm="1">
        <f t="array" ref="CV11">'Mejores 3eros'!AP11</f>
        <v>Argelia</v>
      </c>
      <c r="CW11" s="9" t="str" cm="1">
        <f t="array" ref="CW11">_xlfn.XLOOKUP(CV11,'Mejores 3eros'!$BD$2:$BD$13,'Mejores 3eros'!$BG$2:$BG$13,"-",0)</f>
        <v>IN</v>
      </c>
      <c r="CX11" s="116" t="s">
        <v>118</v>
      </c>
    </row>
    <row r="12" spans="1:102" ht="14.25" customHeight="1">
      <c r="A12" s="85" t="s">
        <v>132</v>
      </c>
      <c r="B12" s="86">
        <v>46185</v>
      </c>
      <c r="C12" s="87"/>
      <c r="D12" s="88"/>
      <c r="E12" s="85" t="s">
        <v>76</v>
      </c>
      <c r="F12" s="89">
        <v>1</v>
      </c>
      <c r="G12" s="89">
        <v>0</v>
      </c>
      <c r="H12" s="90" t="s">
        <v>84</v>
      </c>
      <c r="I12" s="65"/>
      <c r="J12" s="65" t="str" cm="1">
        <f t="array" ref="J12">IF(OR(ISBLANK(F12),ISBLANK(G12)),"",IF(F12&gt;G12,E12,IF(G12&gt;F12,H12,"")))</f>
        <v>Canada</v>
      </c>
      <c r="K12" s="65" t="str" cm="1">
        <f t="array" ref="K12">IF(OR(ISBLANK(F12),ISBLANK(G12)),"",IF(F12=G12,E12,""))</f>
        <v/>
      </c>
      <c r="L12" s="65" t="str" cm="1">
        <f t="array" ref="L12">IF(OR(ISBLANK(F12),ISBLANK(G12)),"",IF(F12=G12,H12,""))</f>
        <v/>
      </c>
      <c r="M12" s="65" t="str" cm="1">
        <f t="array" ref="M12">IF(OR(ISBLANK(F12),ISBLANK(G12)),"",IF(F12&lt;G12,E12,IF(G12&lt;F12,H12,"")))</f>
        <v>Bosnia</v>
      </c>
      <c r="N12" s="65"/>
      <c r="O12" s="67" t="str" cm="1">
        <f t="array" ref="O12">E12</f>
        <v>Canada</v>
      </c>
      <c r="P12" s="91" cm="1">
        <f t="array" ref="P12">COUNTIF(J12:J17,"="&amp;$O12)</f>
        <v>2</v>
      </c>
      <c r="Q12" s="91" cm="1">
        <f t="array" ref="Q12">COUNTIF(K12:L17,"="&amp;$O12)</f>
        <v>1</v>
      </c>
      <c r="R12" s="91" cm="1">
        <f t="array" ref="R12">COUNTIF(M12:M17,"="&amp;$O12)</f>
        <v>0</v>
      </c>
      <c r="S12" s="91" cm="1">
        <f t="array" ref="S12">T12-U12</f>
        <v>3</v>
      </c>
      <c r="T12" s="91" cm="1">
        <f t="array" ref="T12">SUMIF(E12:E17,$O12,F12:F17)+SUMIF(H12:H17,$O12,G12:G17)</f>
        <v>4</v>
      </c>
      <c r="U12" s="91" cm="1">
        <f t="array" ref="U12">SUMIF(E12:E17,$O12,G12:G17)+SUMIF(H12:H17,$O12,F12:F17)</f>
        <v>1</v>
      </c>
      <c r="V12" s="92" cm="1">
        <f t="array" ref="V12">P12*3+Q12*1+BT12+CN12+S12/1000+T12/10000+AV12/1000000+ROW()/10000000</f>
        <v>7.3034011999999997</v>
      </c>
      <c r="W12" s="67" t="str" cm="1">
        <f t="array" ref="W12">O12</f>
        <v>Canada</v>
      </c>
      <c r="X12" s="65"/>
      <c r="Y12" s="93" t="str" cm="1">
        <f t="array" ref="Y12">CONCATENATE("1",RIGHT(E11,1))</f>
        <v>1B</v>
      </c>
      <c r="Z12" s="94" t="str" cm="1">
        <f t="array" ref="Z12">VLOOKUP(AL12,V12:W15,2,FALSE)</f>
        <v>Suiza</v>
      </c>
      <c r="AA12" s="95" cm="1">
        <f t="array" ref="AA12">SUM(AB12:AD12)</f>
        <v>3</v>
      </c>
      <c r="AB12" s="96" cm="1">
        <f t="array" ref="AB12">VLOOKUP($Z12,$O$12:$U$15,COLUMN()-26,FALSE)</f>
        <v>2</v>
      </c>
      <c r="AC12" s="96" cm="1">
        <f t="array" ref="AC12">VLOOKUP($Z12,$O$12:$U$15,COLUMN()-26,FALSE)</f>
        <v>1</v>
      </c>
      <c r="AD12" s="96" cm="1">
        <f t="array" ref="AD12">VLOOKUP($Z12,$O$12:$U$15,COLUMN()-26,FALSE)</f>
        <v>0</v>
      </c>
      <c r="AE12" s="96" cm="1">
        <f t="array" ref="AE12">VLOOKUP($Z12,$O$12:$U$15,COLUMN()-26,FALSE)</f>
        <v>3</v>
      </c>
      <c r="AF12" s="96" cm="1">
        <f t="array" ref="AF12">VLOOKUP($Z12,$O$12:$U$15,COLUMN()-26,FALSE)</f>
        <v>4</v>
      </c>
      <c r="AG12" s="96" cm="1">
        <f t="array" ref="AG12">VLOOKUP($Z12,$O$12:$U$15,COLUMN()-26,FALSE)</f>
        <v>1</v>
      </c>
      <c r="AH12" s="97" cm="1">
        <f t="array" ref="AH12">VLOOKUP($Z12,$O$12:$V$15,COLUMN()-26,FALSE)</f>
        <v>7.3034014999999997</v>
      </c>
      <c r="AI12" s="98"/>
      <c r="AJ12" s="74"/>
      <c r="AK12" s="74"/>
      <c r="AL12" s="99" cm="1">
        <f t="array" ref="AL12">LARGE(V12:V15,1)</f>
        <v>7.3034014999999997</v>
      </c>
      <c r="AM12" s="100" cm="1">
        <f t="array" ref="AM12">(AH12-AL12)*100000000000000000000</f>
        <v>0</v>
      </c>
      <c r="AN12" s="74"/>
      <c r="AO12" s="74"/>
      <c r="AP12" s="101" t="str" cm="1">
        <f t="array" ref="AP12">O12</f>
        <v>Canada</v>
      </c>
      <c r="AQ12" s="102" cm="1">
        <f t="array" ref="AQ12">P12*3+Q12*1+BT12+CN12+S12/1000+T12/10000</f>
        <v>7.3033999999999999</v>
      </c>
      <c r="AR12" s="102" cm="1">
        <f t="array" ref="AR12">IF(OR(AQ12=AQ13,AQ12=AQ14,AQ12=AQ15),1)</f>
        <v>1</v>
      </c>
      <c r="AS12" s="103" cm="1">
        <f t="array" ref="AS12">AV12</f>
        <v>0</v>
      </c>
      <c r="AT12" s="103" cm="1">
        <f t="array" ref="AT12">IF(AND(AM16="si",OR(AR12=1,AR13=1,AR14=1)),1,0)</f>
        <v>1</v>
      </c>
      <c r="AU12" s="104" t="str" cm="1">
        <f t="array" ref="AU12">O12</f>
        <v>Canada</v>
      </c>
      <c r="AV12" s="105"/>
      <c r="AW12" s="106"/>
      <c r="AX12" s="74" t="str" cm="1">
        <f t="array" ref="AX12">Y11</f>
        <v>Grupo B</v>
      </c>
      <c r="AY12" s="76" t="str" cm="1">
        <f t="array" ref="AY12">O12</f>
        <v>Canada</v>
      </c>
      <c r="AZ12" s="107" cm="1">
        <f t="array" ref="AZ12">P12*3+Q12</f>
        <v>7</v>
      </c>
      <c r="BA12" s="107" cm="1">
        <f t="array" ref="BA12">COUNTIFS($AX$1:AX12,AX12,$AZ$1:AZ12,AZ12)</f>
        <v>1</v>
      </c>
      <c r="BB12" s="107" cm="1">
        <f t="array" ref="BB12">IF(AZ12=BF10,ROW()*0.001,AZ12)</f>
        <v>7</v>
      </c>
      <c r="BC12" s="107" cm="1">
        <f t="array" ref="BC12">COUNTIFS($AX$1:AZ12,AZ12,$AZ$1:BB12,BB12)</f>
        <v>1</v>
      </c>
      <c r="BD12" s="107"/>
      <c r="BE12" s="108" t="str" cm="1">
        <f t="array" ref="BE12">IF(OR(BF12="-",BI12="-",BF10=0),"-","OK")</f>
        <v>-</v>
      </c>
      <c r="BF12" s="109" t="str" cm="1">
        <f t="array" ref="BF12">IF(_xlfn.XLOOKUP($E12,$AY1:$AY108,$AZ1:$AZ108,"-",0)=BF10,$E12,"-")</f>
        <v>-</v>
      </c>
      <c r="BG12" s="110" cm="1">
        <f t="array" ref="BG12">$F12</f>
        <v>1</v>
      </c>
      <c r="BH12" s="110" cm="1">
        <f t="array" ref="BH12">$G12</f>
        <v>0</v>
      </c>
      <c r="BI12" s="109" t="str" cm="1">
        <f t="array" ref="BI12">IF(_xlfn.XLOOKUP($H12,$AY1:$AY108,$AZ1:$AZ108,"-",0)=BF10,$H12,"-")</f>
        <v>Bosnia</v>
      </c>
      <c r="BJ12" s="74"/>
      <c r="BK12" s="79" t="str" cm="1">
        <f t="array" ref="BK12">O12</f>
        <v>Canada</v>
      </c>
      <c r="BL12" s="111" cm="1">
        <f t="array" ref="BL12">COUNTIFS($BE1:$BE108,"OK",$BI1:$BI108,BK12)+COUNTIFS($BE1:$BE108,"OK",$BF1:$BF108,BK12)</f>
        <v>0</v>
      </c>
      <c r="BM12" s="112" cm="1">
        <f t="array" ref="BM12">COUNTIFS(J1:J108,$BK12,$BE1:$BE108,"OK")</f>
        <v>0</v>
      </c>
      <c r="BN12" s="112" cm="1">
        <f t="array" ref="BN12">COUNTIFS(K1:K108,$BK12,$BE1:$BE108,"OK")+COUNTIFS(L1:L108,$BK12,$BE1:$BE108,"OK")</f>
        <v>0</v>
      </c>
      <c r="BO12" s="112" cm="1">
        <f t="array" ref="BO12">COUNTIFS(M1:M108,$BK12,$BE1:$BE108,"OK")</f>
        <v>0</v>
      </c>
      <c r="BP12" s="112" cm="1">
        <f t="array" ref="BP12">BQ12-BR12</f>
        <v>0</v>
      </c>
      <c r="BQ12" s="112" cm="1">
        <f t="array" ref="BQ12">SUMIFS(BG1:BG108,$BE1:$BE108,"OK",BF1:BF108,$BK12)+SUMIFS(BH1:BH108,$BE1:$BE108,"OK",BI1:BI108,$BK12)</f>
        <v>0</v>
      </c>
      <c r="BR12" s="112" cm="1">
        <f t="array" ref="BR12">SUMIFS(BH1:BH108,$BE1:$BE108,"OK",BF1:BF108,$BK12)+SUMIFS(BG1:BG108,$BE1:$BE108,"OK",BI1:BI108,$BK12)</f>
        <v>0</v>
      </c>
      <c r="BS12" s="113" cm="1">
        <f t="array" ref="BS12">BM12*3+BN12*1+BP12/100+BQ12/10000</f>
        <v>0</v>
      </c>
      <c r="BT12" s="107" cm="1">
        <f t="array" ref="BT12">IF(BL12=0,0,_xlfn.XLOOKUP(BS12,BV12:BV15,BW12:BW15))</f>
        <v>0</v>
      </c>
      <c r="BU12" s="99"/>
      <c r="BV12" s="113" cm="1">
        <f t="array" ref="BV12">LARGE(BS12:BS15,1)</f>
        <v>1.0001</v>
      </c>
      <c r="BW12" s="112" cm="1">
        <f t="array" ref="BW12">BX12/$BW$1</f>
        <v>0.3</v>
      </c>
      <c r="BX12" s="114">
        <v>3</v>
      </c>
      <c r="BY12" s="108" t="str" cm="1">
        <f t="array" ref="BY12">IF(OR(BZ12="-",CC12="-"),"-","OK")</f>
        <v>-</v>
      </c>
      <c r="BZ12" s="109" t="str" cm="1">
        <f t="array" ref="BZ12">IF(_xlfn.XLOOKUP($E12,$AY1:$AY108,$AZ1:$AZ108,"-",0)=BZ10,$E12,"-")</f>
        <v>Canada</v>
      </c>
      <c r="CA12" s="110" cm="1">
        <f t="array" ref="CA12">$F12</f>
        <v>1</v>
      </c>
      <c r="CB12" s="110" cm="1">
        <f t="array" ref="CB12">$G12</f>
        <v>0</v>
      </c>
      <c r="CC12" s="109" t="str" cm="1">
        <f t="array" ref="CC12">IF(_xlfn.XLOOKUP($H12,$AY1:$AY108,$AZ1:$AZ108,"-",0)=BZ10,$H12,"-")</f>
        <v>-</v>
      </c>
      <c r="CD12" s="74"/>
      <c r="CE12" s="79" t="str" cm="1">
        <f t="array" ref="CE12">BK12</f>
        <v>Canada</v>
      </c>
      <c r="CF12" s="111" cm="1">
        <f t="array" ref="CF12">COUNTIFS($BY1:$BY108,"OK",$CC1:$CC108,CE12)+COUNTIFS($BY1:$BY108,"OK",$BZ1:$BZ108,CE12)</f>
        <v>1</v>
      </c>
      <c r="CG12" s="112" cm="1">
        <f t="array" ref="CG12">COUNTIFS(P1:P108,$BK12,$BY1:$BY108,"OK")</f>
        <v>0</v>
      </c>
      <c r="CH12" s="112" cm="1">
        <f t="array" ref="CH12">COUNTIFS(K1:K108,$BK12,$BY1:$BY108,"OK")+COUNTIFS(L1:L108,$BK12,$BY1:$BY108,"OK")</f>
        <v>1</v>
      </c>
      <c r="CI12" s="112" cm="1">
        <f t="array" ref="CI12">COUNTIFS(M1:M108,$CE12,$BY1:$BY108,"OK")</f>
        <v>0</v>
      </c>
      <c r="CJ12" s="112" cm="1">
        <f t="array" ref="CJ12">CK12-CL12</f>
        <v>0</v>
      </c>
      <c r="CK12" s="112" cm="1">
        <f t="array" ref="CK12">SUMIFS(CA1:CA108,$BY1:$BY108,"OK",BZ1:BZ108,$BK12)+SUMIFS(CB1:CB108,$BY1:$BY108,"OK",CC1:CC108,$BK12)</f>
        <v>1</v>
      </c>
      <c r="CL12" s="112" cm="1">
        <f t="array" ref="CL12">SUMIFS(CB1:CB108,$BY1:$BY108,"OK",BZ1:BZ108,$BK12)+SUMIFS(CA1:CA108,$BY1:$BY108,"OK",CC1:CC108,$BK12)</f>
        <v>1</v>
      </c>
      <c r="CM12" s="113" cm="1">
        <f t="array" ref="CM12">CG12*3+CH12*1+CJ12/100+CK12/10000</f>
        <v>1.0001</v>
      </c>
      <c r="CN12" s="107" cm="1">
        <f t="array" ref="CN12">IF(CF12=0,0,_xlfn.XLOOKUP(CM12,CP12:CP15,CQ12:CQ15))</f>
        <v>0.3</v>
      </c>
      <c r="CO12" s="99"/>
      <c r="CP12" s="113" cm="1">
        <f t="array" ref="CP12">LARGE(CM12:CM15,1)</f>
        <v>1.0001</v>
      </c>
      <c r="CQ12" s="112" cm="1">
        <f t="array" ref="CQ12">CR12/$BW$1</f>
        <v>0.3</v>
      </c>
      <c r="CR12" s="114">
        <v>3</v>
      </c>
      <c r="CS12" s="74"/>
      <c r="CT12" s="74"/>
      <c r="CU12" s="82"/>
      <c r="CV12" s="115" t="str" cm="1">
        <f t="array" ref="CV12">'Mejores 3eros'!AP12</f>
        <v>Congo</v>
      </c>
      <c r="CW12" s="9" t="str" cm="1">
        <f t="array" ref="CW12">_xlfn.XLOOKUP(CV12,'Mejores 3eros'!$BD$2:$BD$13,'Mejores 3eros'!$BG$2:$BG$13,"-",0)</f>
        <v>OUT</v>
      </c>
      <c r="CX12" s="116" t="s">
        <v>118</v>
      </c>
    </row>
    <row r="13" spans="1:102" ht="15" customHeight="1">
      <c r="A13" s="85" t="s">
        <v>134</v>
      </c>
      <c r="B13" s="86">
        <v>46186</v>
      </c>
      <c r="C13" s="87"/>
      <c r="D13" s="88"/>
      <c r="E13" s="85" t="s">
        <v>89</v>
      </c>
      <c r="F13" s="89">
        <v>0</v>
      </c>
      <c r="G13" s="89">
        <v>2</v>
      </c>
      <c r="H13" s="90" t="s">
        <v>65</v>
      </c>
      <c r="I13" s="65"/>
      <c r="J13" s="65" t="str" cm="1">
        <f t="array" ref="J13">IF(OR(ISBLANK(F13),ISBLANK(G13)),"",IF(F13&gt;G13,E13,IF(G13&gt;F13,H13,"")))</f>
        <v>Suiza</v>
      </c>
      <c r="K13" s="65" t="str" cm="1">
        <f t="array" ref="K13">IF(OR(ISBLANK(F13),ISBLANK(G13)),"",IF(F13=G13,E13,""))</f>
        <v/>
      </c>
      <c r="L13" s="65" t="str" cm="1">
        <f t="array" ref="L13">IF(OR(ISBLANK(F13),ISBLANK(G13)),"",IF(F13=G13,H13,""))</f>
        <v/>
      </c>
      <c r="M13" s="65" t="str" cm="1">
        <f t="array" ref="M13">IF(OR(ISBLANK(F13),ISBLANK(G13)),"",IF(F13&lt;G13,E13,IF(G13&lt;F13,H13,"")))</f>
        <v>Qatar</v>
      </c>
      <c r="N13" s="65"/>
      <c r="O13" s="67" t="str" cm="1">
        <f t="array" ref="O13">H12</f>
        <v>Bosnia</v>
      </c>
      <c r="P13" s="91" cm="1">
        <f t="array" ref="P13">COUNTIF(J12:J17,"="&amp;$O13)</f>
        <v>0</v>
      </c>
      <c r="Q13" s="91" cm="1">
        <f t="array" ref="Q13">COUNTIF(K12:L17,"="&amp;$O13)</f>
        <v>1</v>
      </c>
      <c r="R13" s="91" cm="1">
        <f t="array" ref="R13">COUNTIF(M12:M17,"="&amp;$O13)</f>
        <v>2</v>
      </c>
      <c r="S13" s="91" cm="1">
        <f t="array" ref="S13">T13-U13</f>
        <v>-2</v>
      </c>
      <c r="T13" s="91" cm="1">
        <f t="array" ref="T13">SUMIF(E12:E17,$O13,F12:F17)+SUMIF(H12:H17,$O13,G12:G17)</f>
        <v>1</v>
      </c>
      <c r="U13" s="91" cm="1">
        <f t="array" ref="U13">SUMIF(E12:E17,$O13,G12:G17)+SUMIF(H12:H17,$O13,F12:F17)</f>
        <v>3</v>
      </c>
      <c r="V13" s="92" cm="1">
        <f t="array" ref="V13">P13*3+Q13*1+BT13+CN13+S13/1000+T13/10000+AV13/1000000+ROW()/10000000</f>
        <v>1.2981013000000001</v>
      </c>
      <c r="W13" s="67" t="str" cm="1">
        <f t="array" ref="W13">O13</f>
        <v>Bosnia</v>
      </c>
      <c r="X13" s="65"/>
      <c r="Y13" s="117" t="str" cm="1">
        <f t="array" ref="Y13">CONCATENATE("2",RIGHT(E11,1))</f>
        <v>2B</v>
      </c>
      <c r="Z13" s="118" t="str" cm="1">
        <f t="array" ref="Z13">VLOOKUP(AL13,V12:W15,2,FALSE)</f>
        <v>Canada</v>
      </c>
      <c r="AA13" s="119" cm="1">
        <f t="array" ref="AA13">SUM(AB13:AD13)</f>
        <v>3</v>
      </c>
      <c r="AB13" s="120" cm="1">
        <f t="array" ref="AB13">VLOOKUP($Z13,$O$12:$U$15,COLUMN()-26,FALSE)</f>
        <v>2</v>
      </c>
      <c r="AC13" s="120" cm="1">
        <f t="array" ref="AC13">VLOOKUP($Z13,$O$12:$U$15,COLUMN()-26,FALSE)</f>
        <v>1</v>
      </c>
      <c r="AD13" s="120" cm="1">
        <f t="array" ref="AD13">VLOOKUP($Z13,$O$12:$U$15,COLUMN()-26,FALSE)</f>
        <v>0</v>
      </c>
      <c r="AE13" s="120" cm="1">
        <f t="array" ref="AE13">VLOOKUP($Z13,$O$12:$U$15,COLUMN()-26,FALSE)</f>
        <v>3</v>
      </c>
      <c r="AF13" s="120" cm="1">
        <f t="array" ref="AF13">VLOOKUP($Z13,$O$12:$U$15,COLUMN()-26,FALSE)</f>
        <v>4</v>
      </c>
      <c r="AG13" s="120" cm="1">
        <f t="array" ref="AG13">VLOOKUP($Z13,$O$12:$U$15,COLUMN()-26,FALSE)</f>
        <v>1</v>
      </c>
      <c r="AH13" s="121" cm="1">
        <f t="array" ref="AH13">VLOOKUP($Z13,$O$12:$V$15,COLUMN()-26,FALSE)</f>
        <v>7.3034011999999997</v>
      </c>
      <c r="AI13" s="98"/>
      <c r="AJ13" s="74"/>
      <c r="AK13" s="74"/>
      <c r="AL13" s="99" cm="1">
        <f t="array" ref="AL13">LARGE(V12:V15,2)</f>
        <v>7.3034011999999997</v>
      </c>
      <c r="AM13" s="100" cm="1">
        <f t="array" ref="AM13">(AH13-AL13)*100000000000000000000</f>
        <v>0</v>
      </c>
      <c r="AN13" s="74"/>
      <c r="AO13" s="74"/>
      <c r="AP13" s="101" t="str" cm="1">
        <f t="array" ref="AP13">O13</f>
        <v>Bosnia</v>
      </c>
      <c r="AQ13" s="102" cm="1">
        <f t="array" ref="AQ13">P13*3+Q13*1+BT13+CN13+S13/1000+T13/10000</f>
        <v>1.2981</v>
      </c>
      <c r="AR13" s="102" t="b" cm="1">
        <f t="array" ref="AR13">IF(OR(AQ13=AQ14,AQ13=AQ15),1)</f>
        <v>0</v>
      </c>
      <c r="AS13" s="103" cm="1">
        <f t="array" ref="AS13">AV13</f>
        <v>0</v>
      </c>
      <c r="AT13" s="103" cm="1">
        <f t="array" ref="AT13">IF(AND(AM16="si",OR(AR12=1,AR13=1,AR14=1)),1,0)</f>
        <v>1</v>
      </c>
      <c r="AU13" s="122" t="str" cm="1">
        <f t="array" ref="AU13">O13</f>
        <v>Bosnia</v>
      </c>
      <c r="AV13" s="101"/>
      <c r="AW13" s="106"/>
      <c r="AX13" s="74" t="str" cm="1">
        <f t="array" ref="AX13">Y11</f>
        <v>Grupo B</v>
      </c>
      <c r="AY13" s="76" t="str" cm="1">
        <f t="array" ref="AY13">O13</f>
        <v>Bosnia</v>
      </c>
      <c r="AZ13" s="107" cm="1">
        <f t="array" ref="AZ13">P13*3+Q13</f>
        <v>1</v>
      </c>
      <c r="BA13" s="107" cm="1">
        <f t="array" ref="BA13">COUNTIFS($AX$1:AX13,AX13,$AZ$1:AZ13,AZ13)</f>
        <v>1</v>
      </c>
      <c r="BB13" s="107" cm="1">
        <f t="array" ref="BB13">IF(AZ13=BF10,ROW()*0.001,AZ13)</f>
        <v>1.3000000000000001E-2</v>
      </c>
      <c r="BC13" s="107" cm="1">
        <f t="array" ref="BC13">COUNTIFS($AX$1:AZ13,AZ13,$AZ$1:BB13,BB13)</f>
        <v>1</v>
      </c>
      <c r="BD13" s="107"/>
      <c r="BE13" s="108" t="str" cm="1">
        <f t="array" ref="BE13">IF(OR(BF13="-",BI13="-",BF10=0),"-","OK")</f>
        <v>-</v>
      </c>
      <c r="BF13" s="109" t="str" cm="1">
        <f t="array" ref="BF13">IF(_xlfn.XLOOKUP($E13,$AY1:$AY108,$AZ1:$AZ108,"-",0)=BF10,$E13,"-")</f>
        <v>Qatar</v>
      </c>
      <c r="BG13" s="110" cm="1">
        <f t="array" ref="BG13">$F13</f>
        <v>0</v>
      </c>
      <c r="BH13" s="110" cm="1">
        <f t="array" ref="BH13">$G13</f>
        <v>2</v>
      </c>
      <c r="BI13" s="109" t="str" cm="1">
        <f t="array" ref="BI13">IF(_xlfn.XLOOKUP($H13,$AY1:$AY108,$AZ1:$AZ108,"-",0)=BF10,$H13,"-")</f>
        <v>-</v>
      </c>
      <c r="BJ13" s="74"/>
      <c r="BK13" s="79" t="str" cm="1">
        <f t="array" ref="BK13">O13</f>
        <v>Bosnia</v>
      </c>
      <c r="BL13" s="111" cm="1">
        <f t="array" ref="BL13">COUNTIFS($BE1:$BE108,"OK",$BI1:$BI108,BK13)+COUNTIFS($BE1:$BE108,"OK",$BF1:$BF108,BK13)</f>
        <v>1</v>
      </c>
      <c r="BM13" s="112" cm="1">
        <f t="array" ref="BM13">COUNTIFS(J1:J108,$BK13,$BE1:$BE108,"OK")</f>
        <v>0</v>
      </c>
      <c r="BN13" s="112" cm="1">
        <f t="array" ref="BN13">COUNTIFS(K1:K108,$BK13,$BE1:$BE108,"OK")+COUNTIFS(L1:L108,$BK13,$BE1:$BE108,"OK")</f>
        <v>1</v>
      </c>
      <c r="BO13" s="112" cm="1">
        <f t="array" ref="BO13">COUNTIFS(M1:M108,$BK13,$BE1:$BE108,"OK")</f>
        <v>0</v>
      </c>
      <c r="BP13" s="112" cm="1">
        <f t="array" ref="BP13">BQ13-BR13</f>
        <v>0</v>
      </c>
      <c r="BQ13" s="112" cm="1">
        <f t="array" ref="BQ13">SUMIFS(BG1:BG108,$BE1:$BE108,"OK",BF1:BF108,$BK13)+SUMIFS(BH1:BH108,$BE1:$BE108,"OK",BI1:BI108,$BK13)</f>
        <v>1</v>
      </c>
      <c r="BR13" s="112" cm="1">
        <f t="array" ref="BR13">SUMIFS(BH1:BH108,$BE1:$BE108,"OK",BF1:BF108,$BK13)+SUMIFS(BG1:BG108,$BE1:$BE108,"OK",BI1:BI108,$BK13)</f>
        <v>1</v>
      </c>
      <c r="BS13" s="113" cm="1">
        <f t="array" ref="BS13">BM13*3+BN13*1+BP13/100+BQ13/10000</f>
        <v>1.0001</v>
      </c>
      <c r="BT13" s="107" cm="1">
        <f t="array" ref="BT13">IF(BL13=0,0,_xlfn.XLOOKUP(BS13,BV12:BV15,BW12:BW15))</f>
        <v>0.3</v>
      </c>
      <c r="BU13" s="99"/>
      <c r="BV13" s="113" cm="1">
        <f t="array" ref="BV13">LARGE(BS12:BS15,2)</f>
        <v>1.0001</v>
      </c>
      <c r="BW13" s="112" cm="1">
        <f t="array" ref="BW13">BX13/$BW$1</f>
        <v>0.2</v>
      </c>
      <c r="BX13" s="114">
        <v>2</v>
      </c>
      <c r="BY13" s="108" t="str" cm="1">
        <f t="array" ref="BY13">IF(OR(BZ13="-",CC13="-"),"-","OK")</f>
        <v>-</v>
      </c>
      <c r="BZ13" s="109" t="str" cm="1">
        <f t="array" ref="BZ13">IF(_xlfn.XLOOKUP($E13,$AY1:$AY108,$AZ1:$AZ108,"-",0)=BZ10,$E13,"-")</f>
        <v>-</v>
      </c>
      <c r="CA13" s="110" cm="1">
        <f t="array" ref="CA13">$F13</f>
        <v>0</v>
      </c>
      <c r="CB13" s="110" cm="1">
        <f t="array" ref="CB13">$G13</f>
        <v>2</v>
      </c>
      <c r="CC13" s="109" t="str" cm="1">
        <f t="array" ref="CC13">IF(_xlfn.XLOOKUP($H13,$AY1:$AY108,$AZ1:$AZ108,"-",0)=BZ10,$H13,"-")</f>
        <v>Suiza</v>
      </c>
      <c r="CD13" s="74"/>
      <c r="CE13" s="79" t="str" cm="1">
        <f t="array" ref="CE13">BK13</f>
        <v>Bosnia</v>
      </c>
      <c r="CF13" s="111" cm="1">
        <f t="array" ref="CF13">COUNTIFS($BY1:$BY108,"OK",$CC1:$CC108,CE13)+COUNTIFS($BY1:$BY108,"OK",$BZ1:$BZ108,CE13)</f>
        <v>0</v>
      </c>
      <c r="CG13" s="112" cm="1">
        <f t="array" ref="CG13">COUNTIFS(P1:P108,$BK13,$BY1:$BY108,"OK")</f>
        <v>0</v>
      </c>
      <c r="CH13" s="112" cm="1">
        <f t="array" ref="CH13">COUNTIFS(K1:K108,$BK13,$BY1:$BY108,"OK")+COUNTIFS(L1:L108,$BK13,$BY1:$BY108,"OK")</f>
        <v>0</v>
      </c>
      <c r="CI13" s="112" cm="1">
        <f t="array" ref="CI13">COUNTIFS(M1:M108,$CE13,$BY1:$BY108,"OK")</f>
        <v>0</v>
      </c>
      <c r="CJ13" s="112" cm="1">
        <f t="array" ref="CJ13">CK13-CL13</f>
        <v>0</v>
      </c>
      <c r="CK13" s="112" cm="1">
        <f t="array" ref="CK13">SUMIFS(CA1:CA108,$BY1:$BY108,"OK",BZ1:BZ108,$BK13)+SUMIFS(CB1:CB108,$BY1:$BY108,"OK",CC1:CC108,$BK13)</f>
        <v>0</v>
      </c>
      <c r="CL13" s="112" cm="1">
        <f t="array" ref="CL13">SUMIFS(CB1:CB108,$BY1:$BY108,"OK",BZ1:BZ108,$BK13)+SUMIFS(CA1:CA108,$BY1:$BY108,"OK",CC1:CC108,$BK13)</f>
        <v>0</v>
      </c>
      <c r="CM13" s="113" cm="1">
        <f t="array" ref="CM13">CG13*3+CH13*1+CJ13/100+CK13/10000</f>
        <v>0</v>
      </c>
      <c r="CN13" s="107" cm="1">
        <f t="array" ref="CN13">IF(CF13=0,0,_xlfn.XLOOKUP(CM13,CP12:CP15,CQ12:CQ15))</f>
        <v>0</v>
      </c>
      <c r="CO13" s="99"/>
      <c r="CP13" s="113" cm="1">
        <f t="array" ref="CP13">LARGE(CM12:CM15,2)</f>
        <v>1.0001</v>
      </c>
      <c r="CQ13" s="112" cm="1">
        <f t="array" ref="CQ13">CR13/$BW$1</f>
        <v>0.2</v>
      </c>
      <c r="CR13" s="114">
        <v>2</v>
      </c>
      <c r="CS13" s="74"/>
      <c r="CT13" s="74"/>
      <c r="CU13" s="82"/>
      <c r="CV13" s="165" t="str" cm="1">
        <f t="array" ref="CV13">'Mejores 3eros'!AP13</f>
        <v>Ghana</v>
      </c>
      <c r="CW13" s="166" t="str" cm="1">
        <f t="array" ref="CW13">_xlfn.XLOOKUP(CV13,'Mejores 3eros'!$BD$2:$BD$13,'Mejores 3eros'!$BG$2:$BG$13,"-",0)</f>
        <v>IN</v>
      </c>
      <c r="CX13" s="167" t="s">
        <v>118</v>
      </c>
    </row>
    <row r="14" spans="1:102" ht="14.25" customHeight="1">
      <c r="A14" s="85" t="s">
        <v>136</v>
      </c>
      <c r="B14" s="86">
        <v>46191</v>
      </c>
      <c r="C14" s="87"/>
      <c r="D14" s="88"/>
      <c r="E14" s="85" t="s">
        <v>65</v>
      </c>
      <c r="F14" s="89">
        <v>1</v>
      </c>
      <c r="G14" s="89">
        <v>0</v>
      </c>
      <c r="H14" s="90" t="s">
        <v>84</v>
      </c>
      <c r="I14" s="65"/>
      <c r="J14" s="65" t="str" cm="1">
        <f t="array" ref="J14">IF(OR(ISBLANK(F14),ISBLANK(G14)),"",IF(F14&gt;G14,E14,IF(G14&gt;F14,H14,"")))</f>
        <v>Suiza</v>
      </c>
      <c r="K14" s="65" t="str" cm="1">
        <f t="array" ref="K14">IF(OR(ISBLANK(F14),ISBLANK(G14)),"",IF(F14=G14,E14,""))</f>
        <v/>
      </c>
      <c r="L14" s="65" t="str" cm="1">
        <f t="array" ref="L14">IF(OR(ISBLANK(F14),ISBLANK(G14)),"",IF(F14=G14,H14,""))</f>
        <v/>
      </c>
      <c r="M14" s="65" t="str" cm="1">
        <f t="array" ref="M14">IF(OR(ISBLANK(F14),ISBLANK(G14)),"",IF(F14&lt;G14,E14,IF(G14&lt;F14,H14,"")))</f>
        <v>Bosnia</v>
      </c>
      <c r="N14" s="65"/>
      <c r="O14" s="67" t="str" cm="1">
        <f t="array" ref="O14">E13</f>
        <v>Qatar</v>
      </c>
      <c r="P14" s="91" cm="1">
        <f t="array" ref="P14">COUNTIF(J12:J17,"="&amp;$O14)</f>
        <v>0</v>
      </c>
      <c r="Q14" s="91" cm="1">
        <f t="array" ref="Q14">COUNTIF(K12:L17,"="&amp;$O14)</f>
        <v>1</v>
      </c>
      <c r="R14" s="91" cm="1">
        <f t="array" ref="R14">COUNTIF(M12:M17,"="&amp;$O14)</f>
        <v>2</v>
      </c>
      <c r="S14" s="91" cm="1">
        <f t="array" ref="S14">T14-U14</f>
        <v>-4</v>
      </c>
      <c r="T14" s="91" cm="1">
        <f t="array" ref="T14">SUMIF(E12:E17,$O14,F12:F17)+SUMIF(H12:H17,$O14,G12:G17)</f>
        <v>1</v>
      </c>
      <c r="U14" s="91" cm="1">
        <f t="array" ref="U14">SUMIF(E12:E17,$O14,G12:G17)+SUMIF(H12:H17,$O14,F12:F17)</f>
        <v>5</v>
      </c>
      <c r="V14" s="92" cm="1">
        <f t="array" ref="V14">P14*3+Q14*1+BT14+CN14+S14/1000+T14/10000+AV14/1000000+ROW()/10000000</f>
        <v>1.2961014</v>
      </c>
      <c r="W14" s="67" t="str" cm="1">
        <f t="array" ref="W14">O14</f>
        <v>Qatar</v>
      </c>
      <c r="X14" s="65"/>
      <c r="Y14" s="125" t="str" cm="1">
        <f t="array" ref="Y14">CONCATENATE("3",RIGHT(E11,1))</f>
        <v>3B</v>
      </c>
      <c r="Z14" s="126" t="str" cm="1">
        <f t="array" ref="Z14">VLOOKUP(AL14,V12:W15,2,FALSE)</f>
        <v>Bosnia</v>
      </c>
      <c r="AA14" s="127" cm="1">
        <f t="array" ref="AA14">SUM(AB14:AD14)</f>
        <v>3</v>
      </c>
      <c r="AB14" s="128" cm="1">
        <f t="array" ref="AB14">VLOOKUP($Z14,$O$12:$U$15,COLUMN()-26,FALSE)</f>
        <v>0</v>
      </c>
      <c r="AC14" s="128" cm="1">
        <f t="array" ref="AC14">VLOOKUP($Z14,$O$12:$U$15,COLUMN()-26,FALSE)</f>
        <v>1</v>
      </c>
      <c r="AD14" s="128" cm="1">
        <f t="array" ref="AD14">VLOOKUP($Z14,$O$12:$U$15,COLUMN()-26,FALSE)</f>
        <v>2</v>
      </c>
      <c r="AE14" s="128" cm="1">
        <f t="array" ref="AE14">VLOOKUP($Z14,$O$12:$U$15,COLUMN()-26,FALSE)</f>
        <v>-2</v>
      </c>
      <c r="AF14" s="128" cm="1">
        <f t="array" ref="AF14">VLOOKUP($Z14,$O$12:$U$15,COLUMN()-26,FALSE)</f>
        <v>1</v>
      </c>
      <c r="AG14" s="128" cm="1">
        <f t="array" ref="AG14">VLOOKUP($Z14,$O$12:$U$15,COLUMN()-26,FALSE)</f>
        <v>3</v>
      </c>
      <c r="AH14" s="129" cm="1">
        <f t="array" ref="AH14">VLOOKUP($Z14,$O$12:$V$15,COLUMN()-26,FALSE)</f>
        <v>1.2981013000000001</v>
      </c>
      <c r="AI14" s="130" cm="1">
        <f t="array" ref="AI14">(COUNTIFS($CV$2:$CV$13,Z14,$CX$2:$CX$13,"IN")+COUNTIFS($CV$2:$CV$13,Z14,$CW$2:$CW$13,"IN"))*IF(SUM(AA12:AA15)=12,1,0)</f>
        <v>0</v>
      </c>
      <c r="AJ14" s="74"/>
      <c r="AK14" s="74"/>
      <c r="AL14" s="99" cm="1">
        <f t="array" ref="AL14">LARGE(V12:V15,3)</f>
        <v>1.2981013000000001</v>
      </c>
      <c r="AM14" s="100" cm="1">
        <f t="array" ref="AM14">(AH14-AL14)*100000000000000000000</f>
        <v>0</v>
      </c>
      <c r="AN14" s="74"/>
      <c r="AO14" s="74"/>
      <c r="AP14" s="101" t="str" cm="1">
        <f t="array" ref="AP14">O14</f>
        <v>Qatar</v>
      </c>
      <c r="AQ14" s="102" cm="1">
        <f t="array" ref="AQ14">P14*3+Q14*1+BT14+CN14+S14/1000+T14/10000</f>
        <v>1.2961</v>
      </c>
      <c r="AR14" s="102" t="b" cm="1">
        <f t="array" ref="AR14">IF(OR(AQ14=AQ15),1)</f>
        <v>0</v>
      </c>
      <c r="AS14" s="103" cm="1">
        <f t="array" ref="AS14">AV14</f>
        <v>0</v>
      </c>
      <c r="AT14" s="103" cm="1">
        <f t="array" ref="AT14">IF(AND(AM16="si",OR(AR12=1,AR13=1,AR14=1)),1,0)</f>
        <v>1</v>
      </c>
      <c r="AU14" s="122" t="str" cm="1">
        <f t="array" ref="AU14">O14</f>
        <v>Qatar</v>
      </c>
      <c r="AV14" s="101"/>
      <c r="AW14" s="106"/>
      <c r="AX14" s="74" t="str" cm="1">
        <f t="array" ref="AX14">Y11</f>
        <v>Grupo B</v>
      </c>
      <c r="AY14" s="76" t="str" cm="1">
        <f t="array" ref="AY14">O14</f>
        <v>Qatar</v>
      </c>
      <c r="AZ14" s="107" cm="1">
        <f t="array" ref="AZ14">P14*3+Q14</f>
        <v>1</v>
      </c>
      <c r="BA14" s="107" cm="1">
        <f t="array" ref="BA14">COUNTIFS($AX$1:AX14,AX14,$AZ$1:AZ14,AZ14)</f>
        <v>2</v>
      </c>
      <c r="BB14" s="107" cm="1">
        <f t="array" ref="BB14">IF(AZ14=BF10,ROW()*0.001,AZ14)</f>
        <v>1.4E-2</v>
      </c>
      <c r="BC14" s="107" cm="1">
        <f t="array" ref="BC14">COUNTIFS($AX$1:AZ14,AZ14,$AZ$1:BB14,BB14)</f>
        <v>1</v>
      </c>
      <c r="BD14" s="107"/>
      <c r="BE14" s="108" t="str" cm="1">
        <f t="array" ref="BE14">IF(OR(BF14="-",BI14="-",BF10=0),"-","OK")</f>
        <v>-</v>
      </c>
      <c r="BF14" s="109" t="str" cm="1">
        <f t="array" ref="BF14">IF(_xlfn.XLOOKUP($E14,$AY1:$AY108,$AZ1:$AZ108,"-",0)=BF10,$E14,"-")</f>
        <v>-</v>
      </c>
      <c r="BG14" s="110" cm="1">
        <f t="array" ref="BG14">$F14</f>
        <v>1</v>
      </c>
      <c r="BH14" s="110" cm="1">
        <f t="array" ref="BH14">$G14</f>
        <v>0</v>
      </c>
      <c r="BI14" s="109" t="str" cm="1">
        <f t="array" ref="BI14">IF(_xlfn.XLOOKUP($H14,$AY1:$AY108,$AZ1:$AZ108,"-",0)=BF10,$H14,"-")</f>
        <v>Bosnia</v>
      </c>
      <c r="BJ14" s="74"/>
      <c r="BK14" s="79" t="str" cm="1">
        <f t="array" ref="BK14">O14</f>
        <v>Qatar</v>
      </c>
      <c r="BL14" s="111" cm="1">
        <f t="array" ref="BL14">COUNTIFS($BE1:$BE108,"OK",$BI1:$BI108,BK14)+COUNTIFS($BE1:$BE108,"OK",$BF1:$BF108,BK14)</f>
        <v>1</v>
      </c>
      <c r="BM14" s="112" cm="1">
        <f t="array" ref="BM14">COUNTIFS(J1:J108,$BK14,$BE1:$BE108,"OK")</f>
        <v>0</v>
      </c>
      <c r="BN14" s="112" cm="1">
        <f t="array" ref="BN14">COUNTIFS(K1:K108,$BK14,$BE1:$BE108,"OK")+COUNTIFS(L1:L108,$BK14,$BE1:$BE108,"OK")</f>
        <v>1</v>
      </c>
      <c r="BO14" s="112" cm="1">
        <f t="array" ref="BO14">COUNTIFS(M1:M108,$BK14,$BE1:$BE108,"OK")</f>
        <v>0</v>
      </c>
      <c r="BP14" s="112" cm="1">
        <f t="array" ref="BP14">BQ14-BR14</f>
        <v>0</v>
      </c>
      <c r="BQ14" s="112" cm="1">
        <f t="array" ref="BQ14">SUMIFS(BG1:BG108,$BE1:$BE108,"OK",BF1:BF108,$BK14)+SUMIFS(BH1:BH108,$BE1:$BE108,"OK",BI1:BI108,$BK14)</f>
        <v>1</v>
      </c>
      <c r="BR14" s="112" cm="1">
        <f t="array" ref="BR14">SUMIFS(BH1:BH108,$BE1:$BE108,"OK",BF1:BF108,$BK14)+SUMIFS(BG1:BG108,$BE1:$BE108,"OK",BI1:BI108,$BK14)</f>
        <v>1</v>
      </c>
      <c r="BS14" s="113" cm="1">
        <f t="array" ref="BS14">BM14*3+BN14*1+BP14/100+BQ14/10000</f>
        <v>1.0001</v>
      </c>
      <c r="BT14" s="107" cm="1">
        <f t="array" ref="BT14">IF(BL14=0,0,_xlfn.XLOOKUP(BS14,BV12:BV15,BW12:BW15))</f>
        <v>0.3</v>
      </c>
      <c r="BU14" s="99"/>
      <c r="BV14" s="113" cm="1">
        <f t="array" ref="BV14">LARGE(BS12:BS15,3)</f>
        <v>0</v>
      </c>
      <c r="BW14" s="112" cm="1">
        <f t="array" ref="BW14">BX14/$BW$1</f>
        <v>0.1</v>
      </c>
      <c r="BX14" s="114">
        <v>1</v>
      </c>
      <c r="BY14" s="108" t="str" cm="1">
        <f t="array" ref="BY14">IF(OR(BZ14="-",CC14="-"),"-","OK")</f>
        <v>-</v>
      </c>
      <c r="BZ14" s="109" t="str" cm="1">
        <f t="array" ref="BZ14">IF(_xlfn.XLOOKUP($E14,$AY1:$AY108,$AZ1:$AZ108,"-",0)=BZ10,$E14,"-")</f>
        <v>Suiza</v>
      </c>
      <c r="CA14" s="110" cm="1">
        <f t="array" ref="CA14">$F14</f>
        <v>1</v>
      </c>
      <c r="CB14" s="110" cm="1">
        <f t="array" ref="CB14">$G14</f>
        <v>0</v>
      </c>
      <c r="CC14" s="109" t="str" cm="1">
        <f t="array" ref="CC14">IF(_xlfn.XLOOKUP($H14,$AY1:$AY108,$AZ1:$AZ108,"-",0)=BZ10,$H14,"-")</f>
        <v>-</v>
      </c>
      <c r="CD14" s="74"/>
      <c r="CE14" s="79" t="str" cm="1">
        <f t="array" ref="CE14">BK14</f>
        <v>Qatar</v>
      </c>
      <c r="CF14" s="111" cm="1">
        <f t="array" ref="CF14">COUNTIFS($BY1:$BY108,"OK",$CC1:$CC108,CE14)+COUNTIFS($BY1:$BY108,"OK",$BZ1:$BZ108,CE14)</f>
        <v>0</v>
      </c>
      <c r="CG14" s="112" cm="1">
        <f t="array" ref="CG14">COUNTIFS(P1:P108,$BK14,$BY1:$BY108,"OK")</f>
        <v>0</v>
      </c>
      <c r="CH14" s="112" cm="1">
        <f t="array" ref="CH14">COUNTIFS(K1:K108,$BK14,$BY1:$BY108,"OK")+COUNTIFS(L1:L108,$BK14,$BY1:$BY108,"OK")</f>
        <v>0</v>
      </c>
      <c r="CI14" s="112" cm="1">
        <f t="array" ref="CI14">COUNTIFS(M1:M108,$CE14,$BY1:$BY108,"OK")</f>
        <v>0</v>
      </c>
      <c r="CJ14" s="112" cm="1">
        <f t="array" ref="CJ14">CK14-CL14</f>
        <v>0</v>
      </c>
      <c r="CK14" s="112" cm="1">
        <f t="array" ref="CK14">SUMIFS(CA1:CA108,$BY1:$BY108,"OK",BZ1:BZ108,$BK14)+SUMIFS(CB1:CB108,$BY1:$BY108,"OK",CC1:CC108,$BK14)</f>
        <v>0</v>
      </c>
      <c r="CL14" s="112" cm="1">
        <f t="array" ref="CL14">SUMIFS(CB1:CB108,$BY1:$BY108,"OK",BZ1:BZ108,$BK14)+SUMIFS(CA1:CA108,$BY1:$BY108,"OK",CC1:CC108,$BK14)</f>
        <v>0</v>
      </c>
      <c r="CM14" s="113" cm="1">
        <f t="array" ref="CM14">CG14*3+CH14*1+CJ14/100+CK14/10000</f>
        <v>0</v>
      </c>
      <c r="CN14" s="107" cm="1">
        <f t="array" ref="CN14">IF(CF14=0,0,_xlfn.XLOOKUP(CM14,CP12:CP15,CQ12:CQ15))</f>
        <v>0</v>
      </c>
      <c r="CO14" s="99"/>
      <c r="CP14" s="113" cm="1">
        <f t="array" ref="CP14">LARGE(CM12:CM15,3)</f>
        <v>0</v>
      </c>
      <c r="CQ14" s="112" cm="1">
        <f t="array" ref="CQ14">CR14/$BW$1</f>
        <v>0.1</v>
      </c>
      <c r="CR14" s="114">
        <v>1</v>
      </c>
      <c r="CS14" s="74"/>
      <c r="CT14" s="74"/>
      <c r="CU14" s="74"/>
      <c r="CV14" s="168" t="s">
        <v>96</v>
      </c>
      <c r="CW14" s="169"/>
      <c r="CX14" s="170"/>
    </row>
    <row r="15" spans="1:102" ht="14.25" customHeight="1">
      <c r="A15" s="85" t="s">
        <v>138</v>
      </c>
      <c r="B15" s="86">
        <v>46191</v>
      </c>
      <c r="C15" s="87"/>
      <c r="D15" s="88"/>
      <c r="E15" s="85" t="s">
        <v>76</v>
      </c>
      <c r="F15" s="89">
        <v>2</v>
      </c>
      <c r="G15" s="89">
        <v>0</v>
      </c>
      <c r="H15" s="90" t="s">
        <v>89</v>
      </c>
      <c r="I15" s="65"/>
      <c r="J15" s="65" t="str" cm="1">
        <f t="array" ref="J15">IF(OR(ISBLANK(F15),ISBLANK(G15)),"",IF(F15&gt;G15,E15,IF(G15&gt;F15,H15,"")))</f>
        <v>Canada</v>
      </c>
      <c r="K15" s="65" t="str" cm="1">
        <f t="array" ref="K15">IF(OR(ISBLANK(F15),ISBLANK(G15)),"",IF(F15=G15,E15,""))</f>
        <v/>
      </c>
      <c r="L15" s="65" t="str" cm="1">
        <f t="array" ref="L15">IF(OR(ISBLANK(F15),ISBLANK(G15)),"",IF(F15=G15,H15,""))</f>
        <v/>
      </c>
      <c r="M15" s="65" t="str" cm="1">
        <f t="array" ref="M15">IF(OR(ISBLANK(F15),ISBLANK(G15)),"",IF(F15&lt;G15,E15,IF(G15&lt;F15,H15,"")))</f>
        <v>Qatar</v>
      </c>
      <c r="N15" s="65"/>
      <c r="O15" s="67" t="str" cm="1">
        <f t="array" ref="O15">H13</f>
        <v>Suiza</v>
      </c>
      <c r="P15" s="91" cm="1">
        <f t="array" ref="P15">COUNTIF(J12:J17,"="&amp;$O15)</f>
        <v>2</v>
      </c>
      <c r="Q15" s="91" cm="1">
        <f t="array" ref="Q15">COUNTIF(K12:L17,"="&amp;$O15)</f>
        <v>1</v>
      </c>
      <c r="R15" s="91" cm="1">
        <f t="array" ref="R15">COUNTIF(M12:M17,"="&amp;$O15)</f>
        <v>0</v>
      </c>
      <c r="S15" s="91" cm="1">
        <f t="array" ref="S15">T15-U15</f>
        <v>3</v>
      </c>
      <c r="T15" s="91" cm="1">
        <f t="array" ref="T15">SUMIF(E12:E17,$O15,F12:F17)+SUMIF(H12:H17,$O15,G12:G17)</f>
        <v>4</v>
      </c>
      <c r="U15" s="91" cm="1">
        <f t="array" ref="U15">SUMIF(E12:E17,$O15,G12:G17)+SUMIF(H12:H17,$O15,F12:F17)</f>
        <v>1</v>
      </c>
      <c r="V15" s="92" cm="1">
        <f t="array" ref="V15">P15*3+Q15*1+BT15+CN15+S15/1000+T15/10000+AV15/1000000+ROW()/10000000</f>
        <v>7.3034014999999997</v>
      </c>
      <c r="W15" s="67" t="str" cm="1">
        <f t="array" ref="W15">O15</f>
        <v>Suiza</v>
      </c>
      <c r="X15" s="65"/>
      <c r="Y15" s="131" t="str" cm="1">
        <f t="array" ref="Y15">CONCATENATE("4",RIGHT(E11,1))</f>
        <v>4B</v>
      </c>
      <c r="Z15" s="132" t="str" cm="1">
        <f t="array" ref="Z15">VLOOKUP(AL15,V12:W15,2,FALSE)</f>
        <v>Qatar</v>
      </c>
      <c r="AA15" s="133" cm="1">
        <f t="array" ref="AA15">SUM(AB15:AD15)</f>
        <v>3</v>
      </c>
      <c r="AB15" s="134" cm="1">
        <f t="array" ref="AB15">VLOOKUP($Z15,$O$12:$U$15,COLUMN()-26,FALSE)</f>
        <v>0</v>
      </c>
      <c r="AC15" s="134" cm="1">
        <f t="array" ref="AC15">VLOOKUP($Z15,$O$12:$U$15,COLUMN()-26,FALSE)</f>
        <v>1</v>
      </c>
      <c r="AD15" s="134" cm="1">
        <f t="array" ref="AD15">VLOOKUP($Z15,$O$12:$U$15,COLUMN()-26,FALSE)</f>
        <v>2</v>
      </c>
      <c r="AE15" s="134" cm="1">
        <f t="array" ref="AE15">VLOOKUP($Z15,$O$12:$U$15,COLUMN()-26,FALSE)</f>
        <v>-4</v>
      </c>
      <c r="AF15" s="134" cm="1">
        <f t="array" ref="AF15">VLOOKUP($Z15,$O$12:$U$15,COLUMN()-26,FALSE)</f>
        <v>1</v>
      </c>
      <c r="AG15" s="134" cm="1">
        <f t="array" ref="AG15">VLOOKUP($Z15,$O$12:$U$15,COLUMN()-26,FALSE)</f>
        <v>5</v>
      </c>
      <c r="AH15" s="135" cm="1">
        <f t="array" ref="AH15">VLOOKUP($Z15,$O$12:$V$15,COLUMN()-26,FALSE)</f>
        <v>1.2961014</v>
      </c>
      <c r="AI15" s="130"/>
      <c r="AJ15" s="74"/>
      <c r="AK15" s="74"/>
      <c r="AL15" s="99" cm="1">
        <f t="array" ref="AL15">LARGE(V12:V15,4)</f>
        <v>1.2961014</v>
      </c>
      <c r="AM15" s="100" cm="1">
        <f t="array" ref="AM15">(AH15-AL15)*100000000000000000000</f>
        <v>0</v>
      </c>
      <c r="AN15" s="74"/>
      <c r="AO15" s="74"/>
      <c r="AP15" s="101" t="str" cm="1">
        <f t="array" ref="AP15">O15</f>
        <v>Suiza</v>
      </c>
      <c r="AQ15" s="102" cm="1">
        <f t="array" ref="AQ15">P15*3+Q15*1+BT15+CN15+S15/1000+T15/10000</f>
        <v>7.3033999999999999</v>
      </c>
      <c r="AR15" s="65"/>
      <c r="AS15" s="103" cm="1">
        <f t="array" ref="AS15">AV15</f>
        <v>0</v>
      </c>
      <c r="AT15" s="103" cm="1">
        <f t="array" ref="AT15">IF(AND(AM16="si",OR(AR12=1,AR13=1,AR14=1)),1,0)</f>
        <v>1</v>
      </c>
      <c r="AU15" s="136" t="str" cm="1">
        <f t="array" ref="AU15">O15</f>
        <v>Suiza</v>
      </c>
      <c r="AV15" s="137"/>
      <c r="AW15" s="106"/>
      <c r="AX15" s="74" t="str" cm="1">
        <f t="array" ref="AX15">Y11</f>
        <v>Grupo B</v>
      </c>
      <c r="AY15" s="76" t="str" cm="1">
        <f t="array" ref="AY15">O15</f>
        <v>Suiza</v>
      </c>
      <c r="AZ15" s="107" cm="1">
        <f t="array" ref="AZ15">P15*3+Q15</f>
        <v>7</v>
      </c>
      <c r="BA15" s="107" cm="1">
        <f t="array" ref="BA15">COUNTIFS($AX$1:AX15,AX15,$AZ$1:AZ15,AZ15)</f>
        <v>2</v>
      </c>
      <c r="BB15" s="107" cm="1">
        <f t="array" ref="BB15">IF(AZ15=BF10,ROW()*0.001,AZ15)</f>
        <v>7</v>
      </c>
      <c r="BC15" s="107" cm="1">
        <f t="array" ref="BC15">COUNTIFS($AX$1:AZ15,AZ15,$AZ$1:BB15,BB15)</f>
        <v>2</v>
      </c>
      <c r="BD15" s="107"/>
      <c r="BE15" s="108" t="str" cm="1">
        <f t="array" ref="BE15">IF(OR(BF15="-",BI15="-",BF10=0),"-","OK")</f>
        <v>-</v>
      </c>
      <c r="BF15" s="109" t="str" cm="1">
        <f t="array" ref="BF15">IF(_xlfn.XLOOKUP($E15,$AY1:$AY108,$AZ1:$AZ108,"-",0)=BF10,$E15,"-")</f>
        <v>-</v>
      </c>
      <c r="BG15" s="110" cm="1">
        <f t="array" ref="BG15">$F15</f>
        <v>2</v>
      </c>
      <c r="BH15" s="110" cm="1">
        <f t="array" ref="BH15">$G15</f>
        <v>0</v>
      </c>
      <c r="BI15" s="109" t="str" cm="1">
        <f t="array" ref="BI15">IF(_xlfn.XLOOKUP($H15,$AY1:$AY108,$AZ1:$AZ108,"-",0)=BF10,$H15,"-")</f>
        <v>Qatar</v>
      </c>
      <c r="BJ15" s="74"/>
      <c r="BK15" s="79" t="str" cm="1">
        <f t="array" ref="BK15">O15</f>
        <v>Suiza</v>
      </c>
      <c r="BL15" s="111" cm="1">
        <f t="array" ref="BL15">COUNTIFS($BE1:$BE108,"OK",$BI1:$BI108,BK15)+COUNTIFS($BE1:$BE108,"OK",$BF1:$BF108,BK15)</f>
        <v>0</v>
      </c>
      <c r="BM15" s="112" cm="1">
        <f t="array" ref="BM15">COUNTIFS(J1:J108,$BK15,$BE1:$BE108,"OK")</f>
        <v>0</v>
      </c>
      <c r="BN15" s="112" cm="1">
        <f t="array" ref="BN15">COUNTIFS(K1:K108,$BK15,$BE1:$BE108,"OK")+COUNTIFS(L1:L108,$BK15,$BE1:$BE108,"OK")</f>
        <v>0</v>
      </c>
      <c r="BO15" s="112" cm="1">
        <f t="array" ref="BO15">COUNTIFS(M1:M108,$BK15,$BE1:$BE108,"OK")</f>
        <v>0</v>
      </c>
      <c r="BP15" s="112" cm="1">
        <f t="array" ref="BP15">BQ15-BR15</f>
        <v>0</v>
      </c>
      <c r="BQ15" s="112" cm="1">
        <f t="array" ref="BQ15">SUMIFS(BG1:BG108,$BE1:$BE108,"OK",BF1:BF108,$BK15)+SUMIFS(BH1:BH108,$BE1:$BE108,"OK",BI1:BI108,$BK15)</f>
        <v>0</v>
      </c>
      <c r="BR15" s="112" cm="1">
        <f t="array" ref="BR15">SUMIFS(BH1:BH108,$BE1:$BE108,"OK",BF1:BF108,$BK15)+SUMIFS(BG1:BG108,$BE1:$BE108,"OK",BI1:BI108,$BK15)</f>
        <v>0</v>
      </c>
      <c r="BS15" s="113" cm="1">
        <f t="array" ref="BS15">BM15*3+BN15*1+BP15/100+BQ15/10000</f>
        <v>0</v>
      </c>
      <c r="BT15" s="107" cm="1">
        <f t="array" ref="BT15">IF(BL15=0,0,_xlfn.XLOOKUP(BS15,BV12:BV15,BW12:BW15))</f>
        <v>0</v>
      </c>
      <c r="BU15" s="99"/>
      <c r="BV15" s="113" cm="1">
        <f t="array" ref="BV15">LARGE(BS12:BS15,4)</f>
        <v>0</v>
      </c>
      <c r="BW15" s="112" cm="1">
        <f t="array" ref="BW15">BX15/$BW$1</f>
        <v>0</v>
      </c>
      <c r="BX15" s="114">
        <v>0</v>
      </c>
      <c r="BY15" s="108" t="str" cm="1">
        <f t="array" ref="BY15">IF(OR(BZ15="-",CC15="-"),"-","OK")</f>
        <v>-</v>
      </c>
      <c r="BZ15" s="109" t="str" cm="1">
        <f t="array" ref="BZ15">IF(_xlfn.XLOOKUP($E15,$AY1:$AY108,$AZ1:$AZ108,"-",0)=BZ10,$E15,"-")</f>
        <v>Canada</v>
      </c>
      <c r="CA15" s="110" cm="1">
        <f t="array" ref="CA15">$F15</f>
        <v>2</v>
      </c>
      <c r="CB15" s="110" cm="1">
        <f t="array" ref="CB15">$G15</f>
        <v>0</v>
      </c>
      <c r="CC15" s="109" t="str" cm="1">
        <f t="array" ref="CC15">IF(_xlfn.XLOOKUP($H15,$AY1:$AY108,$AZ1:$AZ108,"-",0)=BZ10,$H15,"-")</f>
        <v>-</v>
      </c>
      <c r="CD15" s="74"/>
      <c r="CE15" s="79" t="str" cm="1">
        <f t="array" ref="CE15">BK15</f>
        <v>Suiza</v>
      </c>
      <c r="CF15" s="111" cm="1">
        <f t="array" ref="CF15">COUNTIFS($BY1:$BY108,"OK",$CC1:$CC108,CE15)+COUNTIFS($BY1:$BY108,"OK",$BZ1:$BZ108,CE15)</f>
        <v>1</v>
      </c>
      <c r="CG15" s="112" cm="1">
        <f t="array" ref="CG15">COUNTIFS(P1:P108,$BK15,$BY1:$BY108,"OK")</f>
        <v>0</v>
      </c>
      <c r="CH15" s="112" cm="1">
        <f t="array" ref="CH15">COUNTIFS(K1:K108,$BK15,$BY1:$BY108,"OK")+COUNTIFS(L1:L108,$BK15,$BY1:$BY108,"OK")</f>
        <v>1</v>
      </c>
      <c r="CI15" s="112" cm="1">
        <f t="array" ref="CI15">COUNTIFS(M1:M108,$CE15,$BY1:$BY108,"OK")</f>
        <v>0</v>
      </c>
      <c r="CJ15" s="112" cm="1">
        <f t="array" ref="CJ15">CK15-CL15</f>
        <v>0</v>
      </c>
      <c r="CK15" s="112" cm="1">
        <f t="array" ref="CK15">SUMIFS(CA1:CA108,$BY1:$BY108,"OK",BZ1:BZ108,$BK15)+SUMIFS(CB1:CB108,$BY1:$BY108,"OK",CC1:CC108,$BK15)</f>
        <v>1</v>
      </c>
      <c r="CL15" s="112" cm="1">
        <f t="array" ref="CL15">SUMIFS(CB1:CB108,$BY1:$BY108,"OK",BZ1:BZ108,$BK15)+SUMIFS(CA1:CA108,$BY1:$BY108,"OK",CC1:CC108,$BK15)</f>
        <v>1</v>
      </c>
      <c r="CM15" s="113" cm="1">
        <f t="array" ref="CM15">CG15*3+CH15*1+CJ15/100+CK15/10000</f>
        <v>1.0001</v>
      </c>
      <c r="CN15" s="107" cm="1">
        <f t="array" ref="CN15">IF(CF15=0,0,_xlfn.XLOOKUP(CM15,CP12:CP15,CQ12:CQ15))</f>
        <v>0.3</v>
      </c>
      <c r="CO15" s="99"/>
      <c r="CP15" s="113" cm="1">
        <f t="array" ref="CP15">LARGE(CM12:CM15,4)</f>
        <v>0</v>
      </c>
      <c r="CQ15" s="112" cm="1">
        <f t="array" ref="CQ15">CR15/$BW$1</f>
        <v>0</v>
      </c>
      <c r="CR15" s="114">
        <v>0</v>
      </c>
      <c r="CS15" s="74"/>
      <c r="CT15" s="74"/>
      <c r="CU15" s="74"/>
      <c r="CV15" s="74"/>
      <c r="CW15" s="171" cm="1">
        <f t="array" aca="1" ref="CW15" ca="1">ROUNDDOWN(RAND()*4,0)</f>
        <v>1</v>
      </c>
      <c r="CX15" s="172"/>
    </row>
    <row r="16" spans="1:102" ht="14.25" customHeight="1">
      <c r="A16" s="85" t="s">
        <v>139</v>
      </c>
      <c r="B16" s="86">
        <v>46197</v>
      </c>
      <c r="C16" s="87"/>
      <c r="D16" s="88"/>
      <c r="E16" s="85" t="s">
        <v>65</v>
      </c>
      <c r="F16" s="89">
        <v>1</v>
      </c>
      <c r="G16" s="89">
        <v>1</v>
      </c>
      <c r="H16" s="90" t="s">
        <v>76</v>
      </c>
      <c r="I16" s="106"/>
      <c r="J16" s="74" t="str" cm="1">
        <f t="array" ref="J16">IF(OR(ISBLANK(F16),ISBLANK(G16)),"",IF(F16&gt;G16,E16,IF(G16&gt;F16,H16,"")))</f>
        <v/>
      </c>
      <c r="K16" s="74" t="str" cm="1">
        <f t="array" ref="K16">IF(OR(ISBLANK(F16),ISBLANK(G16)),"",IF(F16=G16,E16,""))</f>
        <v>Suiza</v>
      </c>
      <c r="L16" s="74" t="str" cm="1">
        <f t="array" ref="L16">IF(OR(ISBLANK(F16),ISBLANK(G16)),"",IF(F16=G16,H16,""))</f>
        <v>Canada</v>
      </c>
      <c r="M16" s="74" t="str" cm="1">
        <f t="array" ref="M16">IF(OR(ISBLANK(F16),ISBLANK(G16)),"",IF(F16&lt;G16,E16,IF(G16&lt;F16,H16,"")))</f>
        <v/>
      </c>
      <c r="N16" s="74"/>
      <c r="O16" s="74"/>
      <c r="P16" s="74"/>
      <c r="Q16" s="74"/>
      <c r="R16" s="74"/>
      <c r="S16" s="74"/>
      <c r="T16" s="74"/>
      <c r="U16" s="74"/>
      <c r="V16" s="74"/>
      <c r="W16" s="74"/>
      <c r="X16" s="74"/>
      <c r="Y16" s="138"/>
      <c r="Z16" s="138"/>
      <c r="AA16" s="138"/>
      <c r="AB16" s="138"/>
      <c r="AC16" s="138"/>
      <c r="AD16" s="138"/>
      <c r="AE16" s="138"/>
      <c r="AF16" s="138"/>
      <c r="AG16" s="138"/>
      <c r="AH16" s="138"/>
      <c r="AI16" s="74"/>
      <c r="AJ16" s="74"/>
      <c r="AK16" s="74"/>
      <c r="AL16" s="139" t="s">
        <v>128</v>
      </c>
      <c r="AM16" s="74" t="str" cm="1">
        <f t="array" ref="AM16">IF(SUM(AA12:AA15)=12,"si","no")</f>
        <v>si</v>
      </c>
      <c r="AN16" s="74"/>
      <c r="AO16" s="74"/>
      <c r="AP16" s="74"/>
      <c r="AQ16" s="74"/>
      <c r="AR16" s="74"/>
      <c r="AS16" s="74"/>
      <c r="AT16" s="74"/>
      <c r="AU16" s="138"/>
      <c r="AV16" s="138"/>
      <c r="AW16" s="74"/>
      <c r="AX16" s="74"/>
      <c r="AY16" s="74"/>
      <c r="AZ16" s="74"/>
      <c r="BA16" s="74"/>
      <c r="BB16" s="74"/>
      <c r="BC16" s="74"/>
      <c r="BD16" s="74"/>
      <c r="BE16" s="108" t="str" cm="1">
        <f t="array" ref="BE16">IF(OR(BF16="-",BI16="-",BF10=0),"-","OK")</f>
        <v>-</v>
      </c>
      <c r="BF16" s="109" t="str" cm="1">
        <f t="array" ref="BF16">IF(_xlfn.XLOOKUP($E16,$AY1:$AY108,$AZ1:$AZ108,"-",0)=BF10,$E16,"-")</f>
        <v>-</v>
      </c>
      <c r="BG16" s="110" cm="1">
        <f t="array" ref="BG16">$F16</f>
        <v>1</v>
      </c>
      <c r="BH16" s="110" cm="1">
        <f t="array" ref="BH16">$G16</f>
        <v>1</v>
      </c>
      <c r="BI16" s="109" t="str" cm="1">
        <f t="array" ref="BI16">IF(_xlfn.XLOOKUP($H16,$AY1:$AY108,$AZ1:$AZ108,"-",0)=BF10,$H16,"-")</f>
        <v>-</v>
      </c>
      <c r="BJ16" s="74"/>
      <c r="BK16" s="74"/>
      <c r="BL16" s="74"/>
      <c r="BM16" s="74"/>
      <c r="BN16" s="74"/>
      <c r="BO16" s="74"/>
      <c r="BP16" s="74"/>
      <c r="BQ16" s="74"/>
      <c r="BR16" s="74"/>
      <c r="BS16" s="74"/>
      <c r="BT16" s="74"/>
      <c r="BU16" s="74"/>
      <c r="BV16" s="74"/>
      <c r="BW16" s="74"/>
      <c r="BX16" s="74"/>
      <c r="BY16" s="108" t="str" cm="1">
        <f t="array" ref="BY16">IF(OR(BZ16="-",CC16="-"),"-","OK")</f>
        <v>OK</v>
      </c>
      <c r="BZ16" s="109" t="str" cm="1">
        <f t="array" ref="BZ16">IF(_xlfn.XLOOKUP($E16,$AY1:$AY108,$AZ1:$AZ108,"-",0)=BZ10,$E16,"-")</f>
        <v>Suiza</v>
      </c>
      <c r="CA16" s="110" cm="1">
        <f t="array" ref="CA16">$F16</f>
        <v>1</v>
      </c>
      <c r="CB16" s="110" cm="1">
        <f t="array" ref="CB16">$G16</f>
        <v>1</v>
      </c>
      <c r="CC16" s="109" t="str" cm="1">
        <f t="array" ref="CC16">IF(_xlfn.XLOOKUP($H16,$AY1:$AY108,$AZ1:$AZ108,"-",0)=BZ10,$H16,"-")</f>
        <v>Canada</v>
      </c>
      <c r="CD16" s="74"/>
      <c r="CE16" s="74"/>
      <c r="CF16" s="74"/>
      <c r="CG16" s="74"/>
      <c r="CH16" s="74"/>
      <c r="CI16" s="74"/>
      <c r="CJ16" s="74"/>
      <c r="CK16" s="74"/>
      <c r="CL16" s="74"/>
      <c r="CM16" s="74"/>
      <c r="CN16" s="74"/>
      <c r="CO16" s="74"/>
      <c r="CP16" s="74"/>
      <c r="CQ16" s="74"/>
      <c r="CR16" s="74"/>
      <c r="CS16" s="74"/>
      <c r="CT16" s="74"/>
      <c r="CU16" s="74"/>
      <c r="CV16" s="74"/>
      <c r="CW16" s="173"/>
      <c r="CX16" s="172"/>
    </row>
    <row r="17" spans="1:102" ht="14.25" customHeight="1">
      <c r="A17" s="85" t="s">
        <v>140</v>
      </c>
      <c r="B17" s="86">
        <v>46197</v>
      </c>
      <c r="C17" s="87"/>
      <c r="D17" s="88"/>
      <c r="E17" s="85" t="s">
        <v>84</v>
      </c>
      <c r="F17" s="89">
        <v>1</v>
      </c>
      <c r="G17" s="89">
        <v>1</v>
      </c>
      <c r="H17" s="90" t="s">
        <v>89</v>
      </c>
      <c r="I17" s="106"/>
      <c r="J17" s="74" t="str" cm="1">
        <f t="array" ref="J17">IF(OR(ISBLANK(F17),ISBLANK(G17)),"",IF(F17&gt;G17,E17,IF(G17&gt;F17,H17,"")))</f>
        <v/>
      </c>
      <c r="K17" s="74" t="str" cm="1">
        <f t="array" ref="K17">IF(OR(ISBLANK(F17),ISBLANK(G17)),"",IF(F17=G17,E17,""))</f>
        <v>Bosnia</v>
      </c>
      <c r="L17" s="74" t="str" cm="1">
        <f t="array" ref="L17">IF(OR(ISBLANK(F17),ISBLANK(G17)),"",IF(F17=G17,H17,""))</f>
        <v>Qatar</v>
      </c>
      <c r="M17" s="74" t="str" cm="1">
        <f t="array" ref="M17">IF(OR(ISBLANK(F17),ISBLANK(G17)),"",IF(F17&lt;G17,E17,IF(G17&lt;F17,H17,"")))</f>
        <v/>
      </c>
      <c r="N17" s="74"/>
      <c r="O17" s="74"/>
      <c r="P17" s="74"/>
      <c r="Q17" s="74"/>
      <c r="R17" s="74"/>
      <c r="S17" s="74"/>
      <c r="T17" s="74"/>
      <c r="U17" s="74"/>
      <c r="V17" s="74"/>
      <c r="W17" s="74"/>
      <c r="X17" s="74"/>
      <c r="Y17" s="140" t="s">
        <v>130</v>
      </c>
      <c r="Z17" s="74"/>
      <c r="AA17" s="74"/>
      <c r="AB17" s="74"/>
      <c r="AC17" s="74"/>
      <c r="AD17" s="74"/>
      <c r="AE17" s="74"/>
      <c r="AF17" s="74"/>
      <c r="AG17" s="74"/>
      <c r="AH17" s="74"/>
      <c r="AI17" s="74"/>
      <c r="AJ17" s="74"/>
      <c r="AK17" s="74"/>
      <c r="AL17" s="74"/>
      <c r="AM17" s="74"/>
      <c r="AN17" s="74"/>
      <c r="AO17" s="74"/>
      <c r="AP17" s="74"/>
      <c r="AQ17" s="74"/>
      <c r="AR17" s="114" cm="1">
        <f t="array" ref="AR17">IF(AND(AM16="si",OR(AR12=1,AR13=1,AR14=1)),1,0)</f>
        <v>1</v>
      </c>
      <c r="AS17" s="74"/>
      <c r="AT17" s="74"/>
      <c r="AU17" s="74"/>
      <c r="AV17" s="74"/>
      <c r="AW17" s="74"/>
      <c r="AX17" s="74"/>
      <c r="AY17" s="74"/>
      <c r="AZ17" s="74"/>
      <c r="BA17" s="74"/>
      <c r="BB17" s="74"/>
      <c r="BC17" s="74"/>
      <c r="BD17" s="74"/>
      <c r="BE17" s="108" t="str" cm="1">
        <f t="array" ref="BE17">IF(OR(BF17="-",BI17="-",BF10=0),"-","OK")</f>
        <v>OK</v>
      </c>
      <c r="BF17" s="109" t="str" cm="1">
        <f t="array" ref="BF17">IF(_xlfn.XLOOKUP($E17,$AY1:$AY108,$AZ1:$AZ108,"-",0)=BF10,$E17,"-")</f>
        <v>Bosnia</v>
      </c>
      <c r="BG17" s="110" cm="1">
        <f t="array" ref="BG17">$F17</f>
        <v>1</v>
      </c>
      <c r="BH17" s="110" cm="1">
        <f t="array" ref="BH17">$G17</f>
        <v>1</v>
      </c>
      <c r="BI17" s="109" t="str" cm="1">
        <f t="array" ref="BI17">IF(_xlfn.XLOOKUP($H17,$AY1:$AY108,$AZ1:$AZ108,"-",0)=BF10,$H17,"-")</f>
        <v>Qatar</v>
      </c>
      <c r="BJ17" s="74"/>
      <c r="BK17" s="74"/>
      <c r="BL17" s="74"/>
      <c r="BM17" s="74"/>
      <c r="BN17" s="74"/>
      <c r="BO17" s="74"/>
      <c r="BP17" s="74"/>
      <c r="BQ17" s="74"/>
      <c r="BR17" s="74"/>
      <c r="BS17" s="74"/>
      <c r="BT17" s="74"/>
      <c r="BU17" s="74"/>
      <c r="BV17" s="74"/>
      <c r="BW17" s="74"/>
      <c r="BX17" s="74"/>
      <c r="BY17" s="108" t="str" cm="1">
        <f t="array" ref="BY17">IF(OR(BZ17="-",CC17="-"),"-","OK")</f>
        <v>-</v>
      </c>
      <c r="BZ17" s="109" t="str" cm="1">
        <f t="array" ref="BZ17">IF(_xlfn.XLOOKUP($E17,$AY1:$AY108,$AZ1:$AZ108,"-",0)=BZ10,$E17,"-")</f>
        <v>-</v>
      </c>
      <c r="CA17" s="110" cm="1">
        <f t="array" ref="CA17">$F17</f>
        <v>1</v>
      </c>
      <c r="CB17" s="110" cm="1">
        <f t="array" ref="CB17">$G17</f>
        <v>1</v>
      </c>
      <c r="CC17" s="109" t="str" cm="1">
        <f t="array" ref="CC17">IF(_xlfn.XLOOKUP($H17,$AY1:$AY108,$AZ1:$AZ108,"-",0)=BZ10,$H17,"-")</f>
        <v>-</v>
      </c>
      <c r="CD17" s="74"/>
      <c r="CE17" s="74"/>
      <c r="CF17" s="74"/>
      <c r="CG17" s="74"/>
      <c r="CH17" s="74"/>
      <c r="CI17" s="74"/>
      <c r="CJ17" s="74"/>
      <c r="CK17" s="74"/>
      <c r="CL17" s="74"/>
      <c r="CM17" s="74"/>
      <c r="CN17" s="74"/>
      <c r="CO17" s="74"/>
      <c r="CP17" s="74"/>
      <c r="CQ17" s="74"/>
      <c r="CR17" s="74"/>
      <c r="CS17" s="74"/>
      <c r="CT17" s="74"/>
      <c r="CU17" s="74"/>
      <c r="CV17" s="74"/>
      <c r="CW17" s="173"/>
      <c r="CX17" s="172"/>
    </row>
    <row r="18" spans="1:102" ht="14.25" customHeight="1">
      <c r="A18" s="141"/>
      <c r="B18" s="142"/>
      <c r="C18" s="143"/>
      <c r="D18" s="144"/>
      <c r="E18" s="145"/>
      <c r="F18" s="143"/>
      <c r="G18" s="143"/>
      <c r="H18" s="146"/>
      <c r="I18" s="78"/>
      <c r="J18" s="77"/>
      <c r="K18" s="77"/>
      <c r="L18" s="77"/>
      <c r="M18" s="77"/>
      <c r="N18" s="78"/>
      <c r="O18" s="78"/>
      <c r="P18" s="78"/>
      <c r="Q18" s="78"/>
      <c r="R18" s="78"/>
      <c r="S18" s="78"/>
      <c r="T18" s="78"/>
      <c r="U18" s="78"/>
      <c r="V18" s="78"/>
      <c r="W18" s="78"/>
      <c r="X18" s="78"/>
      <c r="Y18" s="78"/>
      <c r="Z18" s="78"/>
      <c r="AA18" s="78"/>
      <c r="AB18" s="78"/>
      <c r="AC18" s="78"/>
      <c r="AD18" s="78"/>
      <c r="AE18" s="78"/>
      <c r="AF18" s="78"/>
      <c r="AG18" s="78"/>
      <c r="AH18" s="78"/>
      <c r="AI18" s="78"/>
      <c r="AJ18" s="78"/>
      <c r="AK18" s="78"/>
      <c r="AL18" s="78"/>
      <c r="AM18" s="78"/>
      <c r="AN18" s="78"/>
      <c r="AO18" s="78"/>
      <c r="AP18" s="78"/>
      <c r="AQ18" s="78"/>
      <c r="AR18" s="78"/>
      <c r="AS18" s="78"/>
      <c r="AT18" s="78"/>
      <c r="AU18" s="78"/>
      <c r="AV18" s="78"/>
      <c r="AW18" s="78"/>
      <c r="AX18" s="78"/>
      <c r="AY18" s="78"/>
      <c r="AZ18" s="78"/>
      <c r="BA18" s="78"/>
      <c r="BB18" s="78"/>
      <c r="BC18" s="78"/>
      <c r="BD18" s="78"/>
      <c r="BE18" s="77"/>
      <c r="BF18" s="144"/>
      <c r="BG18" s="144"/>
      <c r="BH18" s="144"/>
      <c r="BI18" s="144"/>
      <c r="BJ18" s="78"/>
      <c r="BK18" s="78"/>
      <c r="BL18" s="78"/>
      <c r="BM18" s="78"/>
      <c r="BN18" s="78"/>
      <c r="BO18" s="78"/>
      <c r="BP18" s="78"/>
      <c r="BQ18" s="78"/>
      <c r="BR18" s="78"/>
      <c r="BS18" s="78"/>
      <c r="BT18" s="78"/>
      <c r="BU18" s="78"/>
      <c r="BV18" s="78"/>
      <c r="BW18" s="78"/>
      <c r="BX18" s="78"/>
      <c r="BY18" s="78"/>
      <c r="BZ18" s="144"/>
      <c r="CA18" s="144"/>
      <c r="CB18" s="144"/>
      <c r="CC18" s="144"/>
      <c r="CD18" s="78"/>
      <c r="CE18" s="78"/>
      <c r="CF18" s="78"/>
      <c r="CG18" s="78"/>
      <c r="CH18" s="78"/>
      <c r="CI18" s="78"/>
      <c r="CJ18" s="78"/>
      <c r="CK18" s="78"/>
      <c r="CL18" s="78"/>
      <c r="CM18" s="78"/>
      <c r="CN18" s="78"/>
      <c r="CO18" s="78"/>
      <c r="CP18" s="78"/>
      <c r="CQ18" s="78"/>
      <c r="CR18" s="78"/>
      <c r="CS18" s="78"/>
      <c r="CT18" s="78"/>
      <c r="CU18" s="78"/>
      <c r="CV18" s="78"/>
      <c r="CW18" s="78"/>
      <c r="CX18" s="174"/>
    </row>
    <row r="19" spans="1:102" ht="14.25" customHeight="1">
      <c r="A19" s="150"/>
      <c r="B19" s="144"/>
      <c r="C19" s="144"/>
      <c r="D19" s="144"/>
      <c r="E19" s="144"/>
      <c r="F19" s="144"/>
      <c r="G19" s="144"/>
      <c r="H19" s="144"/>
      <c r="I19" s="138"/>
      <c r="J19" s="138"/>
      <c r="K19" s="138"/>
      <c r="L19" s="138"/>
      <c r="M19" s="138"/>
      <c r="N19" s="138"/>
      <c r="O19" s="138"/>
      <c r="P19" s="138"/>
      <c r="Q19" s="138"/>
      <c r="R19" s="138"/>
      <c r="S19" s="138"/>
      <c r="T19" s="138"/>
      <c r="U19" s="138"/>
      <c r="V19" s="138"/>
      <c r="W19" s="138"/>
      <c r="X19" s="138"/>
      <c r="Y19" s="144"/>
      <c r="Z19" s="144"/>
      <c r="AA19" s="144"/>
      <c r="AB19" s="144"/>
      <c r="AC19" s="144"/>
      <c r="AD19" s="144"/>
      <c r="AE19" s="144"/>
      <c r="AF19" s="144"/>
      <c r="AG19" s="144"/>
      <c r="AH19" s="144"/>
      <c r="AI19" s="138"/>
      <c r="AJ19" s="138"/>
      <c r="AK19" s="138"/>
      <c r="AL19" s="138"/>
      <c r="AM19" s="138"/>
      <c r="AN19" s="138"/>
      <c r="AO19" s="138"/>
      <c r="AP19" s="138"/>
      <c r="AQ19" s="138"/>
      <c r="AR19" s="138"/>
      <c r="AS19" s="138"/>
      <c r="AT19" s="138"/>
      <c r="AU19" s="138"/>
      <c r="AV19" s="138"/>
      <c r="AW19" s="138"/>
      <c r="AX19" s="138"/>
      <c r="AY19" s="138"/>
      <c r="AZ19" s="138"/>
      <c r="BA19" s="138"/>
      <c r="BB19" s="138"/>
      <c r="BC19" s="138"/>
      <c r="BD19" s="138"/>
      <c r="BE19" s="138"/>
      <c r="BF19" s="138" t="str" cm="1">
        <f t="array" ref="BF19">IF(BA21&gt;1,AZ21,IF(BA22&gt;1,AZ22,IF(BA23&gt;1,AZ23,IF(BA24&gt;1,AZ24,"-"))))</f>
        <v>-</v>
      </c>
      <c r="BG19" s="138"/>
      <c r="BH19" s="138"/>
      <c r="BI19" s="138"/>
      <c r="BJ19" s="138"/>
      <c r="BK19" s="138"/>
      <c r="BL19" s="138"/>
      <c r="BM19" s="138"/>
      <c r="BN19" s="138"/>
      <c r="BO19" s="138"/>
      <c r="BP19" s="138"/>
      <c r="BQ19" s="138"/>
      <c r="BR19" s="138"/>
      <c r="BS19" s="138"/>
      <c r="BT19" s="138"/>
      <c r="BU19" s="138"/>
      <c r="BV19" s="138"/>
      <c r="BW19" s="152">
        <v>10</v>
      </c>
      <c r="BX19" s="138"/>
      <c r="BY19" s="138"/>
      <c r="BZ19" s="153" cm="1">
        <f t="array" ref="BZ19">IF(BC21&gt;1,BB21,IF(BC22&gt;1,BB22,IF(BC23&gt;1,BB23,IF(BC24&gt;1,BB24,"-"))))</f>
        <v>9</v>
      </c>
      <c r="CA19" s="138"/>
      <c r="CB19" s="138"/>
      <c r="CC19" s="138"/>
      <c r="CD19" s="138"/>
      <c r="CE19" s="138"/>
      <c r="CF19" s="138"/>
      <c r="CG19" s="138"/>
      <c r="CH19" s="138"/>
      <c r="CI19" s="138"/>
      <c r="CJ19" s="138"/>
      <c r="CK19" s="138"/>
      <c r="CL19" s="138"/>
      <c r="CM19" s="138"/>
      <c r="CN19" s="138"/>
      <c r="CO19" s="138"/>
      <c r="CP19" s="138"/>
      <c r="CQ19" s="152">
        <v>10</v>
      </c>
      <c r="CR19" s="138"/>
      <c r="CS19" s="138"/>
      <c r="CT19" s="138"/>
      <c r="CU19" s="138"/>
      <c r="CV19" s="138"/>
      <c r="CW19" s="138"/>
      <c r="CX19" s="175"/>
    </row>
    <row r="20" spans="1:102" ht="14.25" customHeight="1">
      <c r="A20" s="176" t="s">
        <v>101</v>
      </c>
      <c r="B20" s="177" t="s">
        <v>102</v>
      </c>
      <c r="C20" s="177" t="s">
        <v>103</v>
      </c>
      <c r="D20" s="178"/>
      <c r="E20" s="179" t="s">
        <v>141</v>
      </c>
      <c r="F20" s="180"/>
      <c r="G20" s="180"/>
      <c r="H20" s="181"/>
      <c r="I20" s="65"/>
      <c r="J20" s="66" t="s">
        <v>105</v>
      </c>
      <c r="K20" s="66" t="s">
        <v>106</v>
      </c>
      <c r="L20" s="66" t="s">
        <v>106</v>
      </c>
      <c r="M20" s="66" t="s">
        <v>107</v>
      </c>
      <c r="N20" s="65"/>
      <c r="O20" s="67" t="str" cm="1">
        <f t="array" ref="O20">E20</f>
        <v>Grupo C</v>
      </c>
      <c r="P20" s="68" t="s">
        <v>105</v>
      </c>
      <c r="Q20" s="68" t="s">
        <v>106</v>
      </c>
      <c r="R20" s="68" t="s">
        <v>107</v>
      </c>
      <c r="S20" s="68" t="s">
        <v>108</v>
      </c>
      <c r="T20" s="68" t="s">
        <v>109</v>
      </c>
      <c r="U20" s="68" t="s">
        <v>110</v>
      </c>
      <c r="V20" s="68" t="s">
        <v>0</v>
      </c>
      <c r="W20" s="69"/>
      <c r="X20" s="65"/>
      <c r="Y20" s="790" t="s">
        <v>141</v>
      </c>
      <c r="Z20" s="791"/>
      <c r="AA20" s="182" t="s">
        <v>111</v>
      </c>
      <c r="AB20" s="183" t="s">
        <v>105</v>
      </c>
      <c r="AC20" s="183" t="s">
        <v>106</v>
      </c>
      <c r="AD20" s="183" t="s">
        <v>107</v>
      </c>
      <c r="AE20" s="183" t="s">
        <v>108</v>
      </c>
      <c r="AF20" s="183" t="s">
        <v>109</v>
      </c>
      <c r="AG20" s="183" t="s">
        <v>110</v>
      </c>
      <c r="AH20" s="184" t="s">
        <v>0</v>
      </c>
      <c r="AI20" s="185"/>
      <c r="AJ20" s="74"/>
      <c r="AK20" s="74"/>
      <c r="AL20" s="75" t="s">
        <v>0</v>
      </c>
      <c r="AM20" s="75" t="s">
        <v>112</v>
      </c>
      <c r="AN20" s="76"/>
      <c r="AO20" s="76"/>
      <c r="AP20" s="76"/>
      <c r="AQ20" s="76"/>
      <c r="AR20" s="76"/>
      <c r="AS20" s="76"/>
      <c r="AT20" s="76"/>
      <c r="AU20" s="77"/>
      <c r="AV20" s="78"/>
      <c r="AW20" s="74"/>
      <c r="AX20" s="74"/>
      <c r="AY20" s="75" t="s">
        <v>113</v>
      </c>
      <c r="AZ20" s="75" t="s">
        <v>0</v>
      </c>
      <c r="BA20" s="75" t="s">
        <v>114</v>
      </c>
      <c r="BB20" s="76"/>
      <c r="BC20" s="76"/>
      <c r="BD20" s="76"/>
      <c r="BE20" s="74"/>
      <c r="BF20" s="78"/>
      <c r="BG20" s="78"/>
      <c r="BH20" s="78"/>
      <c r="BI20" s="78"/>
      <c r="BJ20" s="74"/>
      <c r="BK20" s="79"/>
      <c r="BL20" s="80" t="s">
        <v>111</v>
      </c>
      <c r="BM20" s="75" t="s">
        <v>105</v>
      </c>
      <c r="BN20" s="75" t="s">
        <v>106</v>
      </c>
      <c r="BO20" s="75" t="s">
        <v>107</v>
      </c>
      <c r="BP20" s="75" t="s">
        <v>108</v>
      </c>
      <c r="BQ20" s="75" t="s">
        <v>109</v>
      </c>
      <c r="BR20" s="75" t="s">
        <v>110</v>
      </c>
      <c r="BS20" s="75" t="s">
        <v>0</v>
      </c>
      <c r="BT20" s="75" t="s">
        <v>115</v>
      </c>
      <c r="BU20" s="76"/>
      <c r="BV20" s="75" t="s">
        <v>116</v>
      </c>
      <c r="BW20" s="75" t="s">
        <v>115</v>
      </c>
      <c r="BX20" s="74"/>
      <c r="BY20" s="74"/>
      <c r="BZ20" s="78"/>
      <c r="CA20" s="78"/>
      <c r="CB20" s="78"/>
      <c r="CC20" s="78"/>
      <c r="CD20" s="74"/>
      <c r="CE20" s="79"/>
      <c r="CF20" s="80" t="s">
        <v>111</v>
      </c>
      <c r="CG20" s="75" t="s">
        <v>105</v>
      </c>
      <c r="CH20" s="75" t="s">
        <v>106</v>
      </c>
      <c r="CI20" s="75" t="s">
        <v>107</v>
      </c>
      <c r="CJ20" s="75" t="s">
        <v>108</v>
      </c>
      <c r="CK20" s="75" t="s">
        <v>109</v>
      </c>
      <c r="CL20" s="75" t="s">
        <v>110</v>
      </c>
      <c r="CM20" s="75" t="s">
        <v>0</v>
      </c>
      <c r="CN20" s="75" t="s">
        <v>115</v>
      </c>
      <c r="CO20" s="76"/>
      <c r="CP20" s="75" t="s">
        <v>116</v>
      </c>
      <c r="CQ20" s="75" t="s">
        <v>115</v>
      </c>
      <c r="CR20" s="74"/>
      <c r="CS20" s="74"/>
      <c r="CT20" s="74"/>
      <c r="CU20" s="74"/>
      <c r="CV20" s="74"/>
      <c r="CW20" s="74"/>
      <c r="CX20" s="172"/>
    </row>
    <row r="21" spans="1:102" ht="14.25" customHeight="1">
      <c r="A21" s="85" t="s">
        <v>142</v>
      </c>
      <c r="B21" s="86">
        <v>46186</v>
      </c>
      <c r="C21" s="87"/>
      <c r="D21" s="88"/>
      <c r="E21" s="85" t="s">
        <v>53</v>
      </c>
      <c r="F21" s="89">
        <v>2</v>
      </c>
      <c r="G21" s="89">
        <v>1</v>
      </c>
      <c r="H21" s="90" t="s">
        <v>59</v>
      </c>
      <c r="I21" s="65"/>
      <c r="J21" s="65" t="str" cm="1">
        <f t="array" ref="J21">IF(OR(ISBLANK(F21),ISBLANK(G21)),"",IF(F21&gt;G21,E21,IF(G21&gt;F21,H21,"")))</f>
        <v>Brasil</v>
      </c>
      <c r="K21" s="65" t="str" cm="1">
        <f t="array" ref="K21">IF(OR(ISBLANK(F21),ISBLANK(G21)),"",IF(F21=G21,E21,""))</f>
        <v/>
      </c>
      <c r="L21" s="65" t="str" cm="1">
        <f t="array" ref="L21">IF(OR(ISBLANK(F21),ISBLANK(G21)),"",IF(F21=G21,H21,""))</f>
        <v/>
      </c>
      <c r="M21" s="65" t="str" cm="1">
        <f t="array" ref="M21">IF(OR(ISBLANK(F21),ISBLANK(G21)),"",IF(F21&lt;G21,E21,IF(G21&lt;F21,H21,"")))</f>
        <v>Marruecos</v>
      </c>
      <c r="N21" s="65"/>
      <c r="O21" s="67" t="str" cm="1">
        <f t="array" ref="O21">E21</f>
        <v>Brasil</v>
      </c>
      <c r="P21" s="91" cm="1">
        <f t="array" ref="P21">COUNTIF(J21:J26,"="&amp;$O21)</f>
        <v>3</v>
      </c>
      <c r="Q21" s="91" cm="1">
        <f t="array" ref="Q21">COUNTIF(K21:L26,"="&amp;$O21)</f>
        <v>0</v>
      </c>
      <c r="R21" s="91" cm="1">
        <f t="array" ref="R21">COUNTIF(M21:M26,"="&amp;$O21)</f>
        <v>0</v>
      </c>
      <c r="S21" s="91" cm="1">
        <f t="array" ref="S21">T21-U21</f>
        <v>5</v>
      </c>
      <c r="T21" s="91" cm="1">
        <f t="array" ref="T21">SUMIF(E21:E26,$O21,F21:F26)+SUMIF(H21:H26,$O21,G21:G26)</f>
        <v>7</v>
      </c>
      <c r="U21" s="91" cm="1">
        <f t="array" ref="U21">SUMIF(E21:E26,$O21,G21:G26)+SUMIF(H21:H26,$O21,F21:F26)</f>
        <v>2</v>
      </c>
      <c r="V21" s="92" cm="1">
        <f t="array" ref="V21">P21*3+Q21*1+BT21+CN21+S21/1000+T21/10000+AV21/1000000+ROW()/10000000</f>
        <v>9.0057021000000006</v>
      </c>
      <c r="W21" s="67" t="str" cm="1">
        <f t="array" ref="W21">O21</f>
        <v>Brasil</v>
      </c>
      <c r="X21" s="65"/>
      <c r="Y21" s="93" t="str" cm="1">
        <f t="array" ref="Y21">CONCATENATE("1",RIGHT(E20,1))</f>
        <v>1C</v>
      </c>
      <c r="Z21" s="94" t="str" cm="1">
        <f t="array" ref="Z21">VLOOKUP(AL21,V21:W24,2,FALSE)</f>
        <v>Brasil</v>
      </c>
      <c r="AA21" s="95" cm="1">
        <f t="array" ref="AA21">SUM(AB21:AD21)</f>
        <v>3</v>
      </c>
      <c r="AB21" s="96" cm="1">
        <f t="array" ref="AB21">VLOOKUP($Z21,$O$21:$U$24,COLUMN()-26,FALSE)</f>
        <v>3</v>
      </c>
      <c r="AC21" s="96" cm="1">
        <f t="array" ref="AC21">VLOOKUP($Z21,$O$21:$U$24,COLUMN()-26,FALSE)</f>
        <v>0</v>
      </c>
      <c r="AD21" s="96" cm="1">
        <f t="array" ref="AD21">VLOOKUP($Z21,$O$21:$U$24,COLUMN()-26,FALSE)</f>
        <v>0</v>
      </c>
      <c r="AE21" s="96" cm="1">
        <f t="array" ref="AE21">VLOOKUP($Z21,$O$21:$U$24,COLUMN()-26,FALSE)</f>
        <v>5</v>
      </c>
      <c r="AF21" s="96" cm="1">
        <f t="array" ref="AF21">VLOOKUP($Z21,$O$21:$U$24,COLUMN()-26,FALSE)</f>
        <v>7</v>
      </c>
      <c r="AG21" s="96" cm="1">
        <f t="array" ref="AG21">VLOOKUP($Z21,$O$21:$U$24,COLUMN()-26,FALSE)</f>
        <v>2</v>
      </c>
      <c r="AH21" s="97" cm="1">
        <f t="array" ref="AH21">VLOOKUP($Z21,$O$21:$V$24,COLUMN()-26,FALSE)</f>
        <v>9.0057021000000006</v>
      </c>
      <c r="AI21" s="98"/>
      <c r="AJ21" s="74"/>
      <c r="AK21" s="74"/>
      <c r="AL21" s="99" cm="1">
        <f t="array" ref="AL21">LARGE(V21:V24,1)</f>
        <v>9.0057021000000006</v>
      </c>
      <c r="AM21" s="100" cm="1">
        <f t="array" ref="AM21">(AH21-AL21)*100000000000000000000</f>
        <v>0</v>
      </c>
      <c r="AN21" s="74"/>
      <c r="AO21" s="74"/>
      <c r="AP21" s="101" t="str" cm="1">
        <f t="array" ref="AP21">O21</f>
        <v>Brasil</v>
      </c>
      <c r="AQ21" s="102" cm="1">
        <f t="array" ref="AQ21">P21*3+Q21*1+BT21+CN21+S21/1000+T21/10000</f>
        <v>9.0057000000000009</v>
      </c>
      <c r="AR21" s="102" t="b" cm="1">
        <f t="array" ref="AR21">IF(OR(AQ21=AQ22,AQ21=AQ23,AQ21=AQ24),1)</f>
        <v>0</v>
      </c>
      <c r="AS21" s="103" cm="1">
        <f t="array" ref="AS21">AV21</f>
        <v>0</v>
      </c>
      <c r="AT21" s="103" cm="1">
        <f t="array" ref="AT21">IF(AND(AM25="si",OR(AR21=1,AR22=1,AR23=1)),1,0)</f>
        <v>0</v>
      </c>
      <c r="AU21" s="104" t="str" cm="1">
        <f t="array" ref="AU21">O21</f>
        <v>Brasil</v>
      </c>
      <c r="AV21" s="105"/>
      <c r="AW21" s="106"/>
      <c r="AX21" s="74" t="str" cm="1">
        <f t="array" ref="AX21">Y20</f>
        <v>Grupo C</v>
      </c>
      <c r="AY21" s="76" t="str" cm="1">
        <f t="array" ref="AY21">O21</f>
        <v>Brasil</v>
      </c>
      <c r="AZ21" s="107" cm="1">
        <f t="array" ref="AZ21">P21*3+Q21</f>
        <v>9</v>
      </c>
      <c r="BA21" s="107" cm="1">
        <f t="array" ref="BA21">COUNTIFS($AX$1:AX21,AX21,$AZ$1:AZ21,AZ21)</f>
        <v>1</v>
      </c>
      <c r="BB21" s="107" cm="1">
        <f t="array" ref="BB21">IF(AZ21=BF19,ROW()*0.001,AZ21)</f>
        <v>9</v>
      </c>
      <c r="BC21" s="107" cm="1">
        <f t="array" ref="BC21">COUNTIFS($AX$1:AZ21,AZ21,$AZ$1:BB21,BB21)</f>
        <v>2</v>
      </c>
      <c r="BD21" s="107"/>
      <c r="BE21" s="108" t="str" cm="1">
        <f t="array" ref="BE21">IF(OR(BF21="-",BI21="-",BF19=0),"-","OK")</f>
        <v>-</v>
      </c>
      <c r="BF21" s="109" t="str" cm="1">
        <f t="array" ref="BF21">IF(_xlfn.XLOOKUP($E21,$AY1:$AY108,$AZ1:$AZ108,"-",0)=BF19,$E21,"-")</f>
        <v>-</v>
      </c>
      <c r="BG21" s="110" cm="1">
        <f t="array" ref="BG21">$F21</f>
        <v>2</v>
      </c>
      <c r="BH21" s="110" cm="1">
        <f t="array" ref="BH21">$G21</f>
        <v>1</v>
      </c>
      <c r="BI21" s="109" t="str" cm="1">
        <f t="array" ref="BI21">IF(_xlfn.XLOOKUP($H21,$AY1:$AY108,$AZ1:$AZ108,"-",0)=BF19,$H21,"-")</f>
        <v>-</v>
      </c>
      <c r="BJ21" s="74"/>
      <c r="BK21" s="79" t="str" cm="1">
        <f t="array" ref="BK21">O21</f>
        <v>Brasil</v>
      </c>
      <c r="BL21" s="111" cm="1">
        <f t="array" ref="BL21">COUNTIFS($BE1:$BE108,"OK",$BI1:$BI108,BK21)+COUNTIFS($BE1:$BE108,"OK",$BF1:$BF108,BK21)</f>
        <v>0</v>
      </c>
      <c r="BM21" s="112" cm="1">
        <f t="array" ref="BM21">COUNTIFS(J1:J108,$BK21,$BE1:$BE108,"OK")</f>
        <v>0</v>
      </c>
      <c r="BN21" s="112" cm="1">
        <f t="array" ref="BN21">COUNTIFS(K1:K108,$BK21,$BE1:$BE108,"OK")+COUNTIFS(L1:L108,$BK21,$BE1:$BE108,"OK")</f>
        <v>0</v>
      </c>
      <c r="BO21" s="112" cm="1">
        <f t="array" ref="BO21">COUNTIFS(M1:M108,$BK21,$BE1:$BE108,"OK")</f>
        <v>0</v>
      </c>
      <c r="BP21" s="112" cm="1">
        <f t="array" ref="BP21">BQ21-BR21</f>
        <v>0</v>
      </c>
      <c r="BQ21" s="112" cm="1">
        <f t="array" ref="BQ21">SUMIFS(BG1:BG108,$BE1:$BE108,"OK",BF1:BF108,$BK21)+SUMIFS(BH1:BH108,$BE1:$BE108,"OK",BI1:BI108,$BK21)</f>
        <v>0</v>
      </c>
      <c r="BR21" s="112" cm="1">
        <f t="array" ref="BR21">SUMIFS(BH1:BH108,$BE1:$BE108,"OK",BF1:BF108,$BK21)+SUMIFS(BG1:BG108,$BE1:$BE108,"OK",BI1:BI108,$BK21)</f>
        <v>0</v>
      </c>
      <c r="BS21" s="113" cm="1">
        <f t="array" ref="BS21">BM21*3+BN21*1+BP21/100+BQ21/10000</f>
        <v>0</v>
      </c>
      <c r="BT21" s="107" cm="1">
        <f t="array" ref="BT21">IF(BL21=0,0,_xlfn.XLOOKUP(BS21,BV21:BV24,BW21:BW24))</f>
        <v>0</v>
      </c>
      <c r="BU21" s="99"/>
      <c r="BV21" s="113" cm="1">
        <f t="array" ref="BV21">LARGE(BS21:BS24,1)</f>
        <v>0</v>
      </c>
      <c r="BW21" s="112" cm="1">
        <f t="array" ref="BW21">BX21/$BW$1</f>
        <v>0.3</v>
      </c>
      <c r="BX21" s="114">
        <v>3</v>
      </c>
      <c r="BY21" s="108" t="str" cm="1">
        <f t="array" ref="BY21">IF(OR(BZ21="-",CC21="-"),"-","OK")</f>
        <v>-</v>
      </c>
      <c r="BZ21" s="109" t="str" cm="1">
        <f t="array" ref="BZ21">IF(_xlfn.XLOOKUP($E21,$AY1:$AY108,$AZ1:$AZ108,"-",0)=BZ19,$E21,"-")</f>
        <v>Brasil</v>
      </c>
      <c r="CA21" s="110" cm="1">
        <f t="array" ref="CA21">$F21</f>
        <v>2</v>
      </c>
      <c r="CB21" s="110" cm="1">
        <f t="array" ref="CB21">$G21</f>
        <v>1</v>
      </c>
      <c r="CC21" s="109" t="str" cm="1">
        <f t="array" ref="CC21">IF(_xlfn.XLOOKUP($H21,$AY1:$AY108,$AZ1:$AZ108,"-",0)=BZ19,$H21,"-")</f>
        <v>-</v>
      </c>
      <c r="CD21" s="74"/>
      <c r="CE21" s="79" t="str" cm="1">
        <f t="array" ref="CE21">BK21</f>
        <v>Brasil</v>
      </c>
      <c r="CF21" s="111" cm="1">
        <f t="array" ref="CF21">COUNTIFS($BY1:$BY108,"OK",$CC1:$CC108,CE21)+COUNTIFS($BY1:$BY108,"OK",$BZ1:$BZ108,CE21)</f>
        <v>0</v>
      </c>
      <c r="CG21" s="112" cm="1">
        <f t="array" ref="CG21">COUNTIFS(P1:P108,$BK21,$BY1:$BY108,"OK")</f>
        <v>0</v>
      </c>
      <c r="CH21" s="112" cm="1">
        <f t="array" ref="CH21">COUNTIFS(K1:K108,$BK21,$BY1:$BY108,"OK")+COUNTIFS(L1:L108,$BK21,$BY1:$BY108,"OK")</f>
        <v>0</v>
      </c>
      <c r="CI21" s="112" cm="1">
        <f t="array" ref="CI21">COUNTIFS(M1:M108,$CE21,$BY1:$BY108,"OK")</f>
        <v>0</v>
      </c>
      <c r="CJ21" s="112" cm="1">
        <f t="array" ref="CJ21">CK21-CL21</f>
        <v>0</v>
      </c>
      <c r="CK21" s="112" cm="1">
        <f t="array" ref="CK21">SUMIFS(CA1:CA108,$BY1:$BY108,"OK",BZ1:BZ108,$BK21)+SUMIFS(CB1:CB108,$BY1:$BY108,"OK",CC1:CC108,$BK21)</f>
        <v>0</v>
      </c>
      <c r="CL21" s="112" cm="1">
        <f t="array" ref="CL21">SUMIFS(CB1:CB108,$BY1:$BY108,"OK",BZ1:BZ108,$BK21)+SUMIFS(CA1:CA108,$BY1:$BY108,"OK",CC1:CC108,$BK21)</f>
        <v>0</v>
      </c>
      <c r="CM21" s="113" cm="1">
        <f t="array" ref="CM21">CG21*3+CH21*1+CJ21/100+CK21/10000</f>
        <v>0</v>
      </c>
      <c r="CN21" s="107" cm="1">
        <f t="array" ref="CN21">IF(CF21=0,0,_xlfn.XLOOKUP(CM21,CP21:CP24,CQ21:CQ24))</f>
        <v>0</v>
      </c>
      <c r="CO21" s="99"/>
      <c r="CP21" s="113" cm="1">
        <f t="array" ref="CP21">LARGE(CM21:CM24,1)</f>
        <v>0</v>
      </c>
      <c r="CQ21" s="112" cm="1">
        <f t="array" ref="CQ21">CR21/$BW$1</f>
        <v>0.3</v>
      </c>
      <c r="CR21" s="114">
        <v>3</v>
      </c>
      <c r="CS21" s="74"/>
      <c r="CT21" s="74"/>
      <c r="CU21" s="74"/>
      <c r="CV21" s="74"/>
      <c r="CW21" s="74"/>
      <c r="CX21" s="172"/>
    </row>
    <row r="22" spans="1:102" ht="14.25" customHeight="1">
      <c r="A22" s="85" t="s">
        <v>144</v>
      </c>
      <c r="B22" s="86">
        <v>46186</v>
      </c>
      <c r="C22" s="87"/>
      <c r="D22" s="88"/>
      <c r="E22" s="85" t="s">
        <v>94</v>
      </c>
      <c r="F22" s="89">
        <v>0</v>
      </c>
      <c r="G22" s="89">
        <v>3</v>
      </c>
      <c r="H22" s="90" t="s">
        <v>80</v>
      </c>
      <c r="I22" s="65"/>
      <c r="J22" s="65" t="str" cm="1">
        <f t="array" ref="J22">IF(OR(ISBLANK(F22),ISBLANK(G22)),"",IF(F22&gt;G22,E22,IF(G22&gt;F22,H22,"")))</f>
        <v>Escocia</v>
      </c>
      <c r="K22" s="65" t="str" cm="1">
        <f t="array" ref="K22">IF(OR(ISBLANK(F22),ISBLANK(G22)),"",IF(F22=G22,E22,""))</f>
        <v/>
      </c>
      <c r="L22" s="65" t="str" cm="1">
        <f t="array" ref="L22">IF(OR(ISBLANK(F22),ISBLANK(G22)),"",IF(F22=G22,H22,""))</f>
        <v/>
      </c>
      <c r="M22" s="65" t="str" cm="1">
        <f t="array" ref="M22">IF(OR(ISBLANK(F22),ISBLANK(G22)),"",IF(F22&lt;G22,E22,IF(G22&lt;F22,H22,"")))</f>
        <v>Haiti</v>
      </c>
      <c r="N22" s="65"/>
      <c r="O22" s="67" t="str" cm="1">
        <f t="array" ref="O22">H21</f>
        <v>Marruecos</v>
      </c>
      <c r="P22" s="91" cm="1">
        <f t="array" ref="P22">COUNTIF(J21:J26,"="&amp;$O22)</f>
        <v>2</v>
      </c>
      <c r="Q22" s="91" cm="1">
        <f t="array" ref="Q22">COUNTIF(K21:L26,"="&amp;$O22)</f>
        <v>0</v>
      </c>
      <c r="R22" s="91" cm="1">
        <f t="array" ref="R22">COUNTIF(M21:M26,"="&amp;$O22)</f>
        <v>1</v>
      </c>
      <c r="S22" s="91" cm="1">
        <f t="array" ref="S22">T22-U22</f>
        <v>3</v>
      </c>
      <c r="T22" s="91" cm="1">
        <f t="array" ref="T22">SUMIF(E21:E26,$O22,F21:F26)+SUMIF(H21:H26,$O22,G21:G26)</f>
        <v>6</v>
      </c>
      <c r="U22" s="91" cm="1">
        <f t="array" ref="U22">SUMIF(E21:E26,$O22,G21:G26)+SUMIF(H21:H26,$O22,F21:F26)</f>
        <v>3</v>
      </c>
      <c r="V22" s="92" cm="1">
        <f t="array" ref="V22">P22*3+Q22*1+BT22+CN22+S22/1000+T22/10000+AV22/1000000+ROW()/10000000</f>
        <v>6.0036022000000004</v>
      </c>
      <c r="W22" s="67" t="str" cm="1">
        <f t="array" ref="W22">O22</f>
        <v>Marruecos</v>
      </c>
      <c r="X22" s="65"/>
      <c r="Y22" s="117" t="str" cm="1">
        <f t="array" ref="Y22">CONCATENATE("2",RIGHT(E20,1))</f>
        <v>2C</v>
      </c>
      <c r="Z22" s="118" t="str" cm="1">
        <f t="array" ref="Z22">VLOOKUP(AL22,V21:W24,2,FALSE)</f>
        <v>Marruecos</v>
      </c>
      <c r="AA22" s="119" cm="1">
        <f t="array" ref="AA22">SUM(AB22:AD22)</f>
        <v>3</v>
      </c>
      <c r="AB22" s="120" cm="1">
        <f t="array" ref="AB22">VLOOKUP($Z22,$O$21:$U$24,COLUMN()-26,FALSE)</f>
        <v>2</v>
      </c>
      <c r="AC22" s="120" cm="1">
        <f t="array" ref="AC22">VLOOKUP($Z22,$O$21:$U$24,COLUMN()-26,FALSE)</f>
        <v>0</v>
      </c>
      <c r="AD22" s="120" cm="1">
        <f t="array" ref="AD22">VLOOKUP($Z22,$O$21:$U$24,COLUMN()-26,FALSE)</f>
        <v>1</v>
      </c>
      <c r="AE22" s="120" cm="1">
        <f t="array" ref="AE22">VLOOKUP($Z22,$O$21:$U$24,COLUMN()-26,FALSE)</f>
        <v>3</v>
      </c>
      <c r="AF22" s="120" cm="1">
        <f t="array" ref="AF22">VLOOKUP($Z22,$O$21:$U$24,COLUMN()-26,FALSE)</f>
        <v>6</v>
      </c>
      <c r="AG22" s="120" cm="1">
        <f t="array" ref="AG22">VLOOKUP($Z22,$O$21:$U$24,COLUMN()-26,FALSE)</f>
        <v>3</v>
      </c>
      <c r="AH22" s="121" cm="1">
        <f t="array" ref="AH22">VLOOKUP($Z22,$O$21:$V$24,COLUMN()-26,FALSE)</f>
        <v>6.0036022000000004</v>
      </c>
      <c r="AI22" s="98"/>
      <c r="AJ22" s="74"/>
      <c r="AK22" s="74"/>
      <c r="AL22" s="99" cm="1">
        <f t="array" ref="AL22">LARGE(V21:V24,2)</f>
        <v>6.0036022000000004</v>
      </c>
      <c r="AM22" s="100" cm="1">
        <f t="array" ref="AM22">(AH22-AL22)*100000000000000000000</f>
        <v>0</v>
      </c>
      <c r="AN22" s="74"/>
      <c r="AO22" s="74"/>
      <c r="AP22" s="101" t="str" cm="1">
        <f t="array" ref="AP22">O22</f>
        <v>Marruecos</v>
      </c>
      <c r="AQ22" s="102" cm="1">
        <f t="array" ref="AQ22">P22*3+Q22*1+BT22+CN22+S22/1000+T22/10000</f>
        <v>6.0036000000000005</v>
      </c>
      <c r="AR22" s="102" t="b" cm="1">
        <f t="array" ref="AR22">IF(OR(AQ22=AQ23,AQ22=AQ24),1)</f>
        <v>0</v>
      </c>
      <c r="AS22" s="103" cm="1">
        <f t="array" ref="AS22">AV22</f>
        <v>0</v>
      </c>
      <c r="AT22" s="103" cm="1">
        <f t="array" ref="AT22">IF(AND(AM25="si",OR(AR21=1,AR22=1,AR23=1)),1,0)</f>
        <v>0</v>
      </c>
      <c r="AU22" s="122" t="str" cm="1">
        <f t="array" ref="AU22">O22</f>
        <v>Marruecos</v>
      </c>
      <c r="AV22" s="101"/>
      <c r="AW22" s="106"/>
      <c r="AX22" s="74" t="str" cm="1">
        <f t="array" ref="AX22">Y20</f>
        <v>Grupo C</v>
      </c>
      <c r="AY22" s="76" t="str" cm="1">
        <f t="array" ref="AY22">O22</f>
        <v>Marruecos</v>
      </c>
      <c r="AZ22" s="107" cm="1">
        <f t="array" ref="AZ22">P22*3+Q22</f>
        <v>6</v>
      </c>
      <c r="BA22" s="107" cm="1">
        <f t="array" ref="BA22">COUNTIFS($AX$1:AX22,AX22,$AZ$1:AZ22,AZ22)</f>
        <v>1</v>
      </c>
      <c r="BB22" s="107" cm="1">
        <f t="array" ref="BB22">IF(AZ22=BF19,ROW()*0.001,AZ22)</f>
        <v>6</v>
      </c>
      <c r="BC22" s="107" cm="1">
        <f t="array" ref="BC22">COUNTIFS($AX$1:AZ22,AZ22,$AZ$1:BB22,BB22)</f>
        <v>1</v>
      </c>
      <c r="BD22" s="107"/>
      <c r="BE22" s="108" t="str" cm="1">
        <f t="array" ref="BE22">IF(OR(BF22="-",BI22="-",BF19=0),"-","OK")</f>
        <v>-</v>
      </c>
      <c r="BF22" s="109" t="str" cm="1">
        <f t="array" ref="BF22">IF(_xlfn.XLOOKUP($E22,$AY1:$AY108,$AZ1:$AZ108,"-",0)=BF19,$E22,"-")</f>
        <v>-</v>
      </c>
      <c r="BG22" s="110" cm="1">
        <f t="array" ref="BG22">$F22</f>
        <v>0</v>
      </c>
      <c r="BH22" s="110" cm="1">
        <f t="array" ref="BH22">$G22</f>
        <v>3</v>
      </c>
      <c r="BI22" s="109" t="str" cm="1">
        <f t="array" ref="BI22">IF(_xlfn.XLOOKUP($H22,$AY1:$AY108,$AZ1:$AZ108,"-",0)=BF19,$H22,"-")</f>
        <v>-</v>
      </c>
      <c r="BJ22" s="74"/>
      <c r="BK22" s="79" t="str" cm="1">
        <f t="array" ref="BK22">O22</f>
        <v>Marruecos</v>
      </c>
      <c r="BL22" s="111" cm="1">
        <f t="array" ref="BL22">COUNTIFS($BE1:$BE108,"OK",$BI1:$BI108,BK22)+COUNTIFS($BE1:$BE108,"OK",$BF1:$BF108,BK22)</f>
        <v>0</v>
      </c>
      <c r="BM22" s="112" cm="1">
        <f t="array" ref="BM22">COUNTIFS(J1:J108,$BK22,$BE1:$BE108,"OK")</f>
        <v>0</v>
      </c>
      <c r="BN22" s="112" cm="1">
        <f t="array" ref="BN22">COUNTIFS(K1:K108,$BK22,$BE1:$BE108,"OK")+COUNTIFS(L1:L108,$BK22,$BE1:$BE108,"OK")</f>
        <v>0</v>
      </c>
      <c r="BO22" s="112" cm="1">
        <f t="array" ref="BO22">COUNTIFS(M1:M108,$BK22,$BE1:$BE108,"OK")</f>
        <v>0</v>
      </c>
      <c r="BP22" s="112" cm="1">
        <f t="array" ref="BP22">BQ22-BR22</f>
        <v>0</v>
      </c>
      <c r="BQ22" s="112" cm="1">
        <f t="array" ref="BQ22">SUMIFS(BG1:BG108,$BE1:$BE108,"OK",BF1:BF108,$BK22)+SUMIFS(BH1:BH108,$BE1:$BE108,"OK",BI1:BI108,$BK22)</f>
        <v>0</v>
      </c>
      <c r="BR22" s="112" cm="1">
        <f t="array" ref="BR22">SUMIFS(BH1:BH108,$BE1:$BE108,"OK",BF1:BF108,$BK22)+SUMIFS(BG1:BG108,$BE1:$BE108,"OK",BI1:BI108,$BK22)</f>
        <v>0</v>
      </c>
      <c r="BS22" s="113" cm="1">
        <f t="array" ref="BS22">BM22*3+BN22*1+BP22/100+BQ22/10000</f>
        <v>0</v>
      </c>
      <c r="BT22" s="107" cm="1">
        <f t="array" ref="BT22">IF(BL22=0,0,_xlfn.XLOOKUP(BS22,BV21:BV24,BW21:BW24))</f>
        <v>0</v>
      </c>
      <c r="BU22" s="99"/>
      <c r="BV22" s="113" cm="1">
        <f t="array" ref="BV22">LARGE(BS21:BS24,2)</f>
        <v>0</v>
      </c>
      <c r="BW22" s="112" cm="1">
        <f t="array" ref="BW22">BX22/$BW$1</f>
        <v>0.2</v>
      </c>
      <c r="BX22" s="114">
        <v>2</v>
      </c>
      <c r="BY22" s="108" t="str" cm="1">
        <f t="array" ref="BY22">IF(OR(BZ22="-",CC22="-"),"-","OK")</f>
        <v>-</v>
      </c>
      <c r="BZ22" s="109" t="str" cm="1">
        <f t="array" ref="BZ22">IF(_xlfn.XLOOKUP($E22,$AY1:$AY108,$AZ1:$AZ108,"-",0)=BZ19,$E22,"-")</f>
        <v>-</v>
      </c>
      <c r="CA22" s="110" cm="1">
        <f t="array" ref="CA22">$F22</f>
        <v>0</v>
      </c>
      <c r="CB22" s="110" cm="1">
        <f t="array" ref="CB22">$G22</f>
        <v>3</v>
      </c>
      <c r="CC22" s="109" t="str" cm="1">
        <f t="array" ref="CC22">IF(_xlfn.XLOOKUP($H22,$AY1:$AY108,$AZ1:$AZ108,"-",0)=BZ19,$H22,"-")</f>
        <v>-</v>
      </c>
      <c r="CD22" s="74"/>
      <c r="CE22" s="79" t="str" cm="1">
        <f t="array" ref="CE22">BK22</f>
        <v>Marruecos</v>
      </c>
      <c r="CF22" s="111" cm="1">
        <f t="array" ref="CF22">COUNTIFS($BY1:$BY108,"OK",$CC1:$CC108,CE22)+COUNTIFS($BY1:$BY108,"OK",$BZ1:$BZ108,CE22)</f>
        <v>0</v>
      </c>
      <c r="CG22" s="112" cm="1">
        <f t="array" ref="CG22">COUNTIFS(P1:P108,$BK22,$BY1:$BY108,"OK")</f>
        <v>0</v>
      </c>
      <c r="CH22" s="112" cm="1">
        <f t="array" ref="CH22">COUNTIFS(K1:K108,$BK22,$BY1:$BY108,"OK")+COUNTIFS(L1:L108,$BK22,$BY1:$BY108,"OK")</f>
        <v>0</v>
      </c>
      <c r="CI22" s="112" cm="1">
        <f t="array" ref="CI22">COUNTIFS(M1:M108,$CE22,$BY1:$BY108,"OK")</f>
        <v>0</v>
      </c>
      <c r="CJ22" s="112" cm="1">
        <f t="array" ref="CJ22">CK22-CL22</f>
        <v>0</v>
      </c>
      <c r="CK22" s="112" cm="1">
        <f t="array" ref="CK22">SUMIFS(CA1:CA108,$BY1:$BY108,"OK",BZ1:BZ108,$BK22)+SUMIFS(CB1:CB108,$BY1:$BY108,"OK",CC1:CC108,$BK22)</f>
        <v>0</v>
      </c>
      <c r="CL22" s="112" cm="1">
        <f t="array" ref="CL22">SUMIFS(CB1:CB108,$BY1:$BY108,"OK",BZ1:BZ108,$BK22)+SUMIFS(CA1:CA108,$BY1:$BY108,"OK",CC1:CC108,$BK22)</f>
        <v>0</v>
      </c>
      <c r="CM22" s="113" cm="1">
        <f t="array" ref="CM22">CG22*3+CH22*1+CJ22/100+CK22/10000</f>
        <v>0</v>
      </c>
      <c r="CN22" s="107" cm="1">
        <f t="array" ref="CN22">IF(CF22=0,0,_xlfn.XLOOKUP(CM22,CP21:CP24,CQ21:CQ24))</f>
        <v>0</v>
      </c>
      <c r="CO22" s="99"/>
      <c r="CP22" s="113" cm="1">
        <f t="array" ref="CP22">LARGE(CM21:CM24,2)</f>
        <v>0</v>
      </c>
      <c r="CQ22" s="112" cm="1">
        <f t="array" ref="CQ22">CR22/$BW$1</f>
        <v>0.2</v>
      </c>
      <c r="CR22" s="114">
        <v>2</v>
      </c>
      <c r="CS22" s="74"/>
      <c r="CT22" s="74"/>
      <c r="CU22" s="74"/>
      <c r="CV22" s="74"/>
      <c r="CW22" s="74"/>
      <c r="CX22" s="172"/>
    </row>
    <row r="23" spans="1:102" ht="14.25" customHeight="1">
      <c r="A23" s="85" t="s">
        <v>146</v>
      </c>
      <c r="B23" s="86">
        <v>46192</v>
      </c>
      <c r="C23" s="87"/>
      <c r="D23" s="88"/>
      <c r="E23" s="85" t="s">
        <v>53</v>
      </c>
      <c r="F23" s="89">
        <v>3</v>
      </c>
      <c r="G23" s="89">
        <v>0</v>
      </c>
      <c r="H23" s="90" t="s">
        <v>94</v>
      </c>
      <c r="I23" s="65"/>
      <c r="J23" s="65" t="str" cm="1">
        <f t="array" ref="J23">IF(OR(ISBLANK(F23),ISBLANK(G23)),"",IF(F23&gt;G23,E23,IF(G23&gt;F23,H23,"")))</f>
        <v>Brasil</v>
      </c>
      <c r="K23" s="65" t="str" cm="1">
        <f t="array" ref="K23">IF(OR(ISBLANK(F23),ISBLANK(G23)),"",IF(F23=G23,E23,""))</f>
        <v/>
      </c>
      <c r="L23" s="65" t="str" cm="1">
        <f t="array" ref="L23">IF(OR(ISBLANK(F23),ISBLANK(G23)),"",IF(F23=G23,H23,""))</f>
        <v/>
      </c>
      <c r="M23" s="65" t="str" cm="1">
        <f t="array" ref="M23">IF(OR(ISBLANK(F23),ISBLANK(G23)),"",IF(F23&lt;G23,E23,IF(G23&lt;F23,H23,"")))</f>
        <v>Haiti</v>
      </c>
      <c r="N23" s="65"/>
      <c r="O23" s="67" t="str" cm="1">
        <f t="array" ref="O23">E22</f>
        <v>Haiti</v>
      </c>
      <c r="P23" s="91" cm="1">
        <f t="array" ref="P23">COUNTIF(J21:J26,"="&amp;$O23)</f>
        <v>0</v>
      </c>
      <c r="Q23" s="91" cm="1">
        <f t="array" ref="Q23">COUNTIF(K21:L26,"="&amp;$O23)</f>
        <v>0</v>
      </c>
      <c r="R23" s="91" cm="1">
        <f t="array" ref="R23">COUNTIF(M21:M26,"="&amp;$O23)</f>
        <v>3</v>
      </c>
      <c r="S23" s="91" cm="1">
        <f t="array" ref="S23">T23-U23</f>
        <v>-9</v>
      </c>
      <c r="T23" s="91" cm="1">
        <f t="array" ref="T23">SUMIF(E21:E26,$O23,F21:F26)+SUMIF(H21:H26,$O23,G21:G26)</f>
        <v>0</v>
      </c>
      <c r="U23" s="91" cm="1">
        <f t="array" ref="U23">SUMIF(E21:E26,$O23,G21:G26)+SUMIF(H21:H26,$O23,F21:F26)</f>
        <v>9</v>
      </c>
      <c r="V23" s="92" cm="1">
        <f t="array" ref="V23">P23*3+Q23*1+BT23+CN23+S23/1000+T23/10000+AV23/1000000+ROW()/10000000</f>
        <v>-8.9976999999999991E-3</v>
      </c>
      <c r="W23" s="67" t="str" cm="1">
        <f t="array" ref="W23">O23</f>
        <v>Haiti</v>
      </c>
      <c r="X23" s="65"/>
      <c r="Y23" s="125" t="str" cm="1">
        <f t="array" ref="Y23">CONCATENATE("3",RIGHT(E20,1))</f>
        <v>3C</v>
      </c>
      <c r="Z23" s="126" t="str" cm="1">
        <f t="array" ref="Z23">VLOOKUP(AL23,V21:W24,2,FALSE)</f>
        <v>Escocia</v>
      </c>
      <c r="AA23" s="127" cm="1">
        <f t="array" ref="AA23">SUM(AB23:AD23)</f>
        <v>3</v>
      </c>
      <c r="AB23" s="128" cm="1">
        <f t="array" ref="AB23">VLOOKUP($Z23,$O$21:$U$24,COLUMN()-26,FALSE)</f>
        <v>1</v>
      </c>
      <c r="AC23" s="128" cm="1">
        <f t="array" ref="AC23">VLOOKUP($Z23,$O$21:$U$24,COLUMN()-26,FALSE)</f>
        <v>0</v>
      </c>
      <c r="AD23" s="128" cm="1">
        <f t="array" ref="AD23">VLOOKUP($Z23,$O$21:$U$24,COLUMN()-26,FALSE)</f>
        <v>2</v>
      </c>
      <c r="AE23" s="128" cm="1">
        <f t="array" ref="AE23">VLOOKUP($Z23,$O$21:$U$24,COLUMN()-26,FALSE)</f>
        <v>1</v>
      </c>
      <c r="AF23" s="128" cm="1">
        <f t="array" ref="AF23">VLOOKUP($Z23,$O$21:$U$24,COLUMN()-26,FALSE)</f>
        <v>5</v>
      </c>
      <c r="AG23" s="128" cm="1">
        <f t="array" ref="AG23">VLOOKUP($Z23,$O$21:$U$24,COLUMN()-26,FALSE)</f>
        <v>4</v>
      </c>
      <c r="AH23" s="129" cm="1">
        <f t="array" ref="AH23">VLOOKUP($Z23,$O$21:$V$24,COLUMN()-26,FALSE)</f>
        <v>3.0015024000000001</v>
      </c>
      <c r="AI23" s="130" cm="1">
        <f t="array" ref="AI23">(COUNTIFS($CV$2:$CV$13,Z23,$CX$2:$CX$13,"IN")+COUNTIFS($CV$2:$CV$13,Z23,$CW$2:$CW$13,"IN"))*IF(SUM(AA21:AA24)=12,1,0)</f>
        <v>1</v>
      </c>
      <c r="AJ23" s="74"/>
      <c r="AK23" s="74"/>
      <c r="AL23" s="99" cm="1">
        <f t="array" ref="AL23">LARGE(V21:V24,3)</f>
        <v>3.0015024000000001</v>
      </c>
      <c r="AM23" s="100" cm="1">
        <f t="array" ref="AM23">(AH23-AL23)*100000000000000000000</f>
        <v>0</v>
      </c>
      <c r="AN23" s="74"/>
      <c r="AO23" s="74"/>
      <c r="AP23" s="101" t="str" cm="1">
        <f t="array" ref="AP23">O23</f>
        <v>Haiti</v>
      </c>
      <c r="AQ23" s="102" cm="1">
        <f t="array" ref="AQ23">P23*3+Q23*1+BT23+CN23+S23/1000+T23/10000</f>
        <v>-8.9999999999999993E-3</v>
      </c>
      <c r="AR23" s="102" t="b" cm="1">
        <f t="array" ref="AR23">IF(OR(AQ23=AQ24),1)</f>
        <v>0</v>
      </c>
      <c r="AS23" s="103" cm="1">
        <f t="array" ref="AS23">AV23</f>
        <v>0</v>
      </c>
      <c r="AT23" s="103" cm="1">
        <f t="array" ref="AT23">IF(AND(AM25="si",OR(AR21=1,AR22=1,AR23=1)),1,0)</f>
        <v>0</v>
      </c>
      <c r="AU23" s="122" t="str" cm="1">
        <f t="array" ref="AU23">O23</f>
        <v>Haiti</v>
      </c>
      <c r="AV23" s="101"/>
      <c r="AW23" s="106"/>
      <c r="AX23" s="74" t="str" cm="1">
        <f t="array" ref="AX23">Y20</f>
        <v>Grupo C</v>
      </c>
      <c r="AY23" s="76" t="str" cm="1">
        <f t="array" ref="AY23">O23</f>
        <v>Haiti</v>
      </c>
      <c r="AZ23" s="107" cm="1">
        <f t="array" ref="AZ23">P23*3+Q23</f>
        <v>0</v>
      </c>
      <c r="BA23" s="107" cm="1">
        <f t="array" ref="BA23">COUNTIFS($AX$1:AX23,AX23,$AZ$1:AZ23,AZ23)</f>
        <v>1</v>
      </c>
      <c r="BB23" s="107" cm="1">
        <f t="array" ref="BB23">IF(AZ23=BF19,ROW()*0.001,AZ23)</f>
        <v>0</v>
      </c>
      <c r="BC23" s="107" cm="1">
        <f t="array" ref="BC23">COUNTIFS($AX$1:AZ23,AZ23,$AZ$1:BB23,BB23)</f>
        <v>2</v>
      </c>
      <c r="BD23" s="107"/>
      <c r="BE23" s="108" t="str" cm="1">
        <f t="array" ref="BE23">IF(OR(BF23="-",BI23="-",BF19=0),"-","OK")</f>
        <v>-</v>
      </c>
      <c r="BF23" s="109" t="str" cm="1">
        <f t="array" ref="BF23">IF(_xlfn.XLOOKUP($E23,$AY1:$AY108,$AZ1:$AZ108,"-",0)=BF19,$E23,"-")</f>
        <v>-</v>
      </c>
      <c r="BG23" s="110" cm="1">
        <f t="array" ref="BG23">$F23</f>
        <v>3</v>
      </c>
      <c r="BH23" s="110" cm="1">
        <f t="array" ref="BH23">$G23</f>
        <v>0</v>
      </c>
      <c r="BI23" s="109" t="str" cm="1">
        <f t="array" ref="BI23">IF(_xlfn.XLOOKUP($H23,$AY1:$AY108,$AZ1:$AZ108,"-",0)=BF19,$H23,"-")</f>
        <v>-</v>
      </c>
      <c r="BJ23" s="74"/>
      <c r="BK23" s="79" t="str" cm="1">
        <f t="array" ref="BK23">O23</f>
        <v>Haiti</v>
      </c>
      <c r="BL23" s="111" cm="1">
        <f t="array" ref="BL23">COUNTIFS($BE1:$BE108,"OK",$BI1:$BI108,BK23)+COUNTIFS($BE1:$BE108,"OK",$BF1:$BF108,BK23)</f>
        <v>0</v>
      </c>
      <c r="BM23" s="112" cm="1">
        <f t="array" ref="BM23">COUNTIFS(J1:J108,$BK23,$BE1:$BE108,"OK")</f>
        <v>0</v>
      </c>
      <c r="BN23" s="112" cm="1">
        <f t="array" ref="BN23">COUNTIFS(K1:K108,$BK23,$BE1:$BE108,"OK")+COUNTIFS(L1:L108,$BK23,$BE1:$BE108,"OK")</f>
        <v>0</v>
      </c>
      <c r="BO23" s="112" cm="1">
        <f t="array" ref="BO23">COUNTIFS(M1:M108,$BK23,$BE1:$BE108,"OK")</f>
        <v>0</v>
      </c>
      <c r="BP23" s="112" cm="1">
        <f t="array" ref="BP23">BQ23-BR23</f>
        <v>0</v>
      </c>
      <c r="BQ23" s="112" cm="1">
        <f t="array" ref="BQ23">SUMIFS(BG1:BG108,$BE1:$BE108,"OK",BF1:BF108,$BK23)+SUMIFS(BH1:BH108,$BE1:$BE108,"OK",BI1:BI108,$BK23)</f>
        <v>0</v>
      </c>
      <c r="BR23" s="112" cm="1">
        <f t="array" ref="BR23">SUMIFS(BH1:BH108,$BE1:$BE108,"OK",BF1:BF108,$BK23)+SUMIFS(BG1:BG108,$BE1:$BE108,"OK",BI1:BI108,$BK23)</f>
        <v>0</v>
      </c>
      <c r="BS23" s="113" cm="1">
        <f t="array" ref="BS23">BM23*3+BN23*1+BP23/100+BQ23/10000</f>
        <v>0</v>
      </c>
      <c r="BT23" s="107" cm="1">
        <f t="array" ref="BT23">IF(BL23=0,0,_xlfn.XLOOKUP(BS23,BV21:BV24,BW21:BW24))</f>
        <v>0</v>
      </c>
      <c r="BU23" s="99"/>
      <c r="BV23" s="113" cm="1">
        <f t="array" ref="BV23">LARGE(BS21:BS24,3)</f>
        <v>0</v>
      </c>
      <c r="BW23" s="112" cm="1">
        <f t="array" ref="BW23">BX23/$BW$1</f>
        <v>0.1</v>
      </c>
      <c r="BX23" s="114">
        <v>1</v>
      </c>
      <c r="BY23" s="108" t="str" cm="1">
        <f t="array" ref="BY23">IF(OR(BZ23="-",CC23="-"),"-","OK")</f>
        <v>-</v>
      </c>
      <c r="BZ23" s="109" t="str" cm="1">
        <f t="array" ref="BZ23">IF(_xlfn.XLOOKUP($E23,$AY1:$AY108,$AZ1:$AZ108,"-",0)=BZ19,$E23,"-")</f>
        <v>Brasil</v>
      </c>
      <c r="CA23" s="110" cm="1">
        <f t="array" ref="CA23">$F23</f>
        <v>3</v>
      </c>
      <c r="CB23" s="110" cm="1">
        <f t="array" ref="CB23">$G23</f>
        <v>0</v>
      </c>
      <c r="CC23" s="109" t="str" cm="1">
        <f t="array" ref="CC23">IF(_xlfn.XLOOKUP($H23,$AY1:$AY108,$AZ1:$AZ108,"-",0)=BZ19,$H23,"-")</f>
        <v>-</v>
      </c>
      <c r="CD23" s="74"/>
      <c r="CE23" s="79" t="str" cm="1">
        <f t="array" ref="CE23">BK23</f>
        <v>Haiti</v>
      </c>
      <c r="CF23" s="111" cm="1">
        <f t="array" ref="CF23">COUNTIFS($BY1:$BY108,"OK",$CC1:$CC108,CE23)+COUNTIFS($BY1:$BY108,"OK",$BZ1:$BZ108,CE23)</f>
        <v>0</v>
      </c>
      <c r="CG23" s="112" cm="1">
        <f t="array" ref="CG23">COUNTIFS(P1:P108,$BK23,$BY1:$BY108,"OK")</f>
        <v>0</v>
      </c>
      <c r="CH23" s="112" cm="1">
        <f t="array" ref="CH23">COUNTIFS(K1:K108,$BK23,$BY1:$BY108,"OK")+COUNTIFS(L1:L108,$BK23,$BY1:$BY108,"OK")</f>
        <v>0</v>
      </c>
      <c r="CI23" s="112" cm="1">
        <f t="array" ref="CI23">COUNTIFS(M1:M108,$CE23,$BY1:$BY108,"OK")</f>
        <v>0</v>
      </c>
      <c r="CJ23" s="112" cm="1">
        <f t="array" ref="CJ23">CK23-CL23</f>
        <v>0</v>
      </c>
      <c r="CK23" s="112" cm="1">
        <f t="array" ref="CK23">SUMIFS(CA1:CA108,$BY1:$BY108,"OK",BZ1:BZ108,$BK23)+SUMIFS(CB1:CB108,$BY1:$BY108,"OK",CC1:CC108,$BK23)</f>
        <v>0</v>
      </c>
      <c r="CL23" s="112" cm="1">
        <f t="array" ref="CL23">SUMIFS(CB1:CB108,$BY1:$BY108,"OK",BZ1:BZ108,$BK23)+SUMIFS(CA1:CA108,$BY1:$BY108,"OK",CC1:CC108,$BK23)</f>
        <v>0</v>
      </c>
      <c r="CM23" s="113" cm="1">
        <f t="array" ref="CM23">CG23*3+CH23*1+CJ23/100+CK23/10000</f>
        <v>0</v>
      </c>
      <c r="CN23" s="107" cm="1">
        <f t="array" ref="CN23">IF(CF23=0,0,_xlfn.XLOOKUP(CM23,CP21:CP24,CQ21:CQ24))</f>
        <v>0</v>
      </c>
      <c r="CO23" s="99"/>
      <c r="CP23" s="113" cm="1">
        <f t="array" ref="CP23">LARGE(CM21:CM24,3)</f>
        <v>0</v>
      </c>
      <c r="CQ23" s="112" cm="1">
        <f t="array" ref="CQ23">CR23/$BW$1</f>
        <v>0.1</v>
      </c>
      <c r="CR23" s="114">
        <v>1</v>
      </c>
      <c r="CS23" s="74"/>
      <c r="CT23" s="74"/>
      <c r="CU23" s="74"/>
      <c r="CV23" s="74"/>
      <c r="CW23" s="74"/>
      <c r="CX23" s="172"/>
    </row>
    <row r="24" spans="1:102" ht="14.25" customHeight="1">
      <c r="A24" s="85" t="s">
        <v>148</v>
      </c>
      <c r="B24" s="86">
        <v>46192</v>
      </c>
      <c r="C24" s="87"/>
      <c r="D24" s="88"/>
      <c r="E24" s="85" t="s">
        <v>80</v>
      </c>
      <c r="F24" s="89">
        <v>1</v>
      </c>
      <c r="G24" s="89">
        <v>2</v>
      </c>
      <c r="H24" s="90" t="s">
        <v>59</v>
      </c>
      <c r="I24" s="65"/>
      <c r="J24" s="65" t="str" cm="1">
        <f t="array" ref="J24">IF(OR(ISBLANK(F24),ISBLANK(G24)),"",IF(F24&gt;G24,E24,IF(G24&gt;F24,H24,"")))</f>
        <v>Marruecos</v>
      </c>
      <c r="K24" s="65" t="str" cm="1">
        <f t="array" ref="K24">IF(OR(ISBLANK(F24),ISBLANK(G24)),"",IF(F24=G24,E24,""))</f>
        <v/>
      </c>
      <c r="L24" s="65" t="str" cm="1">
        <f t="array" ref="L24">IF(OR(ISBLANK(F24),ISBLANK(G24)),"",IF(F24=G24,H24,""))</f>
        <v/>
      </c>
      <c r="M24" s="65" t="str" cm="1">
        <f t="array" ref="M24">IF(OR(ISBLANK(F24),ISBLANK(G24)),"",IF(F24&lt;G24,E24,IF(G24&lt;F24,H24,"")))</f>
        <v>Escocia</v>
      </c>
      <c r="N24" s="65"/>
      <c r="O24" s="67" t="str" cm="1">
        <f t="array" ref="O24">H22</f>
        <v>Escocia</v>
      </c>
      <c r="P24" s="91" cm="1">
        <f t="array" ref="P24">COUNTIF(J21:J26,"="&amp;$O24)</f>
        <v>1</v>
      </c>
      <c r="Q24" s="91" cm="1">
        <f t="array" ref="Q24">COUNTIF(K21:L26,"="&amp;$O24)</f>
        <v>0</v>
      </c>
      <c r="R24" s="91" cm="1">
        <f t="array" ref="R24">COUNTIF(M21:M26,"="&amp;$O24)</f>
        <v>2</v>
      </c>
      <c r="S24" s="91" cm="1">
        <f t="array" ref="S24">T24-U24</f>
        <v>1</v>
      </c>
      <c r="T24" s="91" cm="1">
        <f t="array" ref="T24">SUMIF(E21:E26,$O24,F21:F26)+SUMIF(H21:H26,$O24,G21:G26)</f>
        <v>5</v>
      </c>
      <c r="U24" s="91" cm="1">
        <f t="array" ref="U24">SUMIF(E21:E26,$O24,G21:G26)+SUMIF(H21:H26,$O24,F21:F26)</f>
        <v>4</v>
      </c>
      <c r="V24" s="92" cm="1">
        <f t="array" ref="V24">P24*3+Q24*1+BT24+CN24+S24/1000+T24/10000+AV24/1000000+ROW()/10000000</f>
        <v>3.0015024000000001</v>
      </c>
      <c r="W24" s="67" t="str" cm="1">
        <f t="array" ref="W24">O24</f>
        <v>Escocia</v>
      </c>
      <c r="X24" s="65"/>
      <c r="Y24" s="131" t="str" cm="1">
        <f t="array" ref="Y24">CONCATENATE("4",RIGHT(E20,1))</f>
        <v>4C</v>
      </c>
      <c r="Z24" s="132" t="str" cm="1">
        <f t="array" ref="Z24">VLOOKUP(AL24,V21:W24,2,FALSE)</f>
        <v>Haiti</v>
      </c>
      <c r="AA24" s="133" cm="1">
        <f t="array" ref="AA24">SUM(AB24:AD24)</f>
        <v>3</v>
      </c>
      <c r="AB24" s="134" cm="1">
        <f t="array" ref="AB24">VLOOKUP($Z24,$O$21:$U$24,COLUMN()-26,FALSE)</f>
        <v>0</v>
      </c>
      <c r="AC24" s="134" cm="1">
        <f t="array" ref="AC24">VLOOKUP($Z24,$O$21:$U$24,COLUMN()-26,FALSE)</f>
        <v>0</v>
      </c>
      <c r="AD24" s="134" cm="1">
        <f t="array" ref="AD24">VLOOKUP($Z24,$O$21:$U$24,COLUMN()-26,FALSE)</f>
        <v>3</v>
      </c>
      <c r="AE24" s="134" cm="1">
        <f t="array" ref="AE24">VLOOKUP($Z24,$O$21:$U$24,COLUMN()-26,FALSE)</f>
        <v>-9</v>
      </c>
      <c r="AF24" s="134" cm="1">
        <f t="array" ref="AF24">VLOOKUP($Z24,$O$21:$U$24,COLUMN()-26,FALSE)</f>
        <v>0</v>
      </c>
      <c r="AG24" s="134" cm="1">
        <f t="array" ref="AG24">VLOOKUP($Z24,$O$21:$U$24,COLUMN()-26,FALSE)</f>
        <v>9</v>
      </c>
      <c r="AH24" s="135" cm="1">
        <f t="array" ref="AH24">VLOOKUP($Z24,$O$21:$V$24,COLUMN()-26,FALSE)</f>
        <v>-8.9976999999999991E-3</v>
      </c>
      <c r="AI24" s="130"/>
      <c r="AJ24" s="74"/>
      <c r="AK24" s="74"/>
      <c r="AL24" s="99" cm="1">
        <f t="array" ref="AL24">LARGE(V21:V24,4)</f>
        <v>-8.9976999999999991E-3</v>
      </c>
      <c r="AM24" s="100" cm="1">
        <f t="array" ref="AM24">(AH24-AL24)*100000000000000000000</f>
        <v>0</v>
      </c>
      <c r="AN24" s="74"/>
      <c r="AO24" s="74"/>
      <c r="AP24" s="101" t="str" cm="1">
        <f t="array" ref="AP24">O24</f>
        <v>Escocia</v>
      </c>
      <c r="AQ24" s="102" cm="1">
        <f t="array" ref="AQ24">P24*3+Q24*1+BT24+CN24+S24/1000+T24/10000</f>
        <v>3.0015000000000001</v>
      </c>
      <c r="AR24" s="65"/>
      <c r="AS24" s="103" cm="1">
        <f t="array" ref="AS24">AV24</f>
        <v>0</v>
      </c>
      <c r="AT24" s="103" cm="1">
        <f t="array" ref="AT24">IF(AND(AM25="si",OR(AR21=1,AR22=1,AR23=1)),1,0)</f>
        <v>0</v>
      </c>
      <c r="AU24" s="136" t="str" cm="1">
        <f t="array" ref="AU24">O24</f>
        <v>Escocia</v>
      </c>
      <c r="AV24" s="137"/>
      <c r="AW24" s="106"/>
      <c r="AX24" s="74" t="str" cm="1">
        <f t="array" ref="AX24">Y20</f>
        <v>Grupo C</v>
      </c>
      <c r="AY24" s="76" t="str" cm="1">
        <f t="array" ref="AY24">O24</f>
        <v>Escocia</v>
      </c>
      <c r="AZ24" s="107" cm="1">
        <f t="array" ref="AZ24">P24*3+Q24</f>
        <v>3</v>
      </c>
      <c r="BA24" s="107" cm="1">
        <f t="array" ref="BA24">COUNTIFS($AX$1:AX24,AX24,$AZ$1:AZ24,AZ24)</f>
        <v>1</v>
      </c>
      <c r="BB24" s="107" cm="1">
        <f t="array" ref="BB24">IF(AZ24=BF19,ROW()*0.001,AZ24)</f>
        <v>3</v>
      </c>
      <c r="BC24" s="107" cm="1">
        <f t="array" ref="BC24">COUNTIFS($AX$1:AZ24,AZ24,$AZ$1:BB24,BB24)</f>
        <v>1</v>
      </c>
      <c r="BD24" s="107"/>
      <c r="BE24" s="108" t="str" cm="1">
        <f t="array" ref="BE24">IF(OR(BF24="-",BI24="-",BF19=0),"-","OK")</f>
        <v>-</v>
      </c>
      <c r="BF24" s="109" t="str" cm="1">
        <f t="array" ref="BF24">IF(_xlfn.XLOOKUP($E24,$AY1:$AY108,$AZ1:$AZ108,"-",0)=BF19,$E24,"-")</f>
        <v>-</v>
      </c>
      <c r="BG24" s="110" cm="1">
        <f t="array" ref="BG24">$F24</f>
        <v>1</v>
      </c>
      <c r="BH24" s="110" cm="1">
        <f t="array" ref="BH24">$G24</f>
        <v>2</v>
      </c>
      <c r="BI24" s="109" t="str" cm="1">
        <f t="array" ref="BI24">IF(_xlfn.XLOOKUP($H24,$AY1:$AY108,$AZ1:$AZ108,"-",0)=BF19,$H24,"-")</f>
        <v>-</v>
      </c>
      <c r="BJ24" s="74"/>
      <c r="BK24" s="79" t="str" cm="1">
        <f t="array" ref="BK24">O24</f>
        <v>Escocia</v>
      </c>
      <c r="BL24" s="111" cm="1">
        <f t="array" ref="BL24">COUNTIFS($BE1:$BE108,"OK",$BI1:$BI108,BK24)+COUNTIFS($BE1:$BE108,"OK",$BF1:$BF108,BK24)</f>
        <v>0</v>
      </c>
      <c r="BM24" s="112" cm="1">
        <f t="array" ref="BM24">COUNTIFS(J1:J108,$BK24,$BE1:$BE108,"OK")</f>
        <v>0</v>
      </c>
      <c r="BN24" s="112" cm="1">
        <f t="array" ref="BN24">COUNTIFS(K1:K108,$BK24,$BE1:$BE108,"OK")+COUNTIFS(L1:L108,$BK24,$BE1:$BE108,"OK")</f>
        <v>0</v>
      </c>
      <c r="BO24" s="112" cm="1">
        <f t="array" ref="BO24">COUNTIFS(M1:M108,$BK24,$BE1:$BE108,"OK")</f>
        <v>0</v>
      </c>
      <c r="BP24" s="112" cm="1">
        <f t="array" ref="BP24">BQ24-BR24</f>
        <v>0</v>
      </c>
      <c r="BQ24" s="112" cm="1">
        <f t="array" ref="BQ24">SUMIFS(BG1:BG108,$BE1:$BE108,"OK",BF1:BF108,$BK24)+SUMIFS(BH1:BH108,$BE1:$BE108,"OK",BI1:BI108,$BK24)</f>
        <v>0</v>
      </c>
      <c r="BR24" s="112" cm="1">
        <f t="array" ref="BR24">SUMIFS(BH1:BH108,$BE1:$BE108,"OK",BF1:BF108,$BK24)+SUMIFS(BG1:BG108,$BE1:$BE108,"OK",BI1:BI108,$BK24)</f>
        <v>0</v>
      </c>
      <c r="BS24" s="113" cm="1">
        <f t="array" ref="BS24">BM24*3+BN24*1+BP24/100+BQ24/10000</f>
        <v>0</v>
      </c>
      <c r="BT24" s="107" cm="1">
        <f t="array" ref="BT24">IF(BL24=0,0,_xlfn.XLOOKUP(BS24,BV21:BV24,BW21:BW24))</f>
        <v>0</v>
      </c>
      <c r="BU24" s="99"/>
      <c r="BV24" s="113" cm="1">
        <f t="array" ref="BV24">LARGE(BS21:BS24,4)</f>
        <v>0</v>
      </c>
      <c r="BW24" s="112" cm="1">
        <f t="array" ref="BW24">BX24/$BW$1</f>
        <v>0</v>
      </c>
      <c r="BX24" s="114">
        <v>0</v>
      </c>
      <c r="BY24" s="108" t="str" cm="1">
        <f t="array" ref="BY24">IF(OR(BZ24="-",CC24="-"),"-","OK")</f>
        <v>-</v>
      </c>
      <c r="BZ24" s="109" t="str" cm="1">
        <f t="array" ref="BZ24">IF(_xlfn.XLOOKUP($E24,$AY1:$AY108,$AZ1:$AZ108,"-",0)=BZ19,$E24,"-")</f>
        <v>-</v>
      </c>
      <c r="CA24" s="110" cm="1">
        <f t="array" ref="CA24">$F24</f>
        <v>1</v>
      </c>
      <c r="CB24" s="110" cm="1">
        <f t="array" ref="CB24">$G24</f>
        <v>2</v>
      </c>
      <c r="CC24" s="109" t="str" cm="1">
        <f t="array" ref="CC24">IF(_xlfn.XLOOKUP($H24,$AY1:$AY108,$AZ1:$AZ108,"-",0)=BZ19,$H24,"-")</f>
        <v>-</v>
      </c>
      <c r="CD24" s="74"/>
      <c r="CE24" s="79" t="str" cm="1">
        <f t="array" ref="CE24">BK24</f>
        <v>Escocia</v>
      </c>
      <c r="CF24" s="111" cm="1">
        <f t="array" ref="CF24">COUNTIFS($BY1:$BY108,"OK",$CC1:$CC108,CE24)+COUNTIFS($BY1:$BY108,"OK",$BZ1:$BZ108,CE24)</f>
        <v>0</v>
      </c>
      <c r="CG24" s="112" cm="1">
        <f t="array" ref="CG24">COUNTIFS(P1:P108,$BK24,$BY1:$BY108,"OK")</f>
        <v>0</v>
      </c>
      <c r="CH24" s="112" cm="1">
        <f t="array" ref="CH24">COUNTIFS(K1:K108,$BK24,$BY1:$BY108,"OK")+COUNTIFS(L1:L108,$BK24,$BY1:$BY108,"OK")</f>
        <v>0</v>
      </c>
      <c r="CI24" s="112" cm="1">
        <f t="array" ref="CI24">COUNTIFS(M1:M108,$CE24,$BY1:$BY108,"OK")</f>
        <v>0</v>
      </c>
      <c r="CJ24" s="112" cm="1">
        <f t="array" ref="CJ24">CK24-CL24</f>
        <v>0</v>
      </c>
      <c r="CK24" s="112" cm="1">
        <f t="array" ref="CK24">SUMIFS(CA1:CA108,$BY1:$BY108,"OK",BZ1:BZ108,$BK24)+SUMIFS(CB1:CB108,$BY1:$BY108,"OK",CC1:CC108,$BK24)</f>
        <v>0</v>
      </c>
      <c r="CL24" s="112" cm="1">
        <f t="array" ref="CL24">SUMIFS(CB1:CB108,$BY1:$BY108,"OK",BZ1:BZ108,$BK24)+SUMIFS(CA1:CA108,$BY1:$BY108,"OK",CC1:CC108,$BK24)</f>
        <v>0</v>
      </c>
      <c r="CM24" s="113" cm="1">
        <f t="array" ref="CM24">CG24*3+CH24*1+CJ24/100+CK24/10000</f>
        <v>0</v>
      </c>
      <c r="CN24" s="107" cm="1">
        <f t="array" ref="CN24">IF(CF24=0,0,_xlfn.XLOOKUP(CM24,CP21:CP24,CQ21:CQ24))</f>
        <v>0</v>
      </c>
      <c r="CO24" s="99"/>
      <c r="CP24" s="113" cm="1">
        <f t="array" ref="CP24">LARGE(CM21:CM24,4)</f>
        <v>0</v>
      </c>
      <c r="CQ24" s="112" cm="1">
        <f t="array" ref="CQ24">CR24/$BW$1</f>
        <v>0</v>
      </c>
      <c r="CR24" s="114">
        <v>0</v>
      </c>
      <c r="CS24" s="74"/>
      <c r="CT24" s="74"/>
      <c r="CU24" s="74"/>
      <c r="CV24" s="74"/>
      <c r="CW24" s="74"/>
      <c r="CX24" s="172"/>
    </row>
    <row r="25" spans="1:102" ht="14.25" customHeight="1">
      <c r="A25" s="85" t="s">
        <v>149</v>
      </c>
      <c r="B25" s="86">
        <v>46197</v>
      </c>
      <c r="C25" s="87"/>
      <c r="D25" s="88"/>
      <c r="E25" s="85" t="s">
        <v>80</v>
      </c>
      <c r="F25" s="89">
        <v>1</v>
      </c>
      <c r="G25" s="89">
        <v>2</v>
      </c>
      <c r="H25" s="90" t="s">
        <v>53</v>
      </c>
      <c r="I25" s="106"/>
      <c r="J25" s="74" t="str" cm="1">
        <f t="array" ref="J25">IF(OR(ISBLANK(F25),ISBLANK(G25)),"",IF(F25&gt;G25,E25,IF(G25&gt;F25,H25,"")))</f>
        <v>Brasil</v>
      </c>
      <c r="K25" s="74" t="str" cm="1">
        <f t="array" ref="K25">IF(OR(ISBLANK(F25),ISBLANK(G25)),"",IF(F25=G25,E25,""))</f>
        <v/>
      </c>
      <c r="L25" s="74" t="str" cm="1">
        <f t="array" ref="L25">IF(OR(ISBLANK(F25),ISBLANK(G25)),"",IF(F25=G25,H25,""))</f>
        <v/>
      </c>
      <c r="M25" s="74" t="str" cm="1">
        <f t="array" ref="M25">IF(OR(ISBLANK(F25),ISBLANK(G25)),"",IF(F25&lt;G25,E25,IF(G25&lt;F25,H25,"")))</f>
        <v>Escocia</v>
      </c>
      <c r="N25" s="74"/>
      <c r="O25" s="74"/>
      <c r="P25" s="74"/>
      <c r="Q25" s="74"/>
      <c r="R25" s="74"/>
      <c r="S25" s="74"/>
      <c r="T25" s="74"/>
      <c r="U25" s="74"/>
      <c r="V25" s="74"/>
      <c r="W25" s="74"/>
      <c r="X25" s="74"/>
      <c r="Y25" s="138"/>
      <c r="Z25" s="138"/>
      <c r="AA25" s="138"/>
      <c r="AB25" s="138"/>
      <c r="AC25" s="138"/>
      <c r="AD25" s="138"/>
      <c r="AE25" s="138"/>
      <c r="AF25" s="138"/>
      <c r="AG25" s="138"/>
      <c r="AH25" s="138"/>
      <c r="AI25" s="74"/>
      <c r="AJ25" s="74"/>
      <c r="AK25" s="74"/>
      <c r="AL25" s="139" t="s">
        <v>128</v>
      </c>
      <c r="AM25" s="74" t="str" cm="1">
        <f t="array" ref="AM25">IF(SUM(AA21:AA24)=12,"si","no")</f>
        <v>si</v>
      </c>
      <c r="AN25" s="74"/>
      <c r="AO25" s="74"/>
      <c r="AP25" s="74"/>
      <c r="AQ25" s="74"/>
      <c r="AR25" s="74"/>
      <c r="AS25" s="74"/>
      <c r="AT25" s="74"/>
      <c r="AU25" s="138"/>
      <c r="AV25" s="138"/>
      <c r="AW25" s="74"/>
      <c r="AX25" s="74"/>
      <c r="AY25" s="74"/>
      <c r="AZ25" s="74"/>
      <c r="BA25" s="74"/>
      <c r="BB25" s="74"/>
      <c r="BC25" s="74"/>
      <c r="BD25" s="74"/>
      <c r="BE25" s="108" t="str" cm="1">
        <f t="array" ref="BE25">IF(OR(BF25="-",BI25="-",BF19=0),"-","OK")</f>
        <v>-</v>
      </c>
      <c r="BF25" s="109" t="str" cm="1">
        <f t="array" ref="BF25">IF(_xlfn.XLOOKUP($E25,$AY1:$AY108,$AZ1:$AZ108,"-",0)=BF19,$E25,"-")</f>
        <v>-</v>
      </c>
      <c r="BG25" s="110" cm="1">
        <f t="array" ref="BG25">$F25</f>
        <v>1</v>
      </c>
      <c r="BH25" s="110" cm="1">
        <f t="array" ref="BH25">$G25</f>
        <v>2</v>
      </c>
      <c r="BI25" s="109" t="str" cm="1">
        <f t="array" ref="BI25">IF(_xlfn.XLOOKUP($H25,$AY1:$AY108,$AZ1:$AZ108,"-",0)=BF19,$H25,"-")</f>
        <v>-</v>
      </c>
      <c r="BJ25" s="74"/>
      <c r="BK25" s="74"/>
      <c r="BL25" s="74"/>
      <c r="BM25" s="74"/>
      <c r="BN25" s="74"/>
      <c r="BO25" s="74"/>
      <c r="BP25" s="74"/>
      <c r="BQ25" s="74"/>
      <c r="BR25" s="74"/>
      <c r="BS25" s="74"/>
      <c r="BT25" s="74"/>
      <c r="BU25" s="74"/>
      <c r="BV25" s="74"/>
      <c r="BW25" s="74"/>
      <c r="BX25" s="74"/>
      <c r="BY25" s="108" t="str" cm="1">
        <f t="array" ref="BY25">IF(OR(BZ25="-",CC25="-"),"-","OK")</f>
        <v>-</v>
      </c>
      <c r="BZ25" s="109" t="str" cm="1">
        <f t="array" ref="BZ25">IF(_xlfn.XLOOKUP($E25,$AY1:$AY108,$AZ1:$AZ108,"-",0)=BZ19,$E25,"-")</f>
        <v>-</v>
      </c>
      <c r="CA25" s="110" cm="1">
        <f t="array" ref="CA25">$F25</f>
        <v>1</v>
      </c>
      <c r="CB25" s="110" cm="1">
        <f t="array" ref="CB25">$G25</f>
        <v>2</v>
      </c>
      <c r="CC25" s="109" t="str" cm="1">
        <f t="array" ref="CC25">IF(_xlfn.XLOOKUP($H25,$AY1:$AY108,$AZ1:$AZ108,"-",0)=BZ19,$H25,"-")</f>
        <v>Brasil</v>
      </c>
      <c r="CD25" s="74"/>
      <c r="CE25" s="74"/>
      <c r="CF25" s="74"/>
      <c r="CG25" s="74"/>
      <c r="CH25" s="74"/>
      <c r="CI25" s="74"/>
      <c r="CJ25" s="74"/>
      <c r="CK25" s="74"/>
      <c r="CL25" s="74"/>
      <c r="CM25" s="74"/>
      <c r="CN25" s="74"/>
      <c r="CO25" s="74"/>
      <c r="CP25" s="74"/>
      <c r="CQ25" s="74"/>
      <c r="CR25" s="74"/>
      <c r="CS25" s="74"/>
      <c r="CT25" s="74"/>
      <c r="CU25" s="74"/>
      <c r="CV25" s="74"/>
      <c r="CW25" s="74"/>
      <c r="CX25" s="172"/>
    </row>
    <row r="26" spans="1:102" ht="14.25" customHeight="1">
      <c r="A26" s="85" t="s">
        <v>150</v>
      </c>
      <c r="B26" s="86">
        <v>46197</v>
      </c>
      <c r="C26" s="87"/>
      <c r="D26" s="88"/>
      <c r="E26" s="85" t="s">
        <v>59</v>
      </c>
      <c r="F26" s="89">
        <v>3</v>
      </c>
      <c r="G26" s="89">
        <v>0</v>
      </c>
      <c r="H26" s="90" t="s">
        <v>94</v>
      </c>
      <c r="I26" s="106"/>
      <c r="J26" s="74" t="str" cm="1">
        <f t="array" ref="J26">IF(OR(ISBLANK(F26),ISBLANK(G26)),"",IF(F26&gt;G26,E26,IF(G26&gt;F26,H26,"")))</f>
        <v>Marruecos</v>
      </c>
      <c r="K26" s="74" t="str" cm="1">
        <f t="array" ref="K26">IF(OR(ISBLANK(F26),ISBLANK(G26)),"",IF(F26=G26,E26,""))</f>
        <v/>
      </c>
      <c r="L26" s="74" t="str" cm="1">
        <f t="array" ref="L26">IF(OR(ISBLANK(F26),ISBLANK(G26)),"",IF(F26=G26,H26,""))</f>
        <v/>
      </c>
      <c r="M26" s="74" t="str" cm="1">
        <f t="array" ref="M26">IF(OR(ISBLANK(F26),ISBLANK(G26)),"",IF(F26&lt;G26,E26,IF(G26&lt;F26,H26,"")))</f>
        <v>Haiti</v>
      </c>
      <c r="N26" s="74"/>
      <c r="O26" s="74"/>
      <c r="P26" s="74"/>
      <c r="Q26" s="74"/>
      <c r="R26" s="74"/>
      <c r="S26" s="74"/>
      <c r="T26" s="74"/>
      <c r="U26" s="74"/>
      <c r="V26" s="74"/>
      <c r="W26" s="74"/>
      <c r="X26" s="74"/>
      <c r="Y26" s="140" t="s">
        <v>130</v>
      </c>
      <c r="Z26" s="74"/>
      <c r="AA26" s="74"/>
      <c r="AB26" s="74"/>
      <c r="AC26" s="74"/>
      <c r="AD26" s="74"/>
      <c r="AE26" s="74"/>
      <c r="AF26" s="74"/>
      <c r="AG26" s="74"/>
      <c r="AH26" s="74"/>
      <c r="AI26" s="74"/>
      <c r="AJ26" s="74"/>
      <c r="AK26" s="74"/>
      <c r="AL26" s="74"/>
      <c r="AM26" s="74"/>
      <c r="AN26" s="74"/>
      <c r="AO26" s="74"/>
      <c r="AP26" s="74"/>
      <c r="AQ26" s="74"/>
      <c r="AR26" s="114" cm="1">
        <f t="array" ref="AR26">IF(AND(AM25="si",OR(AR21=1,AR22=1,AR23=1)),1,0)</f>
        <v>0</v>
      </c>
      <c r="AS26" s="74"/>
      <c r="AT26" s="74"/>
      <c r="AU26" s="74"/>
      <c r="AV26" s="74"/>
      <c r="AW26" s="74"/>
      <c r="AX26" s="74"/>
      <c r="AY26" s="74"/>
      <c r="AZ26" s="74"/>
      <c r="BA26" s="74"/>
      <c r="BB26" s="74"/>
      <c r="BC26" s="74"/>
      <c r="BD26" s="74"/>
      <c r="BE26" s="108" t="str" cm="1">
        <f t="array" ref="BE26">IF(OR(BF26="-",BI26="-",BF19=0),"-","OK")</f>
        <v>-</v>
      </c>
      <c r="BF26" s="109" t="str" cm="1">
        <f t="array" ref="BF26">IF(_xlfn.XLOOKUP($E26,$AY1:$AY108,$AZ1:$AZ108,"-",0)=BF19,$E26,"-")</f>
        <v>-</v>
      </c>
      <c r="BG26" s="110" cm="1">
        <f t="array" ref="BG26">$F26</f>
        <v>3</v>
      </c>
      <c r="BH26" s="110" cm="1">
        <f t="array" ref="BH26">$G26</f>
        <v>0</v>
      </c>
      <c r="BI26" s="109" t="str" cm="1">
        <f t="array" ref="BI26">IF(_xlfn.XLOOKUP($H26,$AY1:$AY108,$AZ1:$AZ108,"-",0)=BF19,$H26,"-")</f>
        <v>-</v>
      </c>
      <c r="BJ26" s="74"/>
      <c r="BK26" s="74"/>
      <c r="BL26" s="74"/>
      <c r="BM26" s="74"/>
      <c r="BN26" s="74"/>
      <c r="BO26" s="74"/>
      <c r="BP26" s="74"/>
      <c r="BQ26" s="74"/>
      <c r="BR26" s="74"/>
      <c r="BS26" s="74"/>
      <c r="BT26" s="74"/>
      <c r="BU26" s="74"/>
      <c r="BV26" s="74"/>
      <c r="BW26" s="74"/>
      <c r="BX26" s="74"/>
      <c r="BY26" s="108" t="str" cm="1">
        <f t="array" ref="BY26">IF(OR(BZ26="-",CC26="-"),"-","OK")</f>
        <v>-</v>
      </c>
      <c r="BZ26" s="109" t="str" cm="1">
        <f t="array" ref="BZ26">IF(_xlfn.XLOOKUP($E26,$AY1:$AY108,$AZ1:$AZ108,"-",0)=BZ19,$E26,"-")</f>
        <v>-</v>
      </c>
      <c r="CA26" s="110" cm="1">
        <f t="array" ref="CA26">$F26</f>
        <v>3</v>
      </c>
      <c r="CB26" s="110" cm="1">
        <f t="array" ref="CB26">$G26</f>
        <v>0</v>
      </c>
      <c r="CC26" s="109" t="str" cm="1">
        <f t="array" ref="CC26">IF(_xlfn.XLOOKUP($H26,$AY1:$AY108,$AZ1:$AZ108,"-",0)=BZ19,$H26,"-")</f>
        <v>-</v>
      </c>
      <c r="CD26" s="74"/>
      <c r="CE26" s="74"/>
      <c r="CF26" s="74"/>
      <c r="CG26" s="74"/>
      <c r="CH26" s="74"/>
      <c r="CI26" s="74"/>
      <c r="CJ26" s="74"/>
      <c r="CK26" s="74"/>
      <c r="CL26" s="74"/>
      <c r="CM26" s="74"/>
      <c r="CN26" s="74"/>
      <c r="CO26" s="74"/>
      <c r="CP26" s="74"/>
      <c r="CQ26" s="74"/>
      <c r="CR26" s="74"/>
      <c r="CS26" s="74"/>
      <c r="CT26" s="74"/>
      <c r="CU26" s="74"/>
      <c r="CV26" s="74"/>
      <c r="CW26" s="74"/>
      <c r="CX26" s="172"/>
    </row>
    <row r="27" spans="1:102" ht="14.25" customHeight="1">
      <c r="A27" s="141"/>
      <c r="B27" s="142"/>
      <c r="C27" s="143"/>
      <c r="D27" s="144"/>
      <c r="E27" s="145"/>
      <c r="F27" s="143"/>
      <c r="G27" s="143"/>
      <c r="H27" s="146"/>
      <c r="I27" s="78"/>
      <c r="J27" s="77"/>
      <c r="K27" s="77"/>
      <c r="L27" s="77"/>
      <c r="M27" s="77"/>
      <c r="N27" s="78"/>
      <c r="O27" s="78"/>
      <c r="P27" s="78"/>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78"/>
      <c r="BA27" s="78"/>
      <c r="BB27" s="78"/>
      <c r="BC27" s="78"/>
      <c r="BD27" s="78"/>
      <c r="BE27" s="77"/>
      <c r="BF27" s="144"/>
      <c r="BG27" s="144"/>
      <c r="BH27" s="144"/>
      <c r="BI27" s="144"/>
      <c r="BJ27" s="78"/>
      <c r="BK27" s="78"/>
      <c r="BL27" s="78"/>
      <c r="BM27" s="78"/>
      <c r="BN27" s="78"/>
      <c r="BO27" s="78"/>
      <c r="BP27" s="78"/>
      <c r="BQ27" s="78"/>
      <c r="BR27" s="78"/>
      <c r="BS27" s="78"/>
      <c r="BT27" s="78"/>
      <c r="BU27" s="78"/>
      <c r="BV27" s="78"/>
      <c r="BW27" s="78"/>
      <c r="BX27" s="78"/>
      <c r="BY27" s="78"/>
      <c r="BZ27" s="144"/>
      <c r="CA27" s="144"/>
      <c r="CB27" s="144"/>
      <c r="CC27" s="144"/>
      <c r="CD27" s="78"/>
      <c r="CE27" s="78"/>
      <c r="CF27" s="78"/>
      <c r="CG27" s="78"/>
      <c r="CH27" s="78"/>
      <c r="CI27" s="78"/>
      <c r="CJ27" s="78"/>
      <c r="CK27" s="78"/>
      <c r="CL27" s="78"/>
      <c r="CM27" s="78"/>
      <c r="CN27" s="78"/>
      <c r="CO27" s="78"/>
      <c r="CP27" s="78"/>
      <c r="CQ27" s="78"/>
      <c r="CR27" s="78"/>
      <c r="CS27" s="78"/>
      <c r="CT27" s="78"/>
      <c r="CU27" s="78"/>
      <c r="CV27" s="78"/>
      <c r="CW27" s="77"/>
      <c r="CX27" s="174"/>
    </row>
    <row r="28" spans="1:102" ht="14.25" customHeight="1">
      <c r="A28" s="150"/>
      <c r="B28" s="144"/>
      <c r="C28" s="144"/>
      <c r="D28" s="144"/>
      <c r="E28" s="144"/>
      <c r="F28" s="144"/>
      <c r="G28" s="144"/>
      <c r="H28" s="144"/>
      <c r="I28" s="138"/>
      <c r="J28" s="138"/>
      <c r="K28" s="138"/>
      <c r="L28" s="138"/>
      <c r="M28" s="138"/>
      <c r="N28" s="138"/>
      <c r="O28" s="138"/>
      <c r="P28" s="138"/>
      <c r="Q28" s="138"/>
      <c r="R28" s="138"/>
      <c r="S28" s="138"/>
      <c r="T28" s="138"/>
      <c r="U28" s="138"/>
      <c r="V28" s="138"/>
      <c r="W28" s="138"/>
      <c r="X28" s="138"/>
      <c r="Y28" s="144"/>
      <c r="Z28" s="144"/>
      <c r="AA28" s="144"/>
      <c r="AB28" s="144"/>
      <c r="AC28" s="144"/>
      <c r="AD28" s="144"/>
      <c r="AE28" s="144"/>
      <c r="AF28" s="144"/>
      <c r="AG28" s="144"/>
      <c r="AH28" s="144"/>
      <c r="AI28" s="138"/>
      <c r="AJ28" s="138"/>
      <c r="AK28" s="138"/>
      <c r="AL28" s="138"/>
      <c r="AM28" s="138"/>
      <c r="AN28" s="138"/>
      <c r="AO28" s="138"/>
      <c r="AP28" s="138"/>
      <c r="AQ28" s="138"/>
      <c r="AR28" s="138"/>
      <c r="AS28" s="138"/>
      <c r="AT28" s="138"/>
      <c r="AU28" s="138"/>
      <c r="AV28" s="138"/>
      <c r="AW28" s="138"/>
      <c r="AX28" s="138"/>
      <c r="AY28" s="138"/>
      <c r="AZ28" s="138"/>
      <c r="BA28" s="138"/>
      <c r="BB28" s="138"/>
      <c r="BC28" s="138"/>
      <c r="BD28" s="138"/>
      <c r="BE28" s="138"/>
      <c r="BF28" s="138" t="str" cm="1">
        <f t="array" ref="BF28">IF(BA30&gt;1,AZ30,IF(BA31&gt;1,AZ31,IF(BA32&gt;1,AZ32,IF(BA33&gt;1,AZ33,"-"))))</f>
        <v>-</v>
      </c>
      <c r="BG28" s="138"/>
      <c r="BH28" s="138"/>
      <c r="BI28" s="138"/>
      <c r="BJ28" s="138"/>
      <c r="BK28" s="138"/>
      <c r="BL28" s="138"/>
      <c r="BM28" s="138"/>
      <c r="BN28" s="138"/>
      <c r="BO28" s="138"/>
      <c r="BP28" s="138"/>
      <c r="BQ28" s="138"/>
      <c r="BR28" s="138"/>
      <c r="BS28" s="138"/>
      <c r="BT28" s="138"/>
      <c r="BU28" s="138"/>
      <c r="BV28" s="138"/>
      <c r="BW28" s="152">
        <v>10</v>
      </c>
      <c r="BX28" s="138"/>
      <c r="BY28" s="138"/>
      <c r="BZ28" s="153" cm="1">
        <f t="array" ref="BZ28">IF(BC30&gt;1,BB30,IF(BC31&gt;1,BB31,IF(BC32&gt;1,BB32,IF(BC33&gt;1,BB33,"-"))))</f>
        <v>7</v>
      </c>
      <c r="CA28" s="138"/>
      <c r="CB28" s="138"/>
      <c r="CC28" s="138"/>
      <c r="CD28" s="138"/>
      <c r="CE28" s="138"/>
      <c r="CF28" s="138"/>
      <c r="CG28" s="138"/>
      <c r="CH28" s="138"/>
      <c r="CI28" s="138"/>
      <c r="CJ28" s="138"/>
      <c r="CK28" s="138"/>
      <c r="CL28" s="138"/>
      <c r="CM28" s="138"/>
      <c r="CN28" s="138"/>
      <c r="CO28" s="138"/>
      <c r="CP28" s="138"/>
      <c r="CQ28" s="152">
        <v>10</v>
      </c>
      <c r="CR28" s="138"/>
      <c r="CS28" s="138"/>
      <c r="CT28" s="138"/>
      <c r="CU28" s="138"/>
      <c r="CV28" s="138"/>
      <c r="CW28" s="138"/>
      <c r="CX28" s="175"/>
    </row>
    <row r="29" spans="1:102" ht="14.25" customHeight="1">
      <c r="A29" s="186" t="s">
        <v>101</v>
      </c>
      <c r="B29" s="187" t="s">
        <v>102</v>
      </c>
      <c r="C29" s="187" t="s">
        <v>103</v>
      </c>
      <c r="D29" s="188"/>
      <c r="E29" s="189" t="s">
        <v>151</v>
      </c>
      <c r="F29" s="190"/>
      <c r="G29" s="190"/>
      <c r="H29" s="191"/>
      <c r="I29" s="65"/>
      <c r="J29" s="66" t="s">
        <v>105</v>
      </c>
      <c r="K29" s="66" t="s">
        <v>106</v>
      </c>
      <c r="L29" s="66" t="s">
        <v>106</v>
      </c>
      <c r="M29" s="66" t="s">
        <v>107</v>
      </c>
      <c r="N29" s="65"/>
      <c r="O29" s="67" t="str" cm="1">
        <f t="array" ref="O29">E29</f>
        <v>Grupo D</v>
      </c>
      <c r="P29" s="68" t="s">
        <v>105</v>
      </c>
      <c r="Q29" s="68" t="s">
        <v>106</v>
      </c>
      <c r="R29" s="68" t="s">
        <v>107</v>
      </c>
      <c r="S29" s="68" t="s">
        <v>108</v>
      </c>
      <c r="T29" s="68" t="s">
        <v>109</v>
      </c>
      <c r="U29" s="68" t="s">
        <v>110</v>
      </c>
      <c r="V29" s="68" t="s">
        <v>0</v>
      </c>
      <c r="W29" s="69"/>
      <c r="X29" s="65"/>
      <c r="Y29" s="780" t="s">
        <v>151</v>
      </c>
      <c r="Z29" s="781"/>
      <c r="AA29" s="192" t="s">
        <v>111</v>
      </c>
      <c r="AB29" s="193" t="s">
        <v>105</v>
      </c>
      <c r="AC29" s="193" t="s">
        <v>106</v>
      </c>
      <c r="AD29" s="193" t="s">
        <v>107</v>
      </c>
      <c r="AE29" s="193" t="s">
        <v>108</v>
      </c>
      <c r="AF29" s="193" t="s">
        <v>109</v>
      </c>
      <c r="AG29" s="193" t="s">
        <v>110</v>
      </c>
      <c r="AH29" s="194" t="s">
        <v>0</v>
      </c>
      <c r="AI29" s="195"/>
      <c r="AJ29" s="74"/>
      <c r="AK29" s="74"/>
      <c r="AL29" s="75" t="s">
        <v>0</v>
      </c>
      <c r="AM29" s="75" t="s">
        <v>112</v>
      </c>
      <c r="AN29" s="76"/>
      <c r="AO29" s="76"/>
      <c r="AP29" s="76"/>
      <c r="AQ29" s="76"/>
      <c r="AR29" s="76"/>
      <c r="AS29" s="76"/>
      <c r="AT29" s="76"/>
      <c r="AU29" s="77"/>
      <c r="AV29" s="78"/>
      <c r="AW29" s="74"/>
      <c r="AX29" s="74"/>
      <c r="AY29" s="75" t="s">
        <v>113</v>
      </c>
      <c r="AZ29" s="75" t="s">
        <v>0</v>
      </c>
      <c r="BA29" s="75" t="s">
        <v>114</v>
      </c>
      <c r="BB29" s="76"/>
      <c r="BC29" s="76"/>
      <c r="BD29" s="76"/>
      <c r="BE29" s="74"/>
      <c r="BF29" s="78"/>
      <c r="BG29" s="78"/>
      <c r="BH29" s="78"/>
      <c r="BI29" s="78"/>
      <c r="BJ29" s="74"/>
      <c r="BK29" s="79"/>
      <c r="BL29" s="80" t="s">
        <v>111</v>
      </c>
      <c r="BM29" s="75" t="s">
        <v>105</v>
      </c>
      <c r="BN29" s="75" t="s">
        <v>106</v>
      </c>
      <c r="BO29" s="75" t="s">
        <v>107</v>
      </c>
      <c r="BP29" s="75" t="s">
        <v>108</v>
      </c>
      <c r="BQ29" s="75" t="s">
        <v>109</v>
      </c>
      <c r="BR29" s="75" t="s">
        <v>110</v>
      </c>
      <c r="BS29" s="75" t="s">
        <v>0</v>
      </c>
      <c r="BT29" s="75" t="s">
        <v>115</v>
      </c>
      <c r="BU29" s="76"/>
      <c r="BV29" s="75" t="s">
        <v>116</v>
      </c>
      <c r="BW29" s="75" t="s">
        <v>115</v>
      </c>
      <c r="BX29" s="74"/>
      <c r="BY29" s="74"/>
      <c r="BZ29" s="78"/>
      <c r="CA29" s="78"/>
      <c r="CB29" s="78"/>
      <c r="CC29" s="78"/>
      <c r="CD29" s="74"/>
      <c r="CE29" s="79"/>
      <c r="CF29" s="80" t="s">
        <v>111</v>
      </c>
      <c r="CG29" s="75" t="s">
        <v>105</v>
      </c>
      <c r="CH29" s="75" t="s">
        <v>106</v>
      </c>
      <c r="CI29" s="75" t="s">
        <v>107</v>
      </c>
      <c r="CJ29" s="75" t="s">
        <v>108</v>
      </c>
      <c r="CK29" s="75" t="s">
        <v>109</v>
      </c>
      <c r="CL29" s="75" t="s">
        <v>110</v>
      </c>
      <c r="CM29" s="75" t="s">
        <v>0</v>
      </c>
      <c r="CN29" s="75" t="s">
        <v>115</v>
      </c>
      <c r="CO29" s="76"/>
      <c r="CP29" s="75" t="s">
        <v>116</v>
      </c>
      <c r="CQ29" s="75" t="s">
        <v>115</v>
      </c>
      <c r="CR29" s="74"/>
      <c r="CS29" s="74"/>
      <c r="CT29" s="74"/>
      <c r="CU29" s="74"/>
      <c r="CV29" s="74"/>
      <c r="CW29" s="74"/>
      <c r="CX29" s="172"/>
    </row>
    <row r="30" spans="1:102" ht="14.25" customHeight="1">
      <c r="A30" s="85" t="s">
        <v>152</v>
      </c>
      <c r="B30" s="86">
        <v>46185</v>
      </c>
      <c r="C30" s="87"/>
      <c r="D30" s="88"/>
      <c r="E30" s="85" t="s">
        <v>63</v>
      </c>
      <c r="F30" s="89">
        <v>1</v>
      </c>
      <c r="G30" s="89">
        <v>1</v>
      </c>
      <c r="H30" s="90" t="s">
        <v>71</v>
      </c>
      <c r="I30" s="65"/>
      <c r="J30" s="65" t="str" cm="1">
        <f t="array" ref="J30">IF(OR(ISBLANK(F30),ISBLANK(G30)),"",IF(F30&gt;G30,E30,IF(G30&gt;F30,H30,"")))</f>
        <v/>
      </c>
      <c r="K30" s="65" t="str" cm="1">
        <f t="array" ref="K30">IF(OR(ISBLANK(F30),ISBLANK(G30)),"",IF(F30=G30,E30,""))</f>
        <v>Estados Unidos</v>
      </c>
      <c r="L30" s="65" t="str" cm="1">
        <f t="array" ref="L30">IF(OR(ISBLANK(F30),ISBLANK(G30)),"",IF(F30=G30,H30,""))</f>
        <v>Paraguay</v>
      </c>
      <c r="M30" s="65" t="str" cm="1">
        <f t="array" ref="M30">IF(OR(ISBLANK(F30),ISBLANK(G30)),"",IF(F30&lt;G30,E30,IF(G30&lt;F30,H30,"")))</f>
        <v/>
      </c>
      <c r="N30" s="65"/>
      <c r="O30" s="67" t="str" cm="1">
        <f t="array" ref="O30">E30</f>
        <v>Estados Unidos</v>
      </c>
      <c r="P30" s="91" cm="1">
        <f t="array" ref="P30">COUNTIF(J30:J35,"="&amp;$O30)</f>
        <v>2</v>
      </c>
      <c r="Q30" s="91" cm="1">
        <f t="array" ref="Q30">COUNTIF(K30:L35,"="&amp;$O30)</f>
        <v>1</v>
      </c>
      <c r="R30" s="91" cm="1">
        <f t="array" ref="R30">COUNTIF(M30:M35,"="&amp;$O30)</f>
        <v>0</v>
      </c>
      <c r="S30" s="91" cm="1">
        <f t="array" ref="S30">T30-U30</f>
        <v>2</v>
      </c>
      <c r="T30" s="91" cm="1">
        <f t="array" ref="T30">SUMIF(E30:E35,$O30,F30:F35)+SUMIF(H30:H35,$O30,G30:G35)</f>
        <v>4</v>
      </c>
      <c r="U30" s="91" cm="1">
        <f t="array" ref="U30">SUMIF(E30:E35,$O30,G30:G35)+SUMIF(H30:H35,$O30,F30:F35)</f>
        <v>2</v>
      </c>
      <c r="V30" s="92" cm="1">
        <f t="array" ref="V30">P30*3+Q30*1+BT30+CN30+S30/1000+T30/10000+AV30/1000000+ROW()/10000000</f>
        <v>7.0024030000000002</v>
      </c>
      <c r="W30" s="67" t="str" cm="1">
        <f t="array" ref="W30">O30</f>
        <v>Estados Unidos</v>
      </c>
      <c r="X30" s="65"/>
      <c r="Y30" s="93" t="str" cm="1">
        <f t="array" ref="Y30">CONCATENATE("1",RIGHT(E29,1))</f>
        <v>1D</v>
      </c>
      <c r="Z30" s="94" t="str" cm="1">
        <f t="array" ref="Z30">VLOOKUP(AL30,V30:W33,2,FALSE)</f>
        <v>Estados Unidos</v>
      </c>
      <c r="AA30" s="95" cm="1">
        <f t="array" ref="AA30">SUM(AB30:AD30)</f>
        <v>3</v>
      </c>
      <c r="AB30" s="96" cm="1">
        <f t="array" ref="AB30">VLOOKUP($Z30,$O$30:$U$33,COLUMN()-26,FALSE)</f>
        <v>2</v>
      </c>
      <c r="AC30" s="96" cm="1">
        <f t="array" ref="AC30">VLOOKUP($Z30,$O$30:$U$33,COLUMN()-26,FALSE)</f>
        <v>1</v>
      </c>
      <c r="AD30" s="96" cm="1">
        <f t="array" ref="AD30">VLOOKUP($Z30,$O$30:$U$33,COLUMN()-26,FALSE)</f>
        <v>0</v>
      </c>
      <c r="AE30" s="96" cm="1">
        <f t="array" ref="AE30">VLOOKUP($Z30,$O$30:$U$33,COLUMN()-26,FALSE)</f>
        <v>2</v>
      </c>
      <c r="AF30" s="96" cm="1">
        <f t="array" ref="AF30">VLOOKUP($Z30,$O$30:$U$33,COLUMN()-26,FALSE)</f>
        <v>4</v>
      </c>
      <c r="AG30" s="96" cm="1">
        <f t="array" ref="AG30">VLOOKUP($Z30,$O$30:$U$33,COLUMN()-26,FALSE)</f>
        <v>2</v>
      </c>
      <c r="AH30" s="97" cm="1">
        <f t="array" ref="AH30">VLOOKUP($Z30,$O$30:$V$33,COLUMN()-26,FALSE)</f>
        <v>7.0024030000000002</v>
      </c>
      <c r="AI30" s="98"/>
      <c r="AJ30" s="74"/>
      <c r="AK30" s="74"/>
      <c r="AL30" s="99" cm="1">
        <f t="array" ref="AL30">LARGE(V30:V33,1)</f>
        <v>7.0024030000000002</v>
      </c>
      <c r="AM30" s="100" cm="1">
        <f t="array" ref="AM30">(AH30-AL30)*100000000000000000000</f>
        <v>0</v>
      </c>
      <c r="AN30" s="74"/>
      <c r="AO30" s="74"/>
      <c r="AP30" s="101" t="str" cm="1">
        <f t="array" ref="AP30">O30</f>
        <v>Estados Unidos</v>
      </c>
      <c r="AQ30" s="102" cm="1">
        <f t="array" ref="AQ30">P30*3+Q30*1+BT30+CN30+S30/1000+T30/10000</f>
        <v>7.0023999999999997</v>
      </c>
      <c r="AR30" s="102" t="b" cm="1">
        <f t="array" ref="AR30">IF(OR(AQ30=AQ31,AQ30=AQ32,AQ30=AQ33),1)</f>
        <v>0</v>
      </c>
      <c r="AS30" s="103" cm="1">
        <f t="array" ref="AS30">AV30</f>
        <v>0</v>
      </c>
      <c r="AT30" s="103" cm="1">
        <f t="array" ref="AT30">IF(AND(AM34="si",OR(AR30=1,AR31=1,AR32=1)),1,0)</f>
        <v>0</v>
      </c>
      <c r="AU30" s="104" t="str" cm="1">
        <f t="array" ref="AU30">O30</f>
        <v>Estados Unidos</v>
      </c>
      <c r="AV30" s="105"/>
      <c r="AW30" s="106"/>
      <c r="AX30" s="74" t="str" cm="1">
        <f t="array" ref="AX30">Y29</f>
        <v>Grupo D</v>
      </c>
      <c r="AY30" s="76" t="str" cm="1">
        <f t="array" ref="AY30">O30</f>
        <v>Estados Unidos</v>
      </c>
      <c r="AZ30" s="107" cm="1">
        <f t="array" ref="AZ30">P30*3+Q30</f>
        <v>7</v>
      </c>
      <c r="BA30" s="107" cm="1">
        <f t="array" ref="BA30">COUNTIFS($AX$1:AX30,AX30,$AZ$1:AZ30,AZ30)</f>
        <v>1</v>
      </c>
      <c r="BB30" s="107" cm="1">
        <f t="array" ref="BB30">IF(AZ30=BF28,ROW()*0.001,AZ30)</f>
        <v>7</v>
      </c>
      <c r="BC30" s="107" cm="1">
        <f t="array" ref="BC30">COUNTIFS($AX$1:AZ30,AZ30,$AZ$1:BB30,BB30)</f>
        <v>3</v>
      </c>
      <c r="BD30" s="107"/>
      <c r="BE30" s="108" t="str" cm="1">
        <f t="array" ref="BE30">IF(OR(BF30="-",BI30="-",BF28=0),"-","OK")</f>
        <v>-</v>
      </c>
      <c r="BF30" s="109" t="str" cm="1">
        <f t="array" ref="BF30">IF(_xlfn.XLOOKUP($E30,$AY1:$AY108,$AZ1:$AZ108,"-",0)=BF28,$E30,"-")</f>
        <v>-</v>
      </c>
      <c r="BG30" s="110" cm="1">
        <f t="array" ref="BG30">$F30</f>
        <v>1</v>
      </c>
      <c r="BH30" s="110" cm="1">
        <f t="array" ref="BH30">$G30</f>
        <v>1</v>
      </c>
      <c r="BI30" s="109" t="str" cm="1">
        <f t="array" ref="BI30">IF(_xlfn.XLOOKUP($H30,$AY1:$AY108,$AZ1:$AZ108,"-",0)=BF28,$H30,"-")</f>
        <v>-</v>
      </c>
      <c r="BJ30" s="74"/>
      <c r="BK30" s="79" t="str" cm="1">
        <f t="array" ref="BK30">O30</f>
        <v>Estados Unidos</v>
      </c>
      <c r="BL30" s="111" cm="1">
        <f t="array" ref="BL30">COUNTIFS($BE1:$BE108,"OK",$BI1:$BI108,BK30)+COUNTIFS($BE1:$BE108,"OK",$BF1:$BF108,BK30)</f>
        <v>0</v>
      </c>
      <c r="BM30" s="112" cm="1">
        <f t="array" ref="BM30">COUNTIFS(J1:J108,$BK30,$BE1:$BE108,"OK")</f>
        <v>0</v>
      </c>
      <c r="BN30" s="112" cm="1">
        <f t="array" ref="BN30">COUNTIFS(K1:K108,$BK30,$BE1:$BE108,"OK")+COUNTIFS(L1:L108,$BK30,$BE1:$BE108,"OK")</f>
        <v>0</v>
      </c>
      <c r="BO30" s="112" cm="1">
        <f t="array" ref="BO30">COUNTIFS(M1:M108,$BK30,$BE1:$BE108,"OK")</f>
        <v>0</v>
      </c>
      <c r="BP30" s="112" cm="1">
        <f t="array" ref="BP30">BQ30-BR30</f>
        <v>0</v>
      </c>
      <c r="BQ30" s="112" cm="1">
        <f t="array" ref="BQ30">SUMIFS(BG1:BG108,$BE1:$BE108,"OK",BF1:BF108,$BK30)+SUMIFS(BH1:BH108,$BE1:$BE108,"OK",BI1:BI108,$BK30)</f>
        <v>0</v>
      </c>
      <c r="BR30" s="112" cm="1">
        <f t="array" ref="BR30">SUMIFS(BH1:BH108,$BE1:$BE108,"OK",BF1:BF108,$BK30)+SUMIFS(BG1:BG108,$BE1:$BE108,"OK",BI1:BI108,$BK30)</f>
        <v>0</v>
      </c>
      <c r="BS30" s="113" cm="1">
        <f t="array" ref="BS30">BM30*3+BN30*1+BP30/100+BQ30/10000</f>
        <v>0</v>
      </c>
      <c r="BT30" s="107" cm="1">
        <f t="array" ref="BT30">IF(BL30=0,0,_xlfn.XLOOKUP(BS30,BV30:BV33,BW30:BW33))</f>
        <v>0</v>
      </c>
      <c r="BU30" s="99"/>
      <c r="BV30" s="113" cm="1">
        <f t="array" ref="BV30">LARGE(BS30:BS33,1)</f>
        <v>0</v>
      </c>
      <c r="BW30" s="112" cm="1">
        <f t="array" ref="BW30">BX30/$BW$1</f>
        <v>0.3</v>
      </c>
      <c r="BX30" s="114">
        <v>3</v>
      </c>
      <c r="BY30" s="108" t="str" cm="1">
        <f t="array" ref="BY30">IF(OR(BZ30="-",CC30="-"),"-","OK")</f>
        <v>-</v>
      </c>
      <c r="BZ30" s="109" t="str" cm="1">
        <f t="array" ref="BZ30">IF(_xlfn.XLOOKUP($E30,$AY1:$AY108,$AZ1:$AZ108,"-",0)=BZ28,$E30,"-")</f>
        <v>Estados Unidos</v>
      </c>
      <c r="CA30" s="110" cm="1">
        <f t="array" ref="CA30">$F30</f>
        <v>1</v>
      </c>
      <c r="CB30" s="110" cm="1">
        <f t="array" ref="CB30">$G30</f>
        <v>1</v>
      </c>
      <c r="CC30" s="109" t="str" cm="1">
        <f t="array" ref="CC30">IF(_xlfn.XLOOKUP($H30,$AY1:$AY108,$AZ1:$AZ108,"-",0)=BZ28,$H30,"-")</f>
        <v>-</v>
      </c>
      <c r="CD30" s="74"/>
      <c r="CE30" s="79" t="str" cm="1">
        <f t="array" ref="CE30">BK30</f>
        <v>Estados Unidos</v>
      </c>
      <c r="CF30" s="111" cm="1">
        <f t="array" ref="CF30">COUNTIFS($BY1:$BY108,"OK",$CC1:$CC108,CE30)+COUNTIFS($BY1:$BY108,"OK",$BZ1:$BZ108,CE30)</f>
        <v>0</v>
      </c>
      <c r="CG30" s="112" cm="1">
        <f t="array" ref="CG30">COUNTIFS(P1:P108,$BK30,$BY1:$BY108,"OK")</f>
        <v>0</v>
      </c>
      <c r="CH30" s="112" cm="1">
        <f t="array" ref="CH30">COUNTIFS(K1:K108,$BK30,$BY1:$BY108,"OK")+COUNTIFS(L1:L108,$BK30,$BY1:$BY108,"OK")</f>
        <v>0</v>
      </c>
      <c r="CI30" s="112" cm="1">
        <f t="array" ref="CI30">COUNTIFS(M1:M108,$CE30,$BY1:$BY108,"OK")</f>
        <v>0</v>
      </c>
      <c r="CJ30" s="112" cm="1">
        <f t="array" ref="CJ30">CK30-CL30</f>
        <v>0</v>
      </c>
      <c r="CK30" s="112" cm="1">
        <f t="array" ref="CK30">SUMIFS(CA1:CA108,$BY1:$BY108,"OK",BZ1:BZ108,$BK30)+SUMIFS(CB1:CB108,$BY1:$BY108,"OK",CC1:CC108,$BK30)</f>
        <v>0</v>
      </c>
      <c r="CL30" s="112" cm="1">
        <f t="array" ref="CL30">SUMIFS(CB1:CB108,$BY1:$BY108,"OK",BZ1:BZ108,$BK30)+SUMIFS(CA1:CA108,$BY1:$BY108,"OK",CC1:CC108,$BK30)</f>
        <v>0</v>
      </c>
      <c r="CM30" s="113" cm="1">
        <f t="array" ref="CM30">CG30*3+CH30*1+CJ30/100+CK30/10000</f>
        <v>0</v>
      </c>
      <c r="CN30" s="107" cm="1">
        <f t="array" ref="CN30">IF(CF30=0,0,_xlfn.XLOOKUP(CM30,CP30:CP33,CQ30:CQ33))</f>
        <v>0</v>
      </c>
      <c r="CO30" s="99"/>
      <c r="CP30" s="113" cm="1">
        <f t="array" ref="CP30">LARGE(CM30:CM33,1)</f>
        <v>0</v>
      </c>
      <c r="CQ30" s="112" cm="1">
        <f t="array" ref="CQ30">CR30/$BW$1</f>
        <v>0.3</v>
      </c>
      <c r="CR30" s="114">
        <v>3</v>
      </c>
      <c r="CS30" s="74"/>
      <c r="CT30" s="74"/>
      <c r="CU30" s="74"/>
      <c r="CV30" s="74"/>
      <c r="CW30" s="74"/>
      <c r="CX30" s="172"/>
    </row>
    <row r="31" spans="1:102" ht="14.25" customHeight="1">
      <c r="A31" s="85" t="s">
        <v>154</v>
      </c>
      <c r="B31" s="86">
        <v>46187</v>
      </c>
      <c r="C31" s="87"/>
      <c r="D31" s="88"/>
      <c r="E31" s="85" t="s">
        <v>73</v>
      </c>
      <c r="F31" s="89">
        <v>0</v>
      </c>
      <c r="G31" s="89">
        <v>1</v>
      </c>
      <c r="H31" s="90" t="s">
        <v>66</v>
      </c>
      <c r="I31" s="65"/>
      <c r="J31" s="65" t="str" cm="1">
        <f t="array" ref="J31">IF(OR(ISBLANK(F31),ISBLANK(G31)),"",IF(F31&gt;G31,E31,IF(G31&gt;F31,H31,"")))</f>
        <v>Turquia</v>
      </c>
      <c r="K31" s="65" t="str" cm="1">
        <f t="array" ref="K31">IF(OR(ISBLANK(F31),ISBLANK(G31)),"",IF(F31=G31,E31,""))</f>
        <v/>
      </c>
      <c r="L31" s="65" t="str" cm="1">
        <f t="array" ref="L31">IF(OR(ISBLANK(F31),ISBLANK(G31)),"",IF(F31=G31,H31,""))</f>
        <v/>
      </c>
      <c r="M31" s="65" t="str" cm="1">
        <f t="array" ref="M31">IF(OR(ISBLANK(F31),ISBLANK(G31)),"",IF(F31&lt;G31,E31,IF(G31&lt;F31,H31,"")))</f>
        <v>Australia</v>
      </c>
      <c r="N31" s="65"/>
      <c r="O31" s="67" t="str" cm="1">
        <f t="array" ref="O31">H30</f>
        <v>Paraguay</v>
      </c>
      <c r="P31" s="91" cm="1">
        <f t="array" ref="P31">COUNTIF(J30:J35,"="&amp;$O31)</f>
        <v>1</v>
      </c>
      <c r="Q31" s="91" cm="1">
        <f t="array" ref="Q31">COUNTIF(K30:L35,"="&amp;$O31)</f>
        <v>2</v>
      </c>
      <c r="R31" s="91" cm="1">
        <f t="array" ref="R31">COUNTIF(M30:M35,"="&amp;$O31)</f>
        <v>0</v>
      </c>
      <c r="S31" s="91" cm="1">
        <f t="array" ref="S31">T31-U31</f>
        <v>1</v>
      </c>
      <c r="T31" s="91" cm="1">
        <f t="array" ref="T31">SUMIF(E30:E35,$O31,F30:F35)+SUMIF(H30:H35,$O31,G30:G35)</f>
        <v>4</v>
      </c>
      <c r="U31" s="91" cm="1">
        <f t="array" ref="U31">SUMIF(E30:E35,$O31,G30:G35)+SUMIF(H30:H35,$O31,F30:F35)</f>
        <v>3</v>
      </c>
      <c r="V31" s="92" cm="1">
        <f t="array" ref="V31">P31*3+Q31*1+BT31+CN31+S31/1000+T31/10000+AV31/1000000+ROW()/10000000</f>
        <v>5.0014031000000001</v>
      </c>
      <c r="W31" s="67" t="str" cm="1">
        <f t="array" ref="W31">O31</f>
        <v>Paraguay</v>
      </c>
      <c r="X31" s="65"/>
      <c r="Y31" s="117" t="str" cm="1">
        <f t="array" ref="Y31">CONCATENATE("2",RIGHT(E29,1))</f>
        <v>2D</v>
      </c>
      <c r="Z31" s="118" t="str" cm="1">
        <f t="array" ref="Z31">VLOOKUP(AL31,V30:W33,2,FALSE)</f>
        <v>Paraguay</v>
      </c>
      <c r="AA31" s="119" cm="1">
        <f t="array" ref="AA31">SUM(AB31:AD31)</f>
        <v>3</v>
      </c>
      <c r="AB31" s="120" cm="1">
        <f t="array" ref="AB31">VLOOKUP($Z31,$O$30:$U$33,COLUMN()-26,FALSE)</f>
        <v>1</v>
      </c>
      <c r="AC31" s="120" cm="1">
        <f t="array" ref="AC31">VLOOKUP($Z31,$O$30:$U$33,COLUMN()-26,FALSE)</f>
        <v>2</v>
      </c>
      <c r="AD31" s="120" cm="1">
        <f t="array" ref="AD31">VLOOKUP($Z31,$O$30:$U$33,COLUMN()-26,FALSE)</f>
        <v>0</v>
      </c>
      <c r="AE31" s="120" cm="1">
        <f t="array" ref="AE31">VLOOKUP($Z31,$O$30:$U$33,COLUMN()-26,FALSE)</f>
        <v>1</v>
      </c>
      <c r="AF31" s="120" cm="1">
        <f t="array" ref="AF31">VLOOKUP($Z31,$O$30:$U$33,COLUMN()-26,FALSE)</f>
        <v>4</v>
      </c>
      <c r="AG31" s="120" cm="1">
        <f t="array" ref="AG31">VLOOKUP($Z31,$O$30:$U$33,COLUMN()-26,FALSE)</f>
        <v>3</v>
      </c>
      <c r="AH31" s="121" cm="1">
        <f t="array" ref="AH31">VLOOKUP($Z31,$O$30:$V$33,COLUMN()-26,FALSE)</f>
        <v>5.0014031000000001</v>
      </c>
      <c r="AI31" s="98"/>
      <c r="AJ31" s="74"/>
      <c r="AK31" s="74"/>
      <c r="AL31" s="99" cm="1">
        <f t="array" ref="AL31">LARGE(V30:V33,2)</f>
        <v>5.0014031000000001</v>
      </c>
      <c r="AM31" s="100" cm="1">
        <f t="array" ref="AM31">(AH31-AL31)*100000000000000000000</f>
        <v>0</v>
      </c>
      <c r="AN31" s="74"/>
      <c r="AO31" s="74"/>
      <c r="AP31" s="101" t="str" cm="1">
        <f t="array" ref="AP31">O31</f>
        <v>Paraguay</v>
      </c>
      <c r="AQ31" s="102" cm="1">
        <f t="array" ref="AQ31">P31*3+Q31*1+BT31+CN31+S31/1000+T31/10000</f>
        <v>5.0014000000000003</v>
      </c>
      <c r="AR31" s="102" t="b" cm="1">
        <f t="array" ref="AR31">IF(OR(AQ31=AQ32,AQ31=AQ33),1)</f>
        <v>0</v>
      </c>
      <c r="AS31" s="103" cm="1">
        <f t="array" ref="AS31">AV31</f>
        <v>0</v>
      </c>
      <c r="AT31" s="103" cm="1">
        <f t="array" ref="AT31">IF(AND(AM34="si",OR(AR30=1,AR31=1,AR32=1)),1,0)</f>
        <v>0</v>
      </c>
      <c r="AU31" s="122" t="str" cm="1">
        <f t="array" ref="AU31">O31</f>
        <v>Paraguay</v>
      </c>
      <c r="AV31" s="101"/>
      <c r="AW31" s="106"/>
      <c r="AX31" s="74" t="str" cm="1">
        <f t="array" ref="AX31">Y29</f>
        <v>Grupo D</v>
      </c>
      <c r="AY31" s="76" t="str" cm="1">
        <f t="array" ref="AY31">O31</f>
        <v>Paraguay</v>
      </c>
      <c r="AZ31" s="107" cm="1">
        <f t="array" ref="AZ31">P31*3+Q31</f>
        <v>5</v>
      </c>
      <c r="BA31" s="107" cm="1">
        <f t="array" ref="BA31">COUNTIFS($AX$1:AX31,AX31,$AZ$1:AZ31,AZ31)</f>
        <v>1</v>
      </c>
      <c r="BB31" s="107" cm="1">
        <f t="array" ref="BB31">IF(AZ31=BF28,ROW()*0.001,AZ31)</f>
        <v>5</v>
      </c>
      <c r="BC31" s="107" cm="1">
        <f t="array" ref="BC31">COUNTIFS($AX$1:AZ31,AZ31,$AZ$1:BB31,BB31)</f>
        <v>1</v>
      </c>
      <c r="BD31" s="107"/>
      <c r="BE31" s="108" t="str" cm="1">
        <f t="array" ref="BE31">IF(OR(BF31="-",BI31="-",BF28=0),"-","OK")</f>
        <v>-</v>
      </c>
      <c r="BF31" s="109" t="str" cm="1">
        <f t="array" ref="BF31">IF(_xlfn.XLOOKUP($E31,$AY1:$AY108,$AZ1:$AZ108,"-",0)=BF28,$E31,"-")</f>
        <v>-</v>
      </c>
      <c r="BG31" s="110" cm="1">
        <f t="array" ref="BG31">$F31</f>
        <v>0</v>
      </c>
      <c r="BH31" s="110" cm="1">
        <f t="array" ref="BH31">$G31</f>
        <v>1</v>
      </c>
      <c r="BI31" s="109" t="str" cm="1">
        <f t="array" ref="BI31">IF(_xlfn.XLOOKUP($H31,$AY1:$AY108,$AZ1:$AZ108,"-",0)=BF28,$H31,"-")</f>
        <v>-</v>
      </c>
      <c r="BJ31" s="74"/>
      <c r="BK31" s="79" t="str" cm="1">
        <f t="array" ref="BK31">O31</f>
        <v>Paraguay</v>
      </c>
      <c r="BL31" s="111" cm="1">
        <f t="array" ref="BL31">COUNTIFS($BE1:$BE108,"OK",$BI1:$BI108,BK31)+COUNTIFS($BE1:$BE108,"OK",$BF1:$BF108,BK31)</f>
        <v>0</v>
      </c>
      <c r="BM31" s="112" cm="1">
        <f t="array" ref="BM31">COUNTIFS(J1:J108,$BK31,$BE1:$BE108,"OK")</f>
        <v>0</v>
      </c>
      <c r="BN31" s="112" cm="1">
        <f t="array" ref="BN31">COUNTIFS(K1:K108,$BK31,$BE1:$BE108,"OK")+COUNTIFS(L1:L108,$BK31,$BE1:$BE108,"OK")</f>
        <v>0</v>
      </c>
      <c r="BO31" s="112" cm="1">
        <f t="array" ref="BO31">COUNTIFS(M1:M108,$BK31,$BE1:$BE108,"OK")</f>
        <v>0</v>
      </c>
      <c r="BP31" s="112" cm="1">
        <f t="array" ref="BP31">BQ31-BR31</f>
        <v>0</v>
      </c>
      <c r="BQ31" s="112" cm="1">
        <f t="array" ref="BQ31">SUMIFS(BG1:BG108,$BE1:$BE108,"OK",BF1:BF108,$BK31)+SUMIFS(BH1:BH108,$BE1:$BE108,"OK",BI1:BI108,$BK31)</f>
        <v>0</v>
      </c>
      <c r="BR31" s="112" cm="1">
        <f t="array" ref="BR31">SUMIFS(BH1:BH108,$BE1:$BE108,"OK",BF1:BF108,$BK31)+SUMIFS(BG1:BG108,$BE1:$BE108,"OK",BI1:BI108,$BK31)</f>
        <v>0</v>
      </c>
      <c r="BS31" s="113" cm="1">
        <f t="array" ref="BS31">BM31*3+BN31*1+BP31/100+BQ31/10000</f>
        <v>0</v>
      </c>
      <c r="BT31" s="107" cm="1">
        <f t="array" ref="BT31">IF(BL31=0,0,_xlfn.XLOOKUP(BS31,BV30:BV33,BW30:BW33))</f>
        <v>0</v>
      </c>
      <c r="BU31" s="99"/>
      <c r="BV31" s="113" cm="1">
        <f t="array" ref="BV31">LARGE(BS30:BS33,2)</f>
        <v>0</v>
      </c>
      <c r="BW31" s="112" cm="1">
        <f t="array" ref="BW31">BX31/$BW$1</f>
        <v>0.2</v>
      </c>
      <c r="BX31" s="114">
        <v>2</v>
      </c>
      <c r="BY31" s="108" t="str" cm="1">
        <f t="array" ref="BY31">IF(OR(BZ31="-",CC31="-"),"-","OK")</f>
        <v>-</v>
      </c>
      <c r="BZ31" s="109" t="str" cm="1">
        <f t="array" ref="BZ31">IF(_xlfn.XLOOKUP($E31,$AY1:$AY108,$AZ1:$AZ108,"-",0)=BZ28,$E31,"-")</f>
        <v>-</v>
      </c>
      <c r="CA31" s="110" cm="1">
        <f t="array" ref="CA31">$F31</f>
        <v>0</v>
      </c>
      <c r="CB31" s="110" cm="1">
        <f t="array" ref="CB31">$G31</f>
        <v>1</v>
      </c>
      <c r="CC31" s="109" t="str" cm="1">
        <f t="array" ref="CC31">IF(_xlfn.XLOOKUP($H31,$AY1:$AY108,$AZ1:$AZ108,"-",0)=BZ28,$H31,"-")</f>
        <v>-</v>
      </c>
      <c r="CD31" s="74"/>
      <c r="CE31" s="79" t="str" cm="1">
        <f t="array" ref="CE31">BK31</f>
        <v>Paraguay</v>
      </c>
      <c r="CF31" s="111" cm="1">
        <f t="array" ref="CF31">COUNTIFS($BY1:$BY108,"OK",$CC1:$CC108,CE31)+COUNTIFS($BY1:$BY108,"OK",$BZ1:$BZ108,CE31)</f>
        <v>0</v>
      </c>
      <c r="CG31" s="112" cm="1">
        <f t="array" ref="CG31">COUNTIFS(P1:P108,$BK31,$BY1:$BY108,"OK")</f>
        <v>0</v>
      </c>
      <c r="CH31" s="112" cm="1">
        <f t="array" ref="CH31">COUNTIFS(K1:K108,$BK31,$BY1:$BY108,"OK")+COUNTIFS(L1:L108,$BK31,$BY1:$BY108,"OK")</f>
        <v>0</v>
      </c>
      <c r="CI31" s="112" cm="1">
        <f t="array" ref="CI31">COUNTIFS(M1:M108,$CE31,$BY1:$BY108,"OK")</f>
        <v>0</v>
      </c>
      <c r="CJ31" s="112" cm="1">
        <f t="array" ref="CJ31">CK31-CL31</f>
        <v>0</v>
      </c>
      <c r="CK31" s="112" cm="1">
        <f t="array" ref="CK31">SUMIFS(CA1:CA108,$BY1:$BY108,"OK",BZ1:BZ108,$BK31)+SUMIFS(CB1:CB108,$BY1:$BY108,"OK",CC1:CC108,$BK31)</f>
        <v>0</v>
      </c>
      <c r="CL31" s="112" cm="1">
        <f t="array" ref="CL31">SUMIFS(CB1:CB108,$BY1:$BY108,"OK",BZ1:BZ108,$BK31)+SUMIFS(CA1:CA108,$BY1:$BY108,"OK",CC1:CC108,$BK31)</f>
        <v>0</v>
      </c>
      <c r="CM31" s="113" cm="1">
        <f t="array" ref="CM31">CG31*3+CH31*1+CJ31/100+CK31/10000</f>
        <v>0</v>
      </c>
      <c r="CN31" s="107" cm="1">
        <f t="array" ref="CN31">IF(CF31=0,0,_xlfn.XLOOKUP(CM31,CP30:CP33,CQ30:CQ33))</f>
        <v>0</v>
      </c>
      <c r="CO31" s="99"/>
      <c r="CP31" s="113" cm="1">
        <f t="array" ref="CP31">LARGE(CM30:CM33,2)</f>
        <v>0</v>
      </c>
      <c r="CQ31" s="112" cm="1">
        <f t="array" ref="CQ31">CR31/$BW$1</f>
        <v>0.2</v>
      </c>
      <c r="CR31" s="114">
        <v>2</v>
      </c>
      <c r="CS31" s="74"/>
      <c r="CT31" s="74"/>
      <c r="CU31" s="74"/>
      <c r="CV31" s="74"/>
      <c r="CW31" s="74"/>
      <c r="CX31" s="172"/>
    </row>
    <row r="32" spans="1:102" ht="14.25" customHeight="1">
      <c r="A32" s="85" t="s">
        <v>156</v>
      </c>
      <c r="B32" s="86">
        <v>46193</v>
      </c>
      <c r="C32" s="87"/>
      <c r="D32" s="88"/>
      <c r="E32" s="85" t="s">
        <v>66</v>
      </c>
      <c r="F32" s="89">
        <v>1</v>
      </c>
      <c r="G32" s="89">
        <v>1</v>
      </c>
      <c r="H32" s="90" t="s">
        <v>71</v>
      </c>
      <c r="I32" s="65"/>
      <c r="J32" s="65" t="str" cm="1">
        <f t="array" ref="J32">IF(OR(ISBLANK(F32),ISBLANK(G32)),"",IF(F32&gt;G32,E32,IF(G32&gt;F32,H32,"")))</f>
        <v/>
      </c>
      <c r="K32" s="65" t="str" cm="1">
        <f t="array" ref="K32">IF(OR(ISBLANK(F32),ISBLANK(G32)),"",IF(F32=G32,E32,""))</f>
        <v>Turquia</v>
      </c>
      <c r="L32" s="65" t="str" cm="1">
        <f t="array" ref="L32">IF(OR(ISBLANK(F32),ISBLANK(G32)),"",IF(F32=G32,H32,""))</f>
        <v>Paraguay</v>
      </c>
      <c r="M32" s="65" t="str" cm="1">
        <f t="array" ref="M32">IF(OR(ISBLANK(F32),ISBLANK(G32)),"",IF(F32&lt;G32,E32,IF(G32&lt;F32,H32,"")))</f>
        <v/>
      </c>
      <c r="N32" s="65"/>
      <c r="O32" s="67" t="str" cm="1">
        <f t="array" ref="O32">E31</f>
        <v>Australia</v>
      </c>
      <c r="P32" s="91" cm="1">
        <f t="array" ref="P32">COUNTIF(J30:J35,"="&amp;$O32)</f>
        <v>0</v>
      </c>
      <c r="Q32" s="91" cm="1">
        <f t="array" ref="Q32">COUNTIF(K30:L35,"="&amp;$O32)</f>
        <v>0</v>
      </c>
      <c r="R32" s="91" cm="1">
        <f t="array" ref="R32">COUNTIF(M30:M35,"="&amp;$O32)</f>
        <v>3</v>
      </c>
      <c r="S32" s="91" cm="1">
        <f t="array" ref="S32">T32-U32</f>
        <v>-3</v>
      </c>
      <c r="T32" s="91" cm="1">
        <f t="array" ref="T32">SUMIF(E30:E35,$O32,F30:F35)+SUMIF(H30:H35,$O32,G30:G35)</f>
        <v>2</v>
      </c>
      <c r="U32" s="91" cm="1">
        <f t="array" ref="U32">SUMIF(E30:E35,$O32,G30:G35)+SUMIF(H30:H35,$O32,F30:F35)</f>
        <v>5</v>
      </c>
      <c r="V32" s="92" cm="1">
        <f t="array" ref="V32">P32*3+Q32*1+BT32+CN32+S32/1000+T32/10000+AV32/1000000+ROW()/10000000</f>
        <v>-2.7967999999999999E-3</v>
      </c>
      <c r="W32" s="67" t="str" cm="1">
        <f t="array" ref="W32">O32</f>
        <v>Australia</v>
      </c>
      <c r="X32" s="65"/>
      <c r="Y32" s="125" t="str" cm="1">
        <f t="array" ref="Y32">CONCATENATE("3",RIGHT(E29,1))</f>
        <v>3D</v>
      </c>
      <c r="Z32" s="126" t="str" cm="1">
        <f t="array" ref="Z32">VLOOKUP(AL32,V30:W33,2,FALSE)</f>
        <v>Turquia</v>
      </c>
      <c r="AA32" s="127" cm="1">
        <f t="array" ref="AA32">SUM(AB32:AD32)</f>
        <v>3</v>
      </c>
      <c r="AB32" s="128" cm="1">
        <f t="array" ref="AB32">VLOOKUP($Z32,$O$30:$U$33,COLUMN()-26,FALSE)</f>
        <v>1</v>
      </c>
      <c r="AC32" s="128" cm="1">
        <f t="array" ref="AC32">VLOOKUP($Z32,$O$30:$U$33,COLUMN()-26,FALSE)</f>
        <v>1</v>
      </c>
      <c r="AD32" s="128" cm="1">
        <f t="array" ref="AD32">VLOOKUP($Z32,$O$30:$U$33,COLUMN()-26,FALSE)</f>
        <v>1</v>
      </c>
      <c r="AE32" s="128" cm="1">
        <f t="array" ref="AE32">VLOOKUP($Z32,$O$30:$U$33,COLUMN()-26,FALSE)</f>
        <v>0</v>
      </c>
      <c r="AF32" s="128" cm="1">
        <f t="array" ref="AF32">VLOOKUP($Z32,$O$30:$U$33,COLUMN()-26,FALSE)</f>
        <v>2</v>
      </c>
      <c r="AG32" s="128" cm="1">
        <f t="array" ref="AG32">VLOOKUP($Z32,$O$30:$U$33,COLUMN()-26,FALSE)</f>
        <v>2</v>
      </c>
      <c r="AH32" s="129" cm="1">
        <f t="array" ref="AH32">VLOOKUP($Z32,$O$30:$V$33,COLUMN()-26,FALSE)</f>
        <v>4.0002033000000008</v>
      </c>
      <c r="AI32" s="130" cm="1">
        <f t="array" ref="AI32">(COUNTIFS($CV$2:$CV$13,Z32,$CX$2:$CX$13,"IN")+COUNTIFS($CV$2:$CV$13,Z32,$CW$2:$CW$13,"IN"))*IF(SUM(AA30:AA33)=12,1,0)</f>
        <v>1</v>
      </c>
      <c r="AJ32" s="74"/>
      <c r="AK32" s="74"/>
      <c r="AL32" s="99" cm="1">
        <f t="array" ref="AL32">LARGE(V30:V33,3)</f>
        <v>4.0002033000000008</v>
      </c>
      <c r="AM32" s="100" cm="1">
        <f t="array" ref="AM32">(AH32-AL32)*100000000000000000000</f>
        <v>0</v>
      </c>
      <c r="AN32" s="74"/>
      <c r="AO32" s="74"/>
      <c r="AP32" s="101" t="str" cm="1">
        <f t="array" ref="AP32">O32</f>
        <v>Australia</v>
      </c>
      <c r="AQ32" s="102" cm="1">
        <f t="array" ref="AQ32">P32*3+Q32*1+BT32+CN32+S32/1000+T32/10000</f>
        <v>-2.8E-3</v>
      </c>
      <c r="AR32" s="102" t="b" cm="1">
        <f t="array" ref="AR32">IF(OR(AQ32=AQ33),1)</f>
        <v>0</v>
      </c>
      <c r="AS32" s="103" cm="1">
        <f t="array" ref="AS32">AV32</f>
        <v>0</v>
      </c>
      <c r="AT32" s="103" cm="1">
        <f t="array" ref="AT32">IF(AND(AM34="si",OR(AR30=1,AR31=1,AR32=1)),1,0)</f>
        <v>0</v>
      </c>
      <c r="AU32" s="122" t="str" cm="1">
        <f t="array" ref="AU32">O32</f>
        <v>Australia</v>
      </c>
      <c r="AV32" s="101"/>
      <c r="AW32" s="106"/>
      <c r="AX32" s="74" t="str" cm="1">
        <f t="array" ref="AX32">Y29</f>
        <v>Grupo D</v>
      </c>
      <c r="AY32" s="76" t="str" cm="1">
        <f t="array" ref="AY32">O32</f>
        <v>Australia</v>
      </c>
      <c r="AZ32" s="107" cm="1">
        <f t="array" ref="AZ32">P32*3+Q32</f>
        <v>0</v>
      </c>
      <c r="BA32" s="107" cm="1">
        <f t="array" ref="BA32">COUNTIFS($AX$1:AX32,AX32,$AZ$1:AZ32,AZ32)</f>
        <v>1</v>
      </c>
      <c r="BB32" s="107" cm="1">
        <f t="array" ref="BB32">IF(AZ32=BF28,ROW()*0.001,AZ32)</f>
        <v>0</v>
      </c>
      <c r="BC32" s="107" cm="1">
        <f t="array" ref="BC32">COUNTIFS($AX$1:AZ32,AZ32,$AZ$1:BB32,BB32)</f>
        <v>3</v>
      </c>
      <c r="BD32" s="107"/>
      <c r="BE32" s="108" t="str" cm="1">
        <f t="array" ref="BE32">IF(OR(BF32="-",BI32="-",BF28=0),"-","OK")</f>
        <v>-</v>
      </c>
      <c r="BF32" s="109" t="str" cm="1">
        <f t="array" ref="BF32">IF(_xlfn.XLOOKUP($E32,$AY1:$AY108,$AZ1:$AZ108,"-",0)=BF28,$E32,"-")</f>
        <v>-</v>
      </c>
      <c r="BG32" s="110" cm="1">
        <f t="array" ref="BG32">$F32</f>
        <v>1</v>
      </c>
      <c r="BH32" s="110" cm="1">
        <f t="array" ref="BH32">$G32</f>
        <v>1</v>
      </c>
      <c r="BI32" s="109" t="str" cm="1">
        <f t="array" ref="BI32">IF(_xlfn.XLOOKUP($H32,$AY1:$AY108,$AZ1:$AZ108,"-",0)=BF28,$H32,"-")</f>
        <v>-</v>
      </c>
      <c r="BJ32" s="74"/>
      <c r="BK32" s="79" t="str" cm="1">
        <f t="array" ref="BK32">O32</f>
        <v>Australia</v>
      </c>
      <c r="BL32" s="111" cm="1">
        <f t="array" ref="BL32">COUNTIFS($BE1:$BE108,"OK",$BI1:$BI108,BK32)+COUNTIFS($BE1:$BE108,"OK",$BF1:$BF108,BK32)</f>
        <v>0</v>
      </c>
      <c r="BM32" s="112" cm="1">
        <f t="array" ref="BM32">COUNTIFS(J1:J108,$BK32,$BE1:$BE108,"OK")</f>
        <v>0</v>
      </c>
      <c r="BN32" s="112" cm="1">
        <f t="array" ref="BN32">COUNTIFS(K1:K108,$BK32,$BE1:$BE108,"OK")+COUNTIFS(L1:L108,$BK32,$BE1:$BE108,"OK")</f>
        <v>0</v>
      </c>
      <c r="BO32" s="112" cm="1">
        <f t="array" ref="BO32">COUNTIFS(M1:M108,$BK32,$BE1:$BE108,"OK")</f>
        <v>0</v>
      </c>
      <c r="BP32" s="112" cm="1">
        <f t="array" ref="BP32">BQ32-BR32</f>
        <v>0</v>
      </c>
      <c r="BQ32" s="112" cm="1">
        <f t="array" ref="BQ32">SUMIFS(BG1:BG108,$BE1:$BE108,"OK",BF1:BF108,$BK32)+SUMIFS(BH1:BH108,$BE1:$BE108,"OK",BI1:BI108,$BK32)</f>
        <v>0</v>
      </c>
      <c r="BR32" s="112" cm="1">
        <f t="array" ref="BR32">SUMIFS(BH1:BH108,$BE1:$BE108,"OK",BF1:BF108,$BK32)+SUMIFS(BG1:BG108,$BE1:$BE108,"OK",BI1:BI108,$BK32)</f>
        <v>0</v>
      </c>
      <c r="BS32" s="113" cm="1">
        <f t="array" ref="BS32">BM32*3+BN32*1+BP32/100+BQ32/10000</f>
        <v>0</v>
      </c>
      <c r="BT32" s="107" cm="1">
        <f t="array" ref="BT32">IF(BL32=0,0,_xlfn.XLOOKUP(BS32,BV30:BV33,BW30:BW33))</f>
        <v>0</v>
      </c>
      <c r="BU32" s="99"/>
      <c r="BV32" s="113" cm="1">
        <f t="array" ref="BV32">LARGE(BS30:BS33,3)</f>
        <v>0</v>
      </c>
      <c r="BW32" s="112" cm="1">
        <f t="array" ref="BW32">BX32/$BW$1</f>
        <v>0.1</v>
      </c>
      <c r="BX32" s="114">
        <v>1</v>
      </c>
      <c r="BY32" s="108" t="str" cm="1">
        <f t="array" ref="BY32">IF(OR(BZ32="-",CC32="-"),"-","OK")</f>
        <v>-</v>
      </c>
      <c r="BZ32" s="109" t="str" cm="1">
        <f t="array" ref="BZ32">IF(_xlfn.XLOOKUP($E32,$AY1:$AY108,$AZ1:$AZ108,"-",0)=BZ28,$E32,"-")</f>
        <v>-</v>
      </c>
      <c r="CA32" s="110" cm="1">
        <f t="array" ref="CA32">$F32</f>
        <v>1</v>
      </c>
      <c r="CB32" s="110" cm="1">
        <f t="array" ref="CB32">$G32</f>
        <v>1</v>
      </c>
      <c r="CC32" s="109" t="str" cm="1">
        <f t="array" ref="CC32">IF(_xlfn.XLOOKUP($H32,$AY1:$AY108,$AZ1:$AZ108,"-",0)=BZ28,$H32,"-")</f>
        <v>-</v>
      </c>
      <c r="CD32" s="74"/>
      <c r="CE32" s="79" t="str" cm="1">
        <f t="array" ref="CE32">BK32</f>
        <v>Australia</v>
      </c>
      <c r="CF32" s="111" cm="1">
        <f t="array" ref="CF32">COUNTIFS($BY1:$BY108,"OK",$CC1:$CC108,CE32)+COUNTIFS($BY1:$BY108,"OK",$BZ1:$BZ108,CE32)</f>
        <v>0</v>
      </c>
      <c r="CG32" s="112" cm="1">
        <f t="array" ref="CG32">COUNTIFS(P1:P108,$BK32,$BY1:$BY108,"OK")</f>
        <v>0</v>
      </c>
      <c r="CH32" s="112" cm="1">
        <f t="array" ref="CH32">COUNTIFS(K1:K108,$BK32,$BY1:$BY108,"OK")+COUNTIFS(L1:L108,$BK32,$BY1:$BY108,"OK")</f>
        <v>0</v>
      </c>
      <c r="CI32" s="112" cm="1">
        <f t="array" ref="CI32">COUNTIFS(M1:M108,$CE32,$BY1:$BY108,"OK")</f>
        <v>0</v>
      </c>
      <c r="CJ32" s="112" cm="1">
        <f t="array" ref="CJ32">CK32-CL32</f>
        <v>0</v>
      </c>
      <c r="CK32" s="112" cm="1">
        <f t="array" ref="CK32">SUMIFS(CA1:CA108,$BY1:$BY108,"OK",BZ1:BZ108,$BK32)+SUMIFS(CB1:CB108,$BY1:$BY108,"OK",CC1:CC108,$BK32)</f>
        <v>0</v>
      </c>
      <c r="CL32" s="112" cm="1">
        <f t="array" ref="CL32">SUMIFS(CB1:CB108,$BY1:$BY108,"OK",BZ1:BZ108,$BK32)+SUMIFS(CA1:CA108,$BY1:$BY108,"OK",CC1:CC108,$BK32)</f>
        <v>0</v>
      </c>
      <c r="CM32" s="113" cm="1">
        <f t="array" ref="CM32">CG32*3+CH32*1+CJ32/100+CK32/10000</f>
        <v>0</v>
      </c>
      <c r="CN32" s="107" cm="1">
        <f t="array" ref="CN32">IF(CF32=0,0,_xlfn.XLOOKUP(CM32,CP30:CP33,CQ30:CQ33))</f>
        <v>0</v>
      </c>
      <c r="CO32" s="99"/>
      <c r="CP32" s="113" cm="1">
        <f t="array" ref="CP32">LARGE(CM30:CM33,3)</f>
        <v>0</v>
      </c>
      <c r="CQ32" s="112" cm="1">
        <f t="array" ref="CQ32">CR32/$BW$1</f>
        <v>0.1</v>
      </c>
      <c r="CR32" s="114">
        <v>1</v>
      </c>
      <c r="CS32" s="74"/>
      <c r="CT32" s="74"/>
      <c r="CU32" s="74"/>
      <c r="CV32" s="74"/>
      <c r="CW32" s="74"/>
      <c r="CX32" s="172"/>
    </row>
    <row r="33" spans="1:102" ht="14.25" customHeight="1">
      <c r="A33" s="85" t="s">
        <v>158</v>
      </c>
      <c r="B33" s="86">
        <v>46192</v>
      </c>
      <c r="C33" s="87"/>
      <c r="D33" s="88"/>
      <c r="E33" s="85" t="s">
        <v>63</v>
      </c>
      <c r="F33" s="89">
        <v>2</v>
      </c>
      <c r="G33" s="89">
        <v>1</v>
      </c>
      <c r="H33" s="90" t="s">
        <v>73</v>
      </c>
      <c r="I33" s="65"/>
      <c r="J33" s="65" t="str" cm="1">
        <f t="array" ref="J33">IF(OR(ISBLANK(F33),ISBLANK(G33)),"",IF(F33&gt;G33,E33,IF(G33&gt;F33,H33,"")))</f>
        <v>Estados Unidos</v>
      </c>
      <c r="K33" s="65" t="str" cm="1">
        <f t="array" ref="K33">IF(OR(ISBLANK(F33),ISBLANK(G33)),"",IF(F33=G33,E33,""))</f>
        <v/>
      </c>
      <c r="L33" s="65" t="str" cm="1">
        <f t="array" ref="L33">IF(OR(ISBLANK(F33),ISBLANK(G33)),"",IF(F33=G33,H33,""))</f>
        <v/>
      </c>
      <c r="M33" s="65" t="str" cm="1">
        <f t="array" ref="M33">IF(OR(ISBLANK(F33),ISBLANK(G33)),"",IF(F33&lt;G33,E33,IF(G33&lt;F33,H33,"")))</f>
        <v>Australia</v>
      </c>
      <c r="N33" s="65"/>
      <c r="O33" s="67" t="str" cm="1">
        <f t="array" ref="O33">H31</f>
        <v>Turquia</v>
      </c>
      <c r="P33" s="91" cm="1">
        <f t="array" ref="P33">COUNTIF(J30:J35,"="&amp;$O33)</f>
        <v>1</v>
      </c>
      <c r="Q33" s="91" cm="1">
        <f t="array" ref="Q33">COUNTIF(K30:L35,"="&amp;$O33)</f>
        <v>1</v>
      </c>
      <c r="R33" s="91" cm="1">
        <f t="array" ref="R33">COUNTIF(M30:M35,"="&amp;$O33)</f>
        <v>1</v>
      </c>
      <c r="S33" s="91" cm="1">
        <f t="array" ref="S33">T33-U33</f>
        <v>0</v>
      </c>
      <c r="T33" s="91" cm="1">
        <f t="array" ref="T33">SUMIF(E30:E35,$O33,F30:F35)+SUMIF(H30:H35,$O33,G30:G35)</f>
        <v>2</v>
      </c>
      <c r="U33" s="91" cm="1">
        <f t="array" ref="U33">SUMIF(E30:E35,$O33,G30:G35)+SUMIF(H30:H35,$O33,F30:F35)</f>
        <v>2</v>
      </c>
      <c r="V33" s="92" cm="1">
        <f t="array" ref="V33">P33*3+Q33*1+BT33+CN33+S33/1000+T33/10000+AV33/1000000+ROW()/10000000</f>
        <v>4.0002033000000008</v>
      </c>
      <c r="W33" s="67" t="str" cm="1">
        <f t="array" ref="W33">O33</f>
        <v>Turquia</v>
      </c>
      <c r="X33" s="65"/>
      <c r="Y33" s="131" t="str" cm="1">
        <f t="array" ref="Y33">CONCATENATE("4",RIGHT(E29,1))</f>
        <v>4D</v>
      </c>
      <c r="Z33" s="132" t="str" cm="1">
        <f t="array" ref="Z33">VLOOKUP(AL33,V30:W33,2,FALSE)</f>
        <v>Australia</v>
      </c>
      <c r="AA33" s="133" cm="1">
        <f t="array" ref="AA33">SUM(AB33:AD33)</f>
        <v>3</v>
      </c>
      <c r="AB33" s="134" cm="1">
        <f t="array" ref="AB33">VLOOKUP($Z33,$O$30:$U$33,COLUMN()-26,FALSE)</f>
        <v>0</v>
      </c>
      <c r="AC33" s="134" cm="1">
        <f t="array" ref="AC33">VLOOKUP($Z33,$O$30:$U$33,COLUMN()-26,FALSE)</f>
        <v>0</v>
      </c>
      <c r="AD33" s="134" cm="1">
        <f t="array" ref="AD33">VLOOKUP($Z33,$O$30:$U$33,COLUMN()-26,FALSE)</f>
        <v>3</v>
      </c>
      <c r="AE33" s="134" cm="1">
        <f t="array" ref="AE33">VLOOKUP($Z33,$O$30:$U$33,COLUMN()-26,FALSE)</f>
        <v>-3</v>
      </c>
      <c r="AF33" s="134" cm="1">
        <f t="array" ref="AF33">VLOOKUP($Z33,$O$30:$U$33,COLUMN()-26,FALSE)</f>
        <v>2</v>
      </c>
      <c r="AG33" s="134" cm="1">
        <f t="array" ref="AG33">VLOOKUP($Z33,$O$30:$U$33,COLUMN()-26,FALSE)</f>
        <v>5</v>
      </c>
      <c r="AH33" s="135" cm="1">
        <f t="array" ref="AH33">VLOOKUP($Z33,$O$30:$V$33,COLUMN()-26,FALSE)</f>
        <v>-2.7967999999999999E-3</v>
      </c>
      <c r="AI33" s="130"/>
      <c r="AJ33" s="74"/>
      <c r="AK33" s="74"/>
      <c r="AL33" s="99" cm="1">
        <f t="array" ref="AL33">LARGE(V30:V33,4)</f>
        <v>-2.7967999999999999E-3</v>
      </c>
      <c r="AM33" s="100" cm="1">
        <f t="array" ref="AM33">(AH33-AL33)*100000000000000000000</f>
        <v>0</v>
      </c>
      <c r="AN33" s="74"/>
      <c r="AO33" s="74"/>
      <c r="AP33" s="101" t="str" cm="1">
        <f t="array" ref="AP33">O33</f>
        <v>Turquia</v>
      </c>
      <c r="AQ33" s="102" cm="1">
        <f t="array" ref="AQ33">P33*3+Q33*1+BT33+CN33+S33/1000+T33/10000</f>
        <v>4.0002000000000004</v>
      </c>
      <c r="AR33" s="65"/>
      <c r="AS33" s="103" cm="1">
        <f t="array" ref="AS33">AV33</f>
        <v>0</v>
      </c>
      <c r="AT33" s="103" cm="1">
        <f t="array" ref="AT33">IF(AND(AM34="si",OR(AR30=1,AR31=1,AR32=1)),1,0)</f>
        <v>0</v>
      </c>
      <c r="AU33" s="136" t="str" cm="1">
        <f t="array" ref="AU33">O33</f>
        <v>Turquia</v>
      </c>
      <c r="AV33" s="137"/>
      <c r="AW33" s="106"/>
      <c r="AX33" s="74" t="str" cm="1">
        <f t="array" ref="AX33">Y29</f>
        <v>Grupo D</v>
      </c>
      <c r="AY33" s="76" t="str" cm="1">
        <f t="array" ref="AY33">O33</f>
        <v>Turquia</v>
      </c>
      <c r="AZ33" s="107" cm="1">
        <f t="array" ref="AZ33">P33*3+Q33</f>
        <v>4</v>
      </c>
      <c r="BA33" s="107" cm="1">
        <f t="array" ref="BA33">COUNTIFS($AX$1:AX33,AX33,$AZ$1:AZ33,AZ33)</f>
        <v>1</v>
      </c>
      <c r="BB33" s="107" cm="1">
        <f t="array" ref="BB33">IF(AZ33=BF28,ROW()*0.001,AZ33)</f>
        <v>4</v>
      </c>
      <c r="BC33" s="107" cm="1">
        <f t="array" ref="BC33">COUNTIFS($AX$1:AZ33,AZ33,$AZ$1:BB33,BB33)</f>
        <v>1</v>
      </c>
      <c r="BD33" s="107"/>
      <c r="BE33" s="108" t="str" cm="1">
        <f t="array" ref="BE33">IF(OR(BF33="-",BI33="-",BF28=0),"-","OK")</f>
        <v>-</v>
      </c>
      <c r="BF33" s="109" t="str" cm="1">
        <f t="array" ref="BF33">IF(_xlfn.XLOOKUP($E33,$AY1:$AY108,$AZ1:$AZ108,"-",0)=BF28,$E33,"-")</f>
        <v>-</v>
      </c>
      <c r="BG33" s="110" cm="1">
        <f t="array" ref="BG33">$F33</f>
        <v>2</v>
      </c>
      <c r="BH33" s="110" cm="1">
        <f t="array" ref="BH33">$G33</f>
        <v>1</v>
      </c>
      <c r="BI33" s="109" t="str" cm="1">
        <f t="array" ref="BI33">IF(_xlfn.XLOOKUP($H33,$AY1:$AY108,$AZ1:$AZ108,"-",0)=BF28,$H33,"-")</f>
        <v>-</v>
      </c>
      <c r="BJ33" s="74"/>
      <c r="BK33" s="79" t="str" cm="1">
        <f t="array" ref="BK33">O33</f>
        <v>Turquia</v>
      </c>
      <c r="BL33" s="111" cm="1">
        <f t="array" ref="BL33">COUNTIFS($BE1:$BE108,"OK",$BI1:$BI108,BK33)+COUNTIFS($BE1:$BE108,"OK",$BF1:$BF108,BK33)</f>
        <v>0</v>
      </c>
      <c r="BM33" s="112" cm="1">
        <f t="array" ref="BM33">COUNTIFS(J1:J108,$BK33,$BE1:$BE108,"OK")</f>
        <v>0</v>
      </c>
      <c r="BN33" s="112" cm="1">
        <f t="array" ref="BN33">COUNTIFS(K1:K108,$BK33,$BE1:$BE108,"OK")+COUNTIFS(L1:L108,$BK33,$BE1:$BE108,"OK")</f>
        <v>0</v>
      </c>
      <c r="BO33" s="112" cm="1">
        <f t="array" ref="BO33">COUNTIFS(M1:M108,$BK33,$BE1:$BE108,"OK")</f>
        <v>0</v>
      </c>
      <c r="BP33" s="112" cm="1">
        <f t="array" ref="BP33">BQ33-BR33</f>
        <v>0</v>
      </c>
      <c r="BQ33" s="112" cm="1">
        <f t="array" ref="BQ33">SUMIFS(BG1:BG108,$BE1:$BE108,"OK",BF1:BF108,$BK33)+SUMIFS(BH1:BH108,$BE1:$BE108,"OK",BI1:BI108,$BK33)</f>
        <v>0</v>
      </c>
      <c r="BR33" s="112" cm="1">
        <f t="array" ref="BR33">SUMIFS(BH1:BH108,$BE1:$BE108,"OK",BF1:BF108,$BK33)+SUMIFS(BG1:BG108,$BE1:$BE108,"OK",BI1:BI108,$BK33)</f>
        <v>0</v>
      </c>
      <c r="BS33" s="113" cm="1">
        <f t="array" ref="BS33">BM33*3+BN33*1+BP33/100+BQ33/10000</f>
        <v>0</v>
      </c>
      <c r="BT33" s="107" cm="1">
        <f t="array" ref="BT33">IF(BL33=0,0,_xlfn.XLOOKUP(BS33,BV30:BV33,BW30:BW33))</f>
        <v>0</v>
      </c>
      <c r="BU33" s="99"/>
      <c r="BV33" s="113" cm="1">
        <f t="array" ref="BV33">LARGE(BS30:BS33,4)</f>
        <v>0</v>
      </c>
      <c r="BW33" s="112" cm="1">
        <f t="array" ref="BW33">BX33/$BW$1</f>
        <v>0</v>
      </c>
      <c r="BX33" s="114">
        <v>0</v>
      </c>
      <c r="BY33" s="108" t="str" cm="1">
        <f t="array" ref="BY33">IF(OR(BZ33="-",CC33="-"),"-","OK")</f>
        <v>-</v>
      </c>
      <c r="BZ33" s="109" t="str" cm="1">
        <f t="array" ref="BZ33">IF(_xlfn.XLOOKUP($E33,$AY1:$AY108,$AZ1:$AZ108,"-",0)=BZ28,$E33,"-")</f>
        <v>Estados Unidos</v>
      </c>
      <c r="CA33" s="110" cm="1">
        <f t="array" ref="CA33">$F33</f>
        <v>2</v>
      </c>
      <c r="CB33" s="110" cm="1">
        <f t="array" ref="CB33">$G33</f>
        <v>1</v>
      </c>
      <c r="CC33" s="109" t="str" cm="1">
        <f t="array" ref="CC33">IF(_xlfn.XLOOKUP($H33,$AY1:$AY108,$AZ1:$AZ108,"-",0)=BZ28,$H33,"-")</f>
        <v>-</v>
      </c>
      <c r="CD33" s="74"/>
      <c r="CE33" s="79" t="str" cm="1">
        <f t="array" ref="CE33">BK33</f>
        <v>Turquia</v>
      </c>
      <c r="CF33" s="111" cm="1">
        <f t="array" ref="CF33">COUNTIFS($BY1:$BY108,"OK",$CC1:$CC108,CE33)+COUNTIFS($BY1:$BY108,"OK",$BZ1:$BZ108,CE33)</f>
        <v>0</v>
      </c>
      <c r="CG33" s="112" cm="1">
        <f t="array" ref="CG33">COUNTIFS(P1:P108,$BK33,$BY1:$BY108,"OK")</f>
        <v>0</v>
      </c>
      <c r="CH33" s="112" cm="1">
        <f t="array" ref="CH33">COUNTIFS(K1:K108,$BK33,$BY1:$BY108,"OK")+COUNTIFS(L1:L108,$BK33,$BY1:$BY108,"OK")</f>
        <v>0</v>
      </c>
      <c r="CI33" s="112" cm="1">
        <f t="array" ref="CI33">COUNTIFS(M1:M108,$CE33,$BY1:$BY108,"OK")</f>
        <v>0</v>
      </c>
      <c r="CJ33" s="112" cm="1">
        <f t="array" ref="CJ33">CK33-CL33</f>
        <v>0</v>
      </c>
      <c r="CK33" s="112" cm="1">
        <f t="array" ref="CK33">SUMIFS(CA1:CA108,$BY1:$BY108,"OK",BZ1:BZ108,$BK33)+SUMIFS(CB1:CB108,$BY1:$BY108,"OK",CC1:CC108,$BK33)</f>
        <v>0</v>
      </c>
      <c r="CL33" s="112" cm="1">
        <f t="array" ref="CL33">SUMIFS(CB1:CB108,$BY1:$BY108,"OK",BZ1:BZ108,$BK33)+SUMIFS(CA1:CA108,$BY1:$BY108,"OK",CC1:CC108,$BK33)</f>
        <v>0</v>
      </c>
      <c r="CM33" s="113" cm="1">
        <f t="array" ref="CM33">CG33*3+CH33*1+CJ33/100+CK33/10000</f>
        <v>0</v>
      </c>
      <c r="CN33" s="107" cm="1">
        <f t="array" ref="CN33">IF(CF33=0,0,_xlfn.XLOOKUP(CM33,CP30:CP33,CQ30:CQ33))</f>
        <v>0</v>
      </c>
      <c r="CO33" s="99"/>
      <c r="CP33" s="113" cm="1">
        <f t="array" ref="CP33">LARGE(CM30:CM33,4)</f>
        <v>0</v>
      </c>
      <c r="CQ33" s="112" cm="1">
        <f t="array" ref="CQ33">CR33/$BW$1</f>
        <v>0</v>
      </c>
      <c r="CR33" s="114">
        <v>0</v>
      </c>
      <c r="CS33" s="74"/>
      <c r="CT33" s="74"/>
      <c r="CU33" s="74"/>
      <c r="CV33" s="74"/>
      <c r="CW33" s="74"/>
      <c r="CX33" s="172"/>
    </row>
    <row r="34" spans="1:102" ht="14.25" customHeight="1">
      <c r="A34" s="85" t="s">
        <v>159</v>
      </c>
      <c r="B34" s="86">
        <v>46198</v>
      </c>
      <c r="C34" s="87"/>
      <c r="D34" s="88"/>
      <c r="E34" s="85" t="s">
        <v>66</v>
      </c>
      <c r="F34" s="89">
        <v>0</v>
      </c>
      <c r="G34" s="89">
        <v>1</v>
      </c>
      <c r="H34" s="90" t="s">
        <v>63</v>
      </c>
      <c r="I34" s="106"/>
      <c r="J34" s="74" t="str" cm="1">
        <f t="array" ref="J34">IF(OR(ISBLANK(F34),ISBLANK(G34)),"",IF(F34&gt;G34,E34,IF(G34&gt;F34,H34,"")))</f>
        <v>Estados Unidos</v>
      </c>
      <c r="K34" s="74" t="str" cm="1">
        <f t="array" ref="K34">IF(OR(ISBLANK(F34),ISBLANK(G34)),"",IF(F34=G34,E34,""))</f>
        <v/>
      </c>
      <c r="L34" s="74" t="str" cm="1">
        <f t="array" ref="L34">IF(OR(ISBLANK(F34),ISBLANK(G34)),"",IF(F34=G34,H34,""))</f>
        <v/>
      </c>
      <c r="M34" s="74" t="str" cm="1">
        <f t="array" ref="M34">IF(OR(ISBLANK(F34),ISBLANK(G34)),"",IF(F34&lt;G34,E34,IF(G34&lt;F34,H34,"")))</f>
        <v>Turquia</v>
      </c>
      <c r="N34" s="74"/>
      <c r="O34" s="74"/>
      <c r="P34" s="74"/>
      <c r="Q34" s="74"/>
      <c r="R34" s="74"/>
      <c r="S34" s="74"/>
      <c r="T34" s="74"/>
      <c r="U34" s="74"/>
      <c r="V34" s="74"/>
      <c r="W34" s="74"/>
      <c r="X34" s="74"/>
      <c r="Y34" s="138"/>
      <c r="Z34" s="138"/>
      <c r="AA34" s="138"/>
      <c r="AB34" s="138"/>
      <c r="AC34" s="138"/>
      <c r="AD34" s="138"/>
      <c r="AE34" s="138"/>
      <c r="AF34" s="138"/>
      <c r="AG34" s="138"/>
      <c r="AH34" s="138"/>
      <c r="AI34" s="74"/>
      <c r="AJ34" s="74"/>
      <c r="AK34" s="74"/>
      <c r="AL34" s="139" t="s">
        <v>128</v>
      </c>
      <c r="AM34" s="74" t="str" cm="1">
        <f t="array" ref="AM34">IF(SUM(AA30:AA33)=12,"si","no")</f>
        <v>si</v>
      </c>
      <c r="AN34" s="74"/>
      <c r="AO34" s="74"/>
      <c r="AP34" s="74"/>
      <c r="AQ34" s="74"/>
      <c r="AR34" s="74"/>
      <c r="AS34" s="74"/>
      <c r="AT34" s="74"/>
      <c r="AU34" s="138"/>
      <c r="AV34" s="138"/>
      <c r="AW34" s="74"/>
      <c r="AX34" s="74"/>
      <c r="AY34" s="74"/>
      <c r="AZ34" s="74"/>
      <c r="BA34" s="74"/>
      <c r="BB34" s="74"/>
      <c r="BC34" s="74"/>
      <c r="BD34" s="74"/>
      <c r="BE34" s="108" t="str" cm="1">
        <f t="array" ref="BE34">IF(OR(BF34="-",BI34="-",BF28=0),"-","OK")</f>
        <v>-</v>
      </c>
      <c r="BF34" s="109" t="str" cm="1">
        <f t="array" ref="BF34">IF(_xlfn.XLOOKUP($E34,$AY1:$AY108,$AZ1:$AZ108,"-",0)=BF28,$E34,"-")</f>
        <v>-</v>
      </c>
      <c r="BG34" s="110" cm="1">
        <f t="array" ref="BG34">$F34</f>
        <v>0</v>
      </c>
      <c r="BH34" s="110" cm="1">
        <f t="array" ref="BH34">$G34</f>
        <v>1</v>
      </c>
      <c r="BI34" s="109" t="str" cm="1">
        <f t="array" ref="BI34">IF(_xlfn.XLOOKUP($H34,$AY1:$AY108,$AZ1:$AZ108,"-",0)=BF28,$H34,"-")</f>
        <v>-</v>
      </c>
      <c r="BJ34" s="74"/>
      <c r="BK34" s="74"/>
      <c r="BL34" s="74"/>
      <c r="BM34" s="74"/>
      <c r="BN34" s="74"/>
      <c r="BO34" s="74"/>
      <c r="BP34" s="74"/>
      <c r="BQ34" s="74"/>
      <c r="BR34" s="74"/>
      <c r="BS34" s="74"/>
      <c r="BT34" s="74"/>
      <c r="BU34" s="74"/>
      <c r="BV34" s="74"/>
      <c r="BW34" s="74"/>
      <c r="BX34" s="74"/>
      <c r="BY34" s="108" t="str" cm="1">
        <f t="array" ref="BY34">IF(OR(BZ34="-",CC34="-"),"-","OK")</f>
        <v>-</v>
      </c>
      <c r="BZ34" s="109" t="str" cm="1">
        <f t="array" ref="BZ34">IF(_xlfn.XLOOKUP($E34,$AY1:$AY108,$AZ1:$AZ108,"-",0)=BZ28,$E34,"-")</f>
        <v>-</v>
      </c>
      <c r="CA34" s="110" cm="1">
        <f t="array" ref="CA34">$F34</f>
        <v>0</v>
      </c>
      <c r="CB34" s="110" cm="1">
        <f t="array" ref="CB34">$G34</f>
        <v>1</v>
      </c>
      <c r="CC34" s="109" t="str" cm="1">
        <f t="array" ref="CC34">IF(_xlfn.XLOOKUP($H34,$AY1:$AY108,$AZ1:$AZ108,"-",0)=BZ28,$H34,"-")</f>
        <v>Estados Unidos</v>
      </c>
      <c r="CD34" s="74"/>
      <c r="CE34" s="74"/>
      <c r="CF34" s="74"/>
      <c r="CG34" s="74"/>
      <c r="CH34" s="74"/>
      <c r="CI34" s="74"/>
      <c r="CJ34" s="74"/>
      <c r="CK34" s="74"/>
      <c r="CL34" s="74"/>
      <c r="CM34" s="74"/>
      <c r="CN34" s="74"/>
      <c r="CO34" s="74"/>
      <c r="CP34" s="74"/>
      <c r="CQ34" s="74"/>
      <c r="CR34" s="74"/>
      <c r="CS34" s="74"/>
      <c r="CT34" s="74"/>
      <c r="CU34" s="74"/>
      <c r="CV34" s="74"/>
      <c r="CW34" s="74"/>
      <c r="CX34" s="172"/>
    </row>
    <row r="35" spans="1:102" ht="14.25" customHeight="1">
      <c r="A35" s="85" t="s">
        <v>160</v>
      </c>
      <c r="B35" s="86">
        <v>46198</v>
      </c>
      <c r="C35" s="87"/>
      <c r="D35" s="88"/>
      <c r="E35" s="85" t="s">
        <v>71</v>
      </c>
      <c r="F35" s="89">
        <v>2</v>
      </c>
      <c r="G35" s="89">
        <v>1</v>
      </c>
      <c r="H35" s="90" t="s">
        <v>73</v>
      </c>
      <c r="I35" s="106"/>
      <c r="J35" s="74" t="str" cm="1">
        <f t="array" ref="J35">IF(OR(ISBLANK(F35),ISBLANK(G35)),"",IF(F35&gt;G35,E35,IF(G35&gt;F35,H35,"")))</f>
        <v>Paraguay</v>
      </c>
      <c r="K35" s="74" t="str" cm="1">
        <f t="array" ref="K35">IF(OR(ISBLANK(F35),ISBLANK(G35)),"",IF(F35=G35,E35,""))</f>
        <v/>
      </c>
      <c r="L35" s="74" t="str" cm="1">
        <f t="array" ref="L35">IF(OR(ISBLANK(F35),ISBLANK(G35)),"",IF(F35=G35,H35,""))</f>
        <v/>
      </c>
      <c r="M35" s="74" t="str" cm="1">
        <f t="array" ref="M35">IF(OR(ISBLANK(F35),ISBLANK(G35)),"",IF(F35&lt;G35,E35,IF(G35&lt;F35,H35,"")))</f>
        <v>Australia</v>
      </c>
      <c r="N35" s="74"/>
      <c r="O35" s="74"/>
      <c r="P35" s="74"/>
      <c r="Q35" s="74"/>
      <c r="R35" s="74"/>
      <c r="S35" s="74"/>
      <c r="T35" s="74"/>
      <c r="U35" s="74"/>
      <c r="V35" s="74"/>
      <c r="W35" s="74"/>
      <c r="X35" s="74"/>
      <c r="Y35" s="140" t="s">
        <v>130</v>
      </c>
      <c r="Z35" s="74"/>
      <c r="AA35" s="74"/>
      <c r="AB35" s="74"/>
      <c r="AC35" s="74"/>
      <c r="AD35" s="74"/>
      <c r="AE35" s="74"/>
      <c r="AF35" s="74"/>
      <c r="AG35" s="74"/>
      <c r="AH35" s="74"/>
      <c r="AI35" s="74"/>
      <c r="AJ35" s="74"/>
      <c r="AK35" s="74"/>
      <c r="AL35" s="74"/>
      <c r="AM35" s="74"/>
      <c r="AN35" s="74"/>
      <c r="AO35" s="74"/>
      <c r="AP35" s="74"/>
      <c r="AQ35" s="74"/>
      <c r="AR35" s="114" cm="1">
        <f t="array" ref="AR35">IF(AND(AM34="si",OR(AR30=1,AR31=1,AR32=1)),1,0)</f>
        <v>0</v>
      </c>
      <c r="AS35" s="74"/>
      <c r="AT35" s="74"/>
      <c r="AU35" s="74"/>
      <c r="AV35" s="74"/>
      <c r="AW35" s="74"/>
      <c r="AX35" s="74"/>
      <c r="AY35" s="74"/>
      <c r="AZ35" s="74"/>
      <c r="BA35" s="74"/>
      <c r="BB35" s="74"/>
      <c r="BC35" s="74"/>
      <c r="BD35" s="74"/>
      <c r="BE35" s="108" t="str" cm="1">
        <f t="array" ref="BE35">IF(OR(BF35="-",BI35="-",BF28=0),"-","OK")</f>
        <v>-</v>
      </c>
      <c r="BF35" s="109" t="str" cm="1">
        <f t="array" ref="BF35">IF(_xlfn.XLOOKUP($E35,$AY1:$AY108,$AZ1:$AZ108,"-",0)=BF28,$E35,"-")</f>
        <v>-</v>
      </c>
      <c r="BG35" s="110" cm="1">
        <f t="array" ref="BG35">$F35</f>
        <v>2</v>
      </c>
      <c r="BH35" s="110" cm="1">
        <f t="array" ref="BH35">$G35</f>
        <v>1</v>
      </c>
      <c r="BI35" s="109" t="str" cm="1">
        <f t="array" ref="BI35">IF(_xlfn.XLOOKUP($H35,$AY1:$AY108,$AZ1:$AZ108,"-",0)=BF28,$H35,"-")</f>
        <v>-</v>
      </c>
      <c r="BJ35" s="74"/>
      <c r="BK35" s="74"/>
      <c r="BL35" s="74"/>
      <c r="BM35" s="74"/>
      <c r="BN35" s="74"/>
      <c r="BO35" s="74"/>
      <c r="BP35" s="74"/>
      <c r="BQ35" s="74"/>
      <c r="BR35" s="74"/>
      <c r="BS35" s="74"/>
      <c r="BT35" s="74"/>
      <c r="BU35" s="74"/>
      <c r="BV35" s="74"/>
      <c r="BW35" s="74"/>
      <c r="BX35" s="74"/>
      <c r="BY35" s="108" t="str" cm="1">
        <f t="array" ref="BY35">IF(OR(BZ35="-",CC35="-"),"-","OK")</f>
        <v>-</v>
      </c>
      <c r="BZ35" s="109" t="str" cm="1">
        <f t="array" ref="BZ35">IF(_xlfn.XLOOKUP($E35,$AY1:$AY108,$AZ1:$AZ108,"-",0)=BZ28,$E35,"-")</f>
        <v>-</v>
      </c>
      <c r="CA35" s="110" cm="1">
        <f t="array" ref="CA35">$F35</f>
        <v>2</v>
      </c>
      <c r="CB35" s="110" cm="1">
        <f t="array" ref="CB35">$G35</f>
        <v>1</v>
      </c>
      <c r="CC35" s="109" t="str" cm="1">
        <f t="array" ref="CC35">IF(_xlfn.XLOOKUP($H35,$AY1:$AY108,$AZ1:$AZ108,"-",0)=BZ28,$H35,"-")</f>
        <v>-</v>
      </c>
      <c r="CD35" s="74"/>
      <c r="CE35" s="74"/>
      <c r="CF35" s="74"/>
      <c r="CG35" s="74"/>
      <c r="CH35" s="74"/>
      <c r="CI35" s="74"/>
      <c r="CJ35" s="74"/>
      <c r="CK35" s="74"/>
      <c r="CL35" s="74"/>
      <c r="CM35" s="74"/>
      <c r="CN35" s="74"/>
      <c r="CO35" s="74"/>
      <c r="CP35" s="74"/>
      <c r="CQ35" s="74"/>
      <c r="CR35" s="74"/>
      <c r="CS35" s="74"/>
      <c r="CT35" s="74"/>
      <c r="CU35" s="74"/>
      <c r="CV35" s="74"/>
      <c r="CW35" s="74"/>
      <c r="CX35" s="172"/>
    </row>
    <row r="36" spans="1:102" ht="14.25" customHeight="1">
      <c r="A36" s="141"/>
      <c r="B36" s="142"/>
      <c r="C36" s="143"/>
      <c r="D36" s="144"/>
      <c r="E36" s="145"/>
      <c r="F36" s="143"/>
      <c r="G36" s="143"/>
      <c r="H36" s="146"/>
      <c r="I36" s="78"/>
      <c r="J36" s="77"/>
      <c r="K36" s="77"/>
      <c r="L36" s="77"/>
      <c r="M36" s="77"/>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78"/>
      <c r="AZ36" s="78"/>
      <c r="BA36" s="78"/>
      <c r="BB36" s="78"/>
      <c r="BC36" s="78"/>
      <c r="BD36" s="78"/>
      <c r="BE36" s="77"/>
      <c r="BF36" s="144"/>
      <c r="BG36" s="144"/>
      <c r="BH36" s="144"/>
      <c r="BI36" s="144"/>
      <c r="BJ36" s="78"/>
      <c r="BK36" s="78"/>
      <c r="BL36" s="78"/>
      <c r="BM36" s="78"/>
      <c r="BN36" s="78"/>
      <c r="BO36" s="78"/>
      <c r="BP36" s="78"/>
      <c r="BQ36" s="78"/>
      <c r="BR36" s="78"/>
      <c r="BS36" s="78"/>
      <c r="BT36" s="78"/>
      <c r="BU36" s="78"/>
      <c r="BV36" s="78"/>
      <c r="BW36" s="78"/>
      <c r="BX36" s="78"/>
      <c r="BY36" s="78"/>
      <c r="BZ36" s="144"/>
      <c r="CA36" s="144"/>
      <c r="CB36" s="144"/>
      <c r="CC36" s="144"/>
      <c r="CD36" s="78"/>
      <c r="CE36" s="78"/>
      <c r="CF36" s="78"/>
      <c r="CG36" s="78"/>
      <c r="CH36" s="78"/>
      <c r="CI36" s="78"/>
      <c r="CJ36" s="78"/>
      <c r="CK36" s="78"/>
      <c r="CL36" s="78"/>
      <c r="CM36" s="78"/>
      <c r="CN36" s="78"/>
      <c r="CO36" s="78"/>
      <c r="CP36" s="78"/>
      <c r="CQ36" s="78"/>
      <c r="CR36" s="78"/>
      <c r="CS36" s="78"/>
      <c r="CT36" s="78"/>
      <c r="CU36" s="78"/>
      <c r="CV36" s="78"/>
      <c r="CW36" s="77"/>
      <c r="CX36" s="174"/>
    </row>
    <row r="37" spans="1:102" ht="14.25" customHeight="1">
      <c r="A37" s="150"/>
      <c r="B37" s="144"/>
      <c r="C37" s="144"/>
      <c r="D37" s="144"/>
      <c r="E37" s="144"/>
      <c r="F37" s="144"/>
      <c r="G37" s="144"/>
      <c r="H37" s="144"/>
      <c r="I37" s="138"/>
      <c r="J37" s="138"/>
      <c r="K37" s="138"/>
      <c r="L37" s="138"/>
      <c r="M37" s="138"/>
      <c r="N37" s="138"/>
      <c r="O37" s="138"/>
      <c r="P37" s="138"/>
      <c r="Q37" s="138"/>
      <c r="R37" s="138"/>
      <c r="S37" s="138"/>
      <c r="T37" s="138"/>
      <c r="U37" s="138"/>
      <c r="V37" s="138"/>
      <c r="W37" s="138"/>
      <c r="X37" s="138"/>
      <c r="Y37" s="144"/>
      <c r="Z37" s="144"/>
      <c r="AA37" s="144"/>
      <c r="AB37" s="144"/>
      <c r="AC37" s="144"/>
      <c r="AD37" s="144"/>
      <c r="AE37" s="144"/>
      <c r="AF37" s="144"/>
      <c r="AG37" s="144"/>
      <c r="AH37" s="144"/>
      <c r="AI37" s="138"/>
      <c r="AJ37" s="138"/>
      <c r="AK37" s="138"/>
      <c r="AL37" s="138"/>
      <c r="AM37" s="138"/>
      <c r="AN37" s="138"/>
      <c r="AO37" s="138"/>
      <c r="AP37" s="138"/>
      <c r="AQ37" s="138"/>
      <c r="AR37" s="138"/>
      <c r="AS37" s="138"/>
      <c r="AT37" s="138"/>
      <c r="AU37" s="138"/>
      <c r="AV37" s="138"/>
      <c r="AW37" s="138"/>
      <c r="AX37" s="138"/>
      <c r="AY37" s="138"/>
      <c r="AZ37" s="138"/>
      <c r="BA37" s="138"/>
      <c r="BB37" s="138"/>
      <c r="BC37" s="138"/>
      <c r="BD37" s="138"/>
      <c r="BE37" s="138"/>
      <c r="BF37" s="151" cm="1">
        <f t="array" ref="BF37">IF(BA39&gt;1,AZ39,IF(BA40&gt;1,AZ40,IF(BA41&gt;1,AZ41,IF(BA42&gt;1,AZ42,"-"))))</f>
        <v>4</v>
      </c>
      <c r="BG37" s="138"/>
      <c r="BH37" s="138"/>
      <c r="BI37" s="138"/>
      <c r="BJ37" s="138"/>
      <c r="BK37" s="138"/>
      <c r="BL37" s="138"/>
      <c r="BM37" s="138"/>
      <c r="BN37" s="138"/>
      <c r="BO37" s="138"/>
      <c r="BP37" s="138"/>
      <c r="BQ37" s="138"/>
      <c r="BR37" s="138"/>
      <c r="BS37" s="138"/>
      <c r="BT37" s="138"/>
      <c r="BU37" s="138"/>
      <c r="BV37" s="138"/>
      <c r="BW37" s="152">
        <v>10</v>
      </c>
      <c r="BX37" s="138"/>
      <c r="BY37" s="138"/>
      <c r="BZ37" s="153" cm="1">
        <f t="array" ref="BZ37">IF(BC39&gt;1,BB39,IF(BC40&gt;1,BB40,IF(BC41&gt;1,BB41,IF(BC42&gt;1,BB42,"-"))))</f>
        <v>9</v>
      </c>
      <c r="CA37" s="138"/>
      <c r="CB37" s="138"/>
      <c r="CC37" s="138"/>
      <c r="CD37" s="138"/>
      <c r="CE37" s="138"/>
      <c r="CF37" s="138"/>
      <c r="CG37" s="138"/>
      <c r="CH37" s="138"/>
      <c r="CI37" s="138"/>
      <c r="CJ37" s="138"/>
      <c r="CK37" s="138"/>
      <c r="CL37" s="138"/>
      <c r="CM37" s="138"/>
      <c r="CN37" s="138"/>
      <c r="CO37" s="138"/>
      <c r="CP37" s="138"/>
      <c r="CQ37" s="152">
        <v>10</v>
      </c>
      <c r="CR37" s="138"/>
      <c r="CS37" s="138"/>
      <c r="CT37" s="138"/>
      <c r="CU37" s="138"/>
      <c r="CV37" s="138"/>
      <c r="CW37" s="138"/>
      <c r="CX37" s="175"/>
    </row>
    <row r="38" spans="1:102" ht="14.25" customHeight="1">
      <c r="A38" s="196" t="s">
        <v>101</v>
      </c>
      <c r="B38" s="197" t="s">
        <v>102</v>
      </c>
      <c r="C38" s="197" t="s">
        <v>103</v>
      </c>
      <c r="D38" s="198"/>
      <c r="E38" s="199" t="s">
        <v>161</v>
      </c>
      <c r="F38" s="200"/>
      <c r="G38" s="200"/>
      <c r="H38" s="201"/>
      <c r="I38" s="65"/>
      <c r="J38" s="66" t="s">
        <v>105</v>
      </c>
      <c r="K38" s="66" t="s">
        <v>106</v>
      </c>
      <c r="L38" s="66" t="s">
        <v>106</v>
      </c>
      <c r="M38" s="66" t="s">
        <v>107</v>
      </c>
      <c r="N38" s="65"/>
      <c r="O38" s="67" t="str" cm="1">
        <f t="array" ref="O38">E38</f>
        <v>Grupo E</v>
      </c>
      <c r="P38" s="68" t="s">
        <v>105</v>
      </c>
      <c r="Q38" s="68" t="s">
        <v>106</v>
      </c>
      <c r="R38" s="68" t="s">
        <v>107</v>
      </c>
      <c r="S38" s="68" t="s">
        <v>108</v>
      </c>
      <c r="T38" s="68" t="s">
        <v>109</v>
      </c>
      <c r="U38" s="68" t="s">
        <v>110</v>
      </c>
      <c r="V38" s="68" t="s">
        <v>0</v>
      </c>
      <c r="W38" s="69"/>
      <c r="X38" s="65"/>
      <c r="Y38" s="782" t="s">
        <v>161</v>
      </c>
      <c r="Z38" s="783"/>
      <c r="AA38" s="202" t="s">
        <v>111</v>
      </c>
      <c r="AB38" s="203" t="s">
        <v>105</v>
      </c>
      <c r="AC38" s="203" t="s">
        <v>106</v>
      </c>
      <c r="AD38" s="203" t="s">
        <v>107</v>
      </c>
      <c r="AE38" s="203" t="s">
        <v>108</v>
      </c>
      <c r="AF38" s="203" t="s">
        <v>109</v>
      </c>
      <c r="AG38" s="203" t="s">
        <v>110</v>
      </c>
      <c r="AH38" s="204" t="s">
        <v>0</v>
      </c>
      <c r="AI38" s="205"/>
      <c r="AJ38" s="74"/>
      <c r="AK38" s="74"/>
      <c r="AL38" s="75" t="s">
        <v>0</v>
      </c>
      <c r="AM38" s="75" t="s">
        <v>112</v>
      </c>
      <c r="AN38" s="76"/>
      <c r="AO38" s="76"/>
      <c r="AP38" s="76"/>
      <c r="AQ38" s="76"/>
      <c r="AR38" s="76"/>
      <c r="AS38" s="76"/>
      <c r="AT38" s="76"/>
      <c r="AU38" s="77"/>
      <c r="AV38" s="78"/>
      <c r="AW38" s="74"/>
      <c r="AX38" s="74"/>
      <c r="AY38" s="75" t="s">
        <v>113</v>
      </c>
      <c r="AZ38" s="75" t="s">
        <v>0</v>
      </c>
      <c r="BA38" s="75" t="s">
        <v>114</v>
      </c>
      <c r="BB38" s="76"/>
      <c r="BC38" s="76"/>
      <c r="BD38" s="76"/>
      <c r="BE38" s="74"/>
      <c r="BF38" s="78"/>
      <c r="BG38" s="78"/>
      <c r="BH38" s="78"/>
      <c r="BI38" s="78"/>
      <c r="BJ38" s="74"/>
      <c r="BK38" s="79"/>
      <c r="BL38" s="80" t="s">
        <v>111</v>
      </c>
      <c r="BM38" s="75" t="s">
        <v>105</v>
      </c>
      <c r="BN38" s="75" t="s">
        <v>106</v>
      </c>
      <c r="BO38" s="75" t="s">
        <v>107</v>
      </c>
      <c r="BP38" s="75" t="s">
        <v>108</v>
      </c>
      <c r="BQ38" s="75" t="s">
        <v>109</v>
      </c>
      <c r="BR38" s="75" t="s">
        <v>110</v>
      </c>
      <c r="BS38" s="75" t="s">
        <v>0</v>
      </c>
      <c r="BT38" s="75" t="s">
        <v>115</v>
      </c>
      <c r="BU38" s="76"/>
      <c r="BV38" s="75" t="s">
        <v>116</v>
      </c>
      <c r="BW38" s="75" t="s">
        <v>115</v>
      </c>
      <c r="BX38" s="74"/>
      <c r="BY38" s="74"/>
      <c r="BZ38" s="78"/>
      <c r="CA38" s="78"/>
      <c r="CB38" s="78"/>
      <c r="CC38" s="78"/>
      <c r="CD38" s="74"/>
      <c r="CE38" s="79"/>
      <c r="CF38" s="80" t="s">
        <v>111</v>
      </c>
      <c r="CG38" s="75" t="s">
        <v>105</v>
      </c>
      <c r="CH38" s="75" t="s">
        <v>106</v>
      </c>
      <c r="CI38" s="75" t="s">
        <v>107</v>
      </c>
      <c r="CJ38" s="75" t="s">
        <v>108</v>
      </c>
      <c r="CK38" s="75" t="s">
        <v>109</v>
      </c>
      <c r="CL38" s="75" t="s">
        <v>110</v>
      </c>
      <c r="CM38" s="75" t="s">
        <v>0</v>
      </c>
      <c r="CN38" s="75" t="s">
        <v>115</v>
      </c>
      <c r="CO38" s="76"/>
      <c r="CP38" s="75" t="s">
        <v>116</v>
      </c>
      <c r="CQ38" s="75" t="s">
        <v>115</v>
      </c>
      <c r="CR38" s="74"/>
      <c r="CS38" s="74"/>
      <c r="CT38" s="74"/>
      <c r="CU38" s="74"/>
      <c r="CV38" s="74"/>
      <c r="CW38" s="74"/>
      <c r="CX38" s="172"/>
    </row>
    <row r="39" spans="1:102" ht="14.25" customHeight="1">
      <c r="A39" s="85" t="s">
        <v>162</v>
      </c>
      <c r="B39" s="86">
        <v>46187</v>
      </c>
      <c r="C39" s="87"/>
      <c r="D39" s="88"/>
      <c r="E39" s="85" t="s">
        <v>56</v>
      </c>
      <c r="F39" s="89">
        <v>4</v>
      </c>
      <c r="G39" s="89">
        <v>0</v>
      </c>
      <c r="H39" s="90" t="s">
        <v>93</v>
      </c>
      <c r="I39" s="65"/>
      <c r="J39" s="65" t="str" cm="1">
        <f t="array" ref="J39">IF(OR(ISBLANK(F39),ISBLANK(G39)),"",IF(F39&gt;G39,E39,IF(G39&gt;F39,H39,"")))</f>
        <v>Alemania</v>
      </c>
      <c r="K39" s="65" t="str" cm="1">
        <f t="array" ref="K39">IF(OR(ISBLANK(F39),ISBLANK(G39)),"",IF(F39=G39,E39,""))</f>
        <v/>
      </c>
      <c r="L39" s="65" t="str" cm="1">
        <f t="array" ref="L39">IF(OR(ISBLANK(F39),ISBLANK(G39)),"",IF(F39=G39,H39,""))</f>
        <v/>
      </c>
      <c r="M39" s="65" t="str" cm="1">
        <f t="array" ref="M39">IF(OR(ISBLANK(F39),ISBLANK(G39)),"",IF(F39&lt;G39,E39,IF(G39&lt;F39,H39,"")))</f>
        <v>Curazao</v>
      </c>
      <c r="N39" s="65"/>
      <c r="O39" s="67" t="str" cm="1">
        <f t="array" ref="O39">E39</f>
        <v>Alemania</v>
      </c>
      <c r="P39" s="91" cm="1">
        <f t="array" ref="P39">COUNTIF(J39:J44,"="&amp;$O39)</f>
        <v>3</v>
      </c>
      <c r="Q39" s="91" cm="1">
        <f t="array" ref="Q39">COUNTIF(K39:L44,"="&amp;$O39)</f>
        <v>0</v>
      </c>
      <c r="R39" s="91" cm="1">
        <f t="array" ref="R39">COUNTIF(M39:M44,"="&amp;$O39)</f>
        <v>0</v>
      </c>
      <c r="S39" s="91" cm="1">
        <f t="array" ref="S39">T39-U39</f>
        <v>7</v>
      </c>
      <c r="T39" s="91" cm="1">
        <f t="array" ref="T39">SUMIF(E39:E44,$O39,F39:F44)+SUMIF(H39:H44,$O39,G39:G44)</f>
        <v>8</v>
      </c>
      <c r="U39" s="91" cm="1">
        <f t="array" ref="U39">SUMIF(E39:E44,$O39,G39:G44)+SUMIF(H39:H44,$O39,F39:F44)</f>
        <v>1</v>
      </c>
      <c r="V39" s="92" cm="1">
        <f t="array" ref="V39">P39*3+Q39*1+BT39+CN39+S39/1000+T39/10000+AV39/1000000+ROW()/10000000</f>
        <v>9.007803899999999</v>
      </c>
      <c r="W39" s="67" t="str" cm="1">
        <f t="array" ref="W39">O39</f>
        <v>Alemania</v>
      </c>
      <c r="X39" s="65"/>
      <c r="Y39" s="93" t="str" cm="1">
        <f t="array" ref="Y39">CONCATENATE("1",RIGHT(E38,1))</f>
        <v>1E</v>
      </c>
      <c r="Z39" s="94" t="str" cm="1">
        <f t="array" ref="Z39">VLOOKUP(AL39,V39:W42,2,FALSE)</f>
        <v>Alemania</v>
      </c>
      <c r="AA39" s="95" cm="1">
        <f t="array" ref="AA39">SUM(AB39:AD39)</f>
        <v>3</v>
      </c>
      <c r="AB39" s="96" cm="1">
        <f t="array" ref="AB39">VLOOKUP($Z39,$O$39:$U$42,COLUMN()-26,FALSE)</f>
        <v>3</v>
      </c>
      <c r="AC39" s="96" cm="1">
        <f t="array" ref="AC39">VLOOKUP($Z39,$O$39:$U$42,COLUMN()-26,FALSE)</f>
        <v>0</v>
      </c>
      <c r="AD39" s="96" cm="1">
        <f t="array" ref="AD39">VLOOKUP($Z39,$O$39:$U$42,COLUMN()-26,FALSE)</f>
        <v>0</v>
      </c>
      <c r="AE39" s="96" cm="1">
        <f t="array" ref="AE39">VLOOKUP($Z39,$O$39:$U$42,COLUMN()-26,FALSE)</f>
        <v>7</v>
      </c>
      <c r="AF39" s="96" cm="1">
        <f t="array" ref="AF39">VLOOKUP($Z39,$O$39:$U$42,COLUMN()-26,FALSE)</f>
        <v>8</v>
      </c>
      <c r="AG39" s="96" cm="1">
        <f t="array" ref="AG39">VLOOKUP($Z39,$O$39:$U$42,COLUMN()-26,FALSE)</f>
        <v>1</v>
      </c>
      <c r="AH39" s="97" cm="1">
        <f t="array" ref="AH39">VLOOKUP($Z39,$O$39:$V$42,COLUMN()-26,FALSE)</f>
        <v>9.007803899999999</v>
      </c>
      <c r="AI39" s="98"/>
      <c r="AJ39" s="74"/>
      <c r="AK39" s="74"/>
      <c r="AL39" s="99" cm="1">
        <f t="array" ref="AL39">LARGE(V39:V42,1)</f>
        <v>9.007803899999999</v>
      </c>
      <c r="AM39" s="100" cm="1">
        <f t="array" ref="AM39">(AH39-AL39)*100000000000000000000</f>
        <v>0</v>
      </c>
      <c r="AN39" s="74"/>
      <c r="AO39" s="74"/>
      <c r="AP39" s="101" t="str" cm="1">
        <f t="array" ref="AP39">O39</f>
        <v>Alemania</v>
      </c>
      <c r="AQ39" s="102" cm="1">
        <f t="array" ref="AQ39">P39*3+Q39*1+BT39+CN39+S39/1000+T39/10000</f>
        <v>9.0077999999999996</v>
      </c>
      <c r="AR39" s="102" t="b" cm="1">
        <f t="array" ref="AR39">IF(OR(AQ39=AQ40,AQ39=AQ41,AQ39=AQ42),1)</f>
        <v>0</v>
      </c>
      <c r="AS39" s="103" cm="1">
        <f t="array" ref="AS39">AV39</f>
        <v>0</v>
      </c>
      <c r="AT39" s="103" cm="1">
        <f t="array" ref="AT39">IF(AND(AM43="si",OR(AR39=1,AR40=1,AR41=1)),1,0)</f>
        <v>0</v>
      </c>
      <c r="AU39" s="104" t="str" cm="1">
        <f t="array" ref="AU39">O39</f>
        <v>Alemania</v>
      </c>
      <c r="AV39" s="105"/>
      <c r="AW39" s="106"/>
      <c r="AX39" s="74" t="str" cm="1">
        <f t="array" ref="AX39">Y38</f>
        <v>Grupo E</v>
      </c>
      <c r="AY39" s="76" t="str" cm="1">
        <f t="array" ref="AY39">O39</f>
        <v>Alemania</v>
      </c>
      <c r="AZ39" s="107" cm="1">
        <f t="array" ref="AZ39">P39*3+Q39</f>
        <v>9</v>
      </c>
      <c r="BA39" s="107" cm="1">
        <f t="array" ref="BA39">COUNTIFS($AX$1:AX39,AX39,$AZ$1:AZ39,AZ39)</f>
        <v>1</v>
      </c>
      <c r="BB39" s="107" cm="1">
        <f t="array" ref="BB39">IF(AZ39=BF37,ROW()*0.001,AZ39)</f>
        <v>9</v>
      </c>
      <c r="BC39" s="107" cm="1">
        <f t="array" ref="BC39">COUNTIFS($AX$1:AZ39,AZ39,$AZ$1:BB39,BB39)</f>
        <v>3</v>
      </c>
      <c r="BD39" s="107"/>
      <c r="BE39" s="108" t="str" cm="1">
        <f t="array" ref="BE39">IF(OR(BF39="-",BI39="-",BF37=0),"-","OK")</f>
        <v>-</v>
      </c>
      <c r="BF39" s="109" t="str" cm="1">
        <f t="array" ref="BF39">IF(_xlfn.XLOOKUP($E39,$AY1:$AY108,$AZ1:$AZ108,"-",0)=BF37,$E39,"-")</f>
        <v>-</v>
      </c>
      <c r="BG39" s="110" cm="1">
        <f t="array" ref="BG39">$F39</f>
        <v>4</v>
      </c>
      <c r="BH39" s="110" cm="1">
        <f t="array" ref="BH39">$G39</f>
        <v>0</v>
      </c>
      <c r="BI39" s="109" t="str" cm="1">
        <f t="array" ref="BI39">IF(_xlfn.XLOOKUP($H39,$AY1:$AY108,$AZ1:$AZ108,"-",0)=BF37,$H39,"-")</f>
        <v>-</v>
      </c>
      <c r="BJ39" s="74"/>
      <c r="BK39" s="79" t="str" cm="1">
        <f t="array" ref="BK39">O39</f>
        <v>Alemania</v>
      </c>
      <c r="BL39" s="111" cm="1">
        <f t="array" ref="BL39">COUNTIFS($BE1:$BE108,"OK",$BI1:$BI108,BK39)+COUNTIFS($BE1:$BE108,"OK",$BF1:$BF108,BK39)</f>
        <v>0</v>
      </c>
      <c r="BM39" s="112" cm="1">
        <f t="array" ref="BM39">COUNTIFS(J1:J108,$BK39,$BE1:$BE108,"OK")</f>
        <v>0</v>
      </c>
      <c r="BN39" s="112" cm="1">
        <f t="array" ref="BN39">COUNTIFS(K1:K108,$BK39,$BE1:$BE108,"OK")+COUNTIFS(L1:L108,$BK39,$BE1:$BE108,"OK")</f>
        <v>0</v>
      </c>
      <c r="BO39" s="112" cm="1">
        <f t="array" ref="BO39">COUNTIFS(M1:M108,$BK39,$BE1:$BE108,"OK")</f>
        <v>0</v>
      </c>
      <c r="BP39" s="112" cm="1">
        <f t="array" ref="BP39">BQ39-BR39</f>
        <v>0</v>
      </c>
      <c r="BQ39" s="112" cm="1">
        <f t="array" ref="BQ39">SUMIFS(BG1:BG108,$BE1:$BE108,"OK",BF1:BF108,$BK39)+SUMIFS(BH1:BH108,$BE1:$BE108,"OK",BI1:BI108,$BK39)</f>
        <v>0</v>
      </c>
      <c r="BR39" s="112" cm="1">
        <f t="array" ref="BR39">SUMIFS(BH1:BH108,$BE1:$BE108,"OK",BF1:BF108,$BK39)+SUMIFS(BG1:BG108,$BE1:$BE108,"OK",BI1:BI108,$BK39)</f>
        <v>0</v>
      </c>
      <c r="BS39" s="113" cm="1">
        <f t="array" ref="BS39">BM39*3+BN39*1+BP39/100+BQ39/10000</f>
        <v>0</v>
      </c>
      <c r="BT39" s="107" cm="1">
        <f t="array" ref="BT39">IF(BL39=0,0,_xlfn.XLOOKUP(BS39,BV39:BV42,BW39:BW42))</f>
        <v>0</v>
      </c>
      <c r="BU39" s="99"/>
      <c r="BV39" s="113" cm="1">
        <f t="array" ref="BV39">LARGE(BS39:BS42,1)</f>
        <v>1.0001</v>
      </c>
      <c r="BW39" s="112" cm="1">
        <f t="array" ref="BW39">BX39/$BW$1</f>
        <v>0.3</v>
      </c>
      <c r="BX39" s="114">
        <v>3</v>
      </c>
      <c r="BY39" s="108" t="str" cm="1">
        <f t="array" ref="BY39">IF(OR(BZ39="-",CC39="-"),"-","OK")</f>
        <v>-</v>
      </c>
      <c r="BZ39" s="109" t="str" cm="1">
        <f t="array" ref="BZ39">IF(_xlfn.XLOOKUP($E39,$AY1:$AY108,$AZ1:$AZ108,"-",0)=BZ37,$E39,"-")</f>
        <v>Alemania</v>
      </c>
      <c r="CA39" s="110" cm="1">
        <f t="array" ref="CA39">$F39</f>
        <v>4</v>
      </c>
      <c r="CB39" s="110" cm="1">
        <f t="array" ref="CB39">$G39</f>
        <v>0</v>
      </c>
      <c r="CC39" s="109" t="str" cm="1">
        <f t="array" ref="CC39">IF(_xlfn.XLOOKUP($H39,$AY1:$AY108,$AZ1:$AZ108,"-",0)=BZ37,$H39,"-")</f>
        <v>-</v>
      </c>
      <c r="CD39" s="74"/>
      <c r="CE39" s="79" t="str" cm="1">
        <f t="array" ref="CE39">BK39</f>
        <v>Alemania</v>
      </c>
      <c r="CF39" s="111" cm="1">
        <f t="array" ref="CF39">COUNTIFS($BY1:$BY108,"OK",$CC1:$CC108,CE39)+COUNTIFS($BY1:$BY108,"OK",$BZ1:$BZ108,CE39)</f>
        <v>0</v>
      </c>
      <c r="CG39" s="112" cm="1">
        <f t="array" ref="CG39">COUNTIFS(P1:P108,$BK39,$BY1:$BY108,"OK")</f>
        <v>0</v>
      </c>
      <c r="CH39" s="112" cm="1">
        <f t="array" ref="CH39">COUNTIFS(K1:K108,$BK39,$BY1:$BY108,"OK")+COUNTIFS(L1:L108,$BK39,$BY1:$BY108,"OK")</f>
        <v>0</v>
      </c>
      <c r="CI39" s="112" cm="1">
        <f t="array" ref="CI39">COUNTIFS(M1:M108,$CE39,$BY1:$BY108,"OK")</f>
        <v>0</v>
      </c>
      <c r="CJ39" s="112" cm="1">
        <f t="array" ref="CJ39">CK39-CL39</f>
        <v>0</v>
      </c>
      <c r="CK39" s="112" cm="1">
        <f t="array" ref="CK39">SUMIFS(CA1:CA108,$BY1:$BY108,"OK",BZ1:BZ108,$BK39)+SUMIFS(CB1:CB108,$BY1:$BY108,"OK",CC1:CC108,$BK39)</f>
        <v>0</v>
      </c>
      <c r="CL39" s="112" cm="1">
        <f t="array" ref="CL39">SUMIFS(CB1:CB108,$BY1:$BY108,"OK",BZ1:BZ108,$BK39)+SUMIFS(CA1:CA108,$BY1:$BY108,"OK",CC1:CC108,$BK39)</f>
        <v>0</v>
      </c>
      <c r="CM39" s="113" cm="1">
        <f t="array" ref="CM39">CG39*3+CH39*1+CJ39/100+CK39/10000</f>
        <v>0</v>
      </c>
      <c r="CN39" s="107" cm="1">
        <f t="array" ref="CN39">IF(CF39=0,0,_xlfn.XLOOKUP(CM39,CP39:CP42,CQ39:CQ42))</f>
        <v>0</v>
      </c>
      <c r="CO39" s="99"/>
      <c r="CP39" s="113" cm="1">
        <f t="array" ref="CP39">LARGE(CM39:CM42,1)</f>
        <v>0</v>
      </c>
      <c r="CQ39" s="112" cm="1">
        <f t="array" ref="CQ39">CR39/$BW$1</f>
        <v>0.3</v>
      </c>
      <c r="CR39" s="114">
        <v>3</v>
      </c>
      <c r="CS39" s="74"/>
      <c r="CT39" s="74"/>
      <c r="CU39" s="74"/>
      <c r="CV39" s="74"/>
      <c r="CW39" s="74"/>
      <c r="CX39" s="172"/>
    </row>
    <row r="40" spans="1:102" ht="14.25" customHeight="1">
      <c r="A40" s="85" t="s">
        <v>164</v>
      </c>
      <c r="B40" s="86">
        <v>46187</v>
      </c>
      <c r="C40" s="87"/>
      <c r="D40" s="88"/>
      <c r="E40" s="85" t="s">
        <v>78</v>
      </c>
      <c r="F40" s="89">
        <v>1</v>
      </c>
      <c r="G40" s="89">
        <v>1</v>
      </c>
      <c r="H40" s="90" t="s">
        <v>67</v>
      </c>
      <c r="I40" s="65"/>
      <c r="J40" s="65" t="str" cm="1">
        <f t="array" ref="J40">IF(OR(ISBLANK(F40),ISBLANK(G40)),"",IF(F40&gt;G40,E40,IF(G40&gt;F40,H40,"")))</f>
        <v/>
      </c>
      <c r="K40" s="65" t="str" cm="1">
        <f t="array" ref="K40">IF(OR(ISBLANK(F40),ISBLANK(G40)),"",IF(F40=G40,E40,""))</f>
        <v>Costa de Marfil</v>
      </c>
      <c r="L40" s="65" t="str" cm="1">
        <f t="array" ref="L40">IF(OR(ISBLANK(F40),ISBLANK(G40)),"",IF(F40=G40,H40,""))</f>
        <v>Ecuador</v>
      </c>
      <c r="M40" s="65" t="str" cm="1">
        <f t="array" ref="M40">IF(OR(ISBLANK(F40),ISBLANK(G40)),"",IF(F40&lt;G40,E40,IF(G40&lt;F40,H40,"")))</f>
        <v/>
      </c>
      <c r="N40" s="65"/>
      <c r="O40" s="67" t="str" cm="1">
        <f t="array" ref="O40">H39</f>
        <v>Curazao</v>
      </c>
      <c r="P40" s="91" cm="1">
        <f t="array" ref="P40">COUNTIF(J39:J44,"="&amp;$O40)</f>
        <v>0</v>
      </c>
      <c r="Q40" s="91" cm="1">
        <f t="array" ref="Q40">COUNTIF(K39:L44,"="&amp;$O40)</f>
        <v>0</v>
      </c>
      <c r="R40" s="91" cm="1">
        <f t="array" ref="R40">COUNTIF(M39:M44,"="&amp;$O40)</f>
        <v>3</v>
      </c>
      <c r="S40" s="91" cm="1">
        <f t="array" ref="S40">T40-U40</f>
        <v>-8</v>
      </c>
      <c r="T40" s="91" cm="1">
        <f t="array" ref="T40">SUMIF(E39:E44,$O40,F39:F44)+SUMIF(H39:H44,$O40,G39:G44)</f>
        <v>0</v>
      </c>
      <c r="U40" s="91" cm="1">
        <f t="array" ref="U40">SUMIF(E39:E44,$O40,G39:G44)+SUMIF(H39:H44,$O40,F39:F44)</f>
        <v>8</v>
      </c>
      <c r="V40" s="92" cm="1">
        <f t="array" ref="V40">P40*3+Q40*1+BT40+CN40+S40/1000+T40/10000+AV40/1000000+ROW()/10000000</f>
        <v>-7.9959999999999996E-3</v>
      </c>
      <c r="W40" s="67" t="str" cm="1">
        <f t="array" ref="W40">O40</f>
        <v>Curazao</v>
      </c>
      <c r="X40" s="65"/>
      <c r="Y40" s="117" t="str" cm="1">
        <f t="array" ref="Y40">CONCATENATE("2",RIGHT(E38,1))</f>
        <v>2E</v>
      </c>
      <c r="Z40" s="118" t="str" cm="1">
        <f t="array" ref="Z40">VLOOKUP(AL40,V39:W42,2,FALSE)</f>
        <v>Ecuador</v>
      </c>
      <c r="AA40" s="119" cm="1">
        <f t="array" ref="AA40">SUM(AB40:AD40)</f>
        <v>3</v>
      </c>
      <c r="AB40" s="120" cm="1">
        <f t="array" ref="AB40">VLOOKUP($Z40,$O$39:$U$42,COLUMN()-26,FALSE)</f>
        <v>1</v>
      </c>
      <c r="AC40" s="120" cm="1">
        <f t="array" ref="AC40">VLOOKUP($Z40,$O$39:$U$42,COLUMN()-26,FALSE)</f>
        <v>1</v>
      </c>
      <c r="AD40" s="120" cm="1">
        <f t="array" ref="AD40">VLOOKUP($Z40,$O$39:$U$42,COLUMN()-26,FALSE)</f>
        <v>1</v>
      </c>
      <c r="AE40" s="120" cm="1">
        <f t="array" ref="AE40">VLOOKUP($Z40,$O$39:$U$42,COLUMN()-26,FALSE)</f>
        <v>1</v>
      </c>
      <c r="AF40" s="120" cm="1">
        <f t="array" ref="AF40">VLOOKUP($Z40,$O$39:$U$42,COLUMN()-26,FALSE)</f>
        <v>4</v>
      </c>
      <c r="AG40" s="120" cm="1">
        <f t="array" ref="AG40">VLOOKUP($Z40,$O$39:$U$42,COLUMN()-26,FALSE)</f>
        <v>3</v>
      </c>
      <c r="AH40" s="121" cm="1">
        <f t="array" ref="AH40">VLOOKUP($Z40,$O$39:$V$42,COLUMN()-26,FALSE)</f>
        <v>4.3014042000000003</v>
      </c>
      <c r="AI40" s="98"/>
      <c r="AJ40" s="74"/>
      <c r="AK40" s="74"/>
      <c r="AL40" s="99" cm="1">
        <f t="array" ref="AL40">LARGE(V39:V42,2)</f>
        <v>4.3014042000000003</v>
      </c>
      <c r="AM40" s="100" cm="1">
        <f t="array" ref="AM40">(AH40-AL40)*100000000000000000000</f>
        <v>0</v>
      </c>
      <c r="AN40" s="74"/>
      <c r="AO40" s="74"/>
      <c r="AP40" s="101" t="str" cm="1">
        <f t="array" ref="AP40">O40</f>
        <v>Curazao</v>
      </c>
      <c r="AQ40" s="102" cm="1">
        <f t="array" ref="AQ40">P40*3+Q40*1+BT40+CN40+S40/1000+T40/10000</f>
        <v>-8.0000000000000002E-3</v>
      </c>
      <c r="AR40" s="102" t="b" cm="1">
        <f t="array" ref="AR40">IF(OR(AQ40=AQ41,AQ40=AQ42),1)</f>
        <v>0</v>
      </c>
      <c r="AS40" s="103" cm="1">
        <f t="array" ref="AS40">AV40</f>
        <v>0</v>
      </c>
      <c r="AT40" s="103" cm="1">
        <f t="array" ref="AT40">IF(AND(AM43="si",OR(AR39=1,AR40=1,AR41=1)),1,0)</f>
        <v>0</v>
      </c>
      <c r="AU40" s="122" t="str" cm="1">
        <f t="array" ref="AU40">O40</f>
        <v>Curazao</v>
      </c>
      <c r="AV40" s="101"/>
      <c r="AW40" s="106"/>
      <c r="AX40" s="74" t="str" cm="1">
        <f t="array" ref="AX40">Y38</f>
        <v>Grupo E</v>
      </c>
      <c r="AY40" s="76" t="str" cm="1">
        <f t="array" ref="AY40">O40</f>
        <v>Curazao</v>
      </c>
      <c r="AZ40" s="107" cm="1">
        <f t="array" ref="AZ40">P40*3+Q40</f>
        <v>0</v>
      </c>
      <c r="BA40" s="107" cm="1">
        <f t="array" ref="BA40">COUNTIFS($AX$1:AX40,AX40,$AZ$1:AZ40,AZ40)</f>
        <v>1</v>
      </c>
      <c r="BB40" s="107" cm="1">
        <f t="array" ref="BB40">IF(AZ40=BF37,ROW()*0.001,AZ40)</f>
        <v>0</v>
      </c>
      <c r="BC40" s="107" cm="1">
        <f t="array" ref="BC40">COUNTIFS($AX$1:AZ40,AZ40,$AZ$1:BB40,BB40)</f>
        <v>4</v>
      </c>
      <c r="BD40" s="107"/>
      <c r="BE40" s="108" t="str" cm="1">
        <f t="array" ref="BE40">IF(OR(BF40="-",BI40="-",BF37=0),"-","OK")</f>
        <v>OK</v>
      </c>
      <c r="BF40" s="109" t="str" cm="1">
        <f t="array" ref="BF40">IF(_xlfn.XLOOKUP($E40,$AY1:$AY108,$AZ1:$AZ108,"-",0)=BF37,$E40,"-")</f>
        <v>Costa de Marfil</v>
      </c>
      <c r="BG40" s="110" cm="1">
        <f t="array" ref="BG40">$F40</f>
        <v>1</v>
      </c>
      <c r="BH40" s="110" cm="1">
        <f t="array" ref="BH40">$G40</f>
        <v>1</v>
      </c>
      <c r="BI40" s="109" t="str" cm="1">
        <f t="array" ref="BI40">IF(_xlfn.XLOOKUP($H40,$AY1:$AY108,$AZ1:$AZ108,"-",0)=BF37,$H40,"-")</f>
        <v>Ecuador</v>
      </c>
      <c r="BJ40" s="74"/>
      <c r="BK40" s="79" t="str" cm="1">
        <f t="array" ref="BK40">O40</f>
        <v>Curazao</v>
      </c>
      <c r="BL40" s="111" cm="1">
        <f t="array" ref="BL40">COUNTIFS($BE1:$BE108,"OK",$BI1:$BI108,BK40)+COUNTIFS($BE1:$BE108,"OK",$BF1:$BF108,BK40)</f>
        <v>0</v>
      </c>
      <c r="BM40" s="112" cm="1">
        <f t="array" ref="BM40">COUNTIFS(J1:J108,$BK40,$BE1:$BE108,"OK")</f>
        <v>0</v>
      </c>
      <c r="BN40" s="112" cm="1">
        <f t="array" ref="BN40">COUNTIFS(K1:K108,$BK40,$BE1:$BE108,"OK")+COUNTIFS(L1:L108,$BK40,$BE1:$BE108,"OK")</f>
        <v>0</v>
      </c>
      <c r="BO40" s="112" cm="1">
        <f t="array" ref="BO40">COUNTIFS(M1:M108,$BK40,$BE1:$BE108,"OK")</f>
        <v>0</v>
      </c>
      <c r="BP40" s="112" cm="1">
        <f t="array" ref="BP40">BQ40-BR40</f>
        <v>0</v>
      </c>
      <c r="BQ40" s="112" cm="1">
        <f t="array" ref="BQ40">SUMIFS(BG1:BG108,$BE1:$BE108,"OK",BF1:BF108,$BK40)+SUMIFS(BH1:BH108,$BE1:$BE108,"OK",BI1:BI108,$BK40)</f>
        <v>0</v>
      </c>
      <c r="BR40" s="112" cm="1">
        <f t="array" ref="BR40">SUMIFS(BH1:BH108,$BE1:$BE108,"OK",BF1:BF108,$BK40)+SUMIFS(BG1:BG108,$BE1:$BE108,"OK",BI1:BI108,$BK40)</f>
        <v>0</v>
      </c>
      <c r="BS40" s="113" cm="1">
        <f t="array" ref="BS40">BM40*3+BN40*1+BP40/100+BQ40/10000</f>
        <v>0</v>
      </c>
      <c r="BT40" s="107" cm="1">
        <f t="array" ref="BT40">IF(BL40=0,0,_xlfn.XLOOKUP(BS40,BV39:BV42,BW39:BW42))</f>
        <v>0</v>
      </c>
      <c r="BU40" s="99"/>
      <c r="BV40" s="113" cm="1">
        <f t="array" ref="BV40">LARGE(BS39:BS42,2)</f>
        <v>1.0001</v>
      </c>
      <c r="BW40" s="112" cm="1">
        <f t="array" ref="BW40">BX40/$BW$1</f>
        <v>0.2</v>
      </c>
      <c r="BX40" s="114">
        <v>2</v>
      </c>
      <c r="BY40" s="108" t="str" cm="1">
        <f t="array" ref="BY40">IF(OR(BZ40="-",CC40="-"),"-","OK")</f>
        <v>-</v>
      </c>
      <c r="BZ40" s="109" t="str" cm="1">
        <f t="array" ref="BZ40">IF(_xlfn.XLOOKUP($E40,$AY1:$AY108,$AZ1:$AZ108,"-",0)=BZ37,$E40,"-")</f>
        <v>-</v>
      </c>
      <c r="CA40" s="110" cm="1">
        <f t="array" ref="CA40">$F40</f>
        <v>1</v>
      </c>
      <c r="CB40" s="110" cm="1">
        <f t="array" ref="CB40">$G40</f>
        <v>1</v>
      </c>
      <c r="CC40" s="109" t="str" cm="1">
        <f t="array" ref="CC40">IF(_xlfn.XLOOKUP($H40,$AY1:$AY108,$AZ1:$AZ108,"-",0)=BZ37,$H40,"-")</f>
        <v>-</v>
      </c>
      <c r="CD40" s="74"/>
      <c r="CE40" s="79" t="str" cm="1">
        <f t="array" ref="CE40">BK40</f>
        <v>Curazao</v>
      </c>
      <c r="CF40" s="111" cm="1">
        <f t="array" ref="CF40">COUNTIFS($BY1:$BY108,"OK",$CC1:$CC108,CE40)+COUNTIFS($BY1:$BY108,"OK",$BZ1:$BZ108,CE40)</f>
        <v>0</v>
      </c>
      <c r="CG40" s="112" cm="1">
        <f t="array" ref="CG40">COUNTIFS(P1:P108,$BK40,$BY1:$BY108,"OK")</f>
        <v>0</v>
      </c>
      <c r="CH40" s="112" cm="1">
        <f t="array" ref="CH40">COUNTIFS(K1:K108,$BK40,$BY1:$BY108,"OK")+COUNTIFS(L1:L108,$BK40,$BY1:$BY108,"OK")</f>
        <v>0</v>
      </c>
      <c r="CI40" s="112" cm="1">
        <f t="array" ref="CI40">COUNTIFS(M1:M108,$CE40,$BY1:$BY108,"OK")</f>
        <v>0</v>
      </c>
      <c r="CJ40" s="112" cm="1">
        <f t="array" ref="CJ40">CK40-CL40</f>
        <v>0</v>
      </c>
      <c r="CK40" s="112" cm="1">
        <f t="array" ref="CK40">SUMIFS(CA1:CA108,$BY1:$BY108,"OK",BZ1:BZ108,$BK40)+SUMIFS(CB1:CB108,$BY1:$BY108,"OK",CC1:CC108,$BK40)</f>
        <v>0</v>
      </c>
      <c r="CL40" s="112" cm="1">
        <f t="array" ref="CL40">SUMIFS(CB1:CB108,$BY1:$BY108,"OK",BZ1:BZ108,$BK40)+SUMIFS(CA1:CA108,$BY1:$BY108,"OK",CC1:CC108,$BK40)</f>
        <v>0</v>
      </c>
      <c r="CM40" s="113" cm="1">
        <f t="array" ref="CM40">CG40*3+CH40*1+CJ40/100+CK40/10000</f>
        <v>0</v>
      </c>
      <c r="CN40" s="107" cm="1">
        <f t="array" ref="CN40">IF(CF40=0,0,_xlfn.XLOOKUP(CM40,CP39:CP42,CQ39:CQ42))</f>
        <v>0</v>
      </c>
      <c r="CO40" s="99"/>
      <c r="CP40" s="113" cm="1">
        <f t="array" ref="CP40">LARGE(CM39:CM42,2)</f>
        <v>0</v>
      </c>
      <c r="CQ40" s="112" cm="1">
        <f t="array" ref="CQ40">CR40/$BW$1</f>
        <v>0.2</v>
      </c>
      <c r="CR40" s="114">
        <v>2</v>
      </c>
      <c r="CS40" s="74"/>
      <c r="CT40" s="74"/>
      <c r="CU40" s="74"/>
      <c r="CV40" s="74"/>
      <c r="CW40" s="74"/>
      <c r="CX40" s="172"/>
    </row>
    <row r="41" spans="1:102" ht="14.25" customHeight="1">
      <c r="A41" s="85" t="s">
        <v>166</v>
      </c>
      <c r="B41" s="86">
        <v>46193</v>
      </c>
      <c r="C41" s="87"/>
      <c r="D41" s="88"/>
      <c r="E41" s="85" t="s">
        <v>56</v>
      </c>
      <c r="F41" s="89">
        <v>2</v>
      </c>
      <c r="G41" s="89">
        <v>0</v>
      </c>
      <c r="H41" s="90" t="s">
        <v>78</v>
      </c>
      <c r="I41" s="65"/>
      <c r="J41" s="65" t="str" cm="1">
        <f t="array" ref="J41">IF(OR(ISBLANK(F41),ISBLANK(G41)),"",IF(F41&gt;G41,E41,IF(G41&gt;F41,H41,"")))</f>
        <v>Alemania</v>
      </c>
      <c r="K41" s="65" t="str" cm="1">
        <f t="array" ref="K41">IF(OR(ISBLANK(F41),ISBLANK(G41)),"",IF(F41=G41,E41,""))</f>
        <v/>
      </c>
      <c r="L41" s="65" t="str" cm="1">
        <f t="array" ref="L41">IF(OR(ISBLANK(F41),ISBLANK(G41)),"",IF(F41=G41,H41,""))</f>
        <v/>
      </c>
      <c r="M41" s="65" t="str" cm="1">
        <f t="array" ref="M41">IF(OR(ISBLANK(F41),ISBLANK(G41)),"",IF(F41&lt;G41,E41,IF(G41&lt;F41,H41,"")))</f>
        <v>Costa de Marfil</v>
      </c>
      <c r="N41" s="65"/>
      <c r="O41" s="67" t="str" cm="1">
        <f t="array" ref="O41">E40</f>
        <v>Costa de Marfil</v>
      </c>
      <c r="P41" s="91" cm="1">
        <f t="array" ref="P41">COUNTIF(J39:J44,"="&amp;$O41)</f>
        <v>1</v>
      </c>
      <c r="Q41" s="91" cm="1">
        <f t="array" ref="Q41">COUNTIF(K39:L44,"="&amp;$O41)</f>
        <v>1</v>
      </c>
      <c r="R41" s="91" cm="1">
        <f t="array" ref="R41">COUNTIF(M39:M44,"="&amp;$O41)</f>
        <v>1</v>
      </c>
      <c r="S41" s="91" cm="1">
        <f t="array" ref="S41">T41-U41</f>
        <v>0</v>
      </c>
      <c r="T41" s="91" cm="1">
        <f t="array" ref="T41">SUMIF(E39:E44,$O41,F39:F44)+SUMIF(H39:H44,$O41,G39:G44)</f>
        <v>3</v>
      </c>
      <c r="U41" s="91" cm="1">
        <f t="array" ref="U41">SUMIF(E39:E44,$O41,G39:G44)+SUMIF(H39:H44,$O41,F39:F44)</f>
        <v>3</v>
      </c>
      <c r="V41" s="92" cm="1">
        <f t="array" ref="V41">P41*3+Q41*1+BT41+CN41+S41/1000+T41/10000+AV41/1000000+ROW()/10000000</f>
        <v>4.3003041</v>
      </c>
      <c r="W41" s="67" t="str" cm="1">
        <f t="array" ref="W41">O41</f>
        <v>Costa de Marfil</v>
      </c>
      <c r="X41" s="65"/>
      <c r="Y41" s="125" t="str" cm="1">
        <f t="array" ref="Y41">CONCATENATE("3",RIGHT(E38,1))</f>
        <v>3E</v>
      </c>
      <c r="Z41" s="126" t="str" cm="1">
        <f t="array" ref="Z41">VLOOKUP(AL41,V39:W42,2,FALSE)</f>
        <v>Costa de Marfil</v>
      </c>
      <c r="AA41" s="127" cm="1">
        <f t="array" ref="AA41">SUM(AB41:AD41)</f>
        <v>3</v>
      </c>
      <c r="AB41" s="128" cm="1">
        <f t="array" ref="AB41">VLOOKUP($Z41,$O$39:$U$42,COLUMN()-26,FALSE)</f>
        <v>1</v>
      </c>
      <c r="AC41" s="128" cm="1">
        <f t="array" ref="AC41">VLOOKUP($Z41,$O$39:$U$42,COLUMN()-26,FALSE)</f>
        <v>1</v>
      </c>
      <c r="AD41" s="128" cm="1">
        <f t="array" ref="AD41">VLOOKUP($Z41,$O$39:$U$42,COLUMN()-26,FALSE)</f>
        <v>1</v>
      </c>
      <c r="AE41" s="128" cm="1">
        <f t="array" ref="AE41">VLOOKUP($Z41,$O$39:$U$42,COLUMN()-26,FALSE)</f>
        <v>0</v>
      </c>
      <c r="AF41" s="128" cm="1">
        <f t="array" ref="AF41">VLOOKUP($Z41,$O$39:$U$42,COLUMN()-26,FALSE)</f>
        <v>3</v>
      </c>
      <c r="AG41" s="128" cm="1">
        <f t="array" ref="AG41">VLOOKUP($Z41,$O$39:$U$42,COLUMN()-26,FALSE)</f>
        <v>3</v>
      </c>
      <c r="AH41" s="129" cm="1">
        <f t="array" ref="AH41">VLOOKUP($Z41,$O$39:$V$42,COLUMN()-26,FALSE)</f>
        <v>4.3003041</v>
      </c>
      <c r="AI41" s="130" cm="1">
        <f t="array" ref="AI41">(COUNTIFS($CV$2:$CV$13,Z41,$CX$2:$CX$13,"IN")+COUNTIFS($CV$2:$CV$13,Z41,$CW$2:$CW$13,"IN"))*IF(SUM(AA39:AA42)=12,1,0)</f>
        <v>1</v>
      </c>
      <c r="AJ41" s="74"/>
      <c r="AK41" s="74"/>
      <c r="AL41" s="99" cm="1">
        <f t="array" ref="AL41">LARGE(V39:V42,3)</f>
        <v>4.3003041</v>
      </c>
      <c r="AM41" s="100" cm="1">
        <f t="array" ref="AM41">(AH41-AL41)*100000000000000000000</f>
        <v>0</v>
      </c>
      <c r="AN41" s="74"/>
      <c r="AO41" s="74"/>
      <c r="AP41" s="101" t="str" cm="1">
        <f t="array" ref="AP41">O41</f>
        <v>Costa de Marfil</v>
      </c>
      <c r="AQ41" s="102" cm="1">
        <f t="array" ref="AQ41">P41*3+Q41*1+BT41+CN41+S41/1000+T41/10000</f>
        <v>4.3003</v>
      </c>
      <c r="AR41" s="102" t="b" cm="1">
        <f t="array" ref="AR41">IF(OR(AQ41=AQ42),1)</f>
        <v>0</v>
      </c>
      <c r="AS41" s="103" cm="1">
        <f t="array" ref="AS41">AV41</f>
        <v>0</v>
      </c>
      <c r="AT41" s="103" cm="1">
        <f t="array" ref="AT41">IF(AND(AM43="si",OR(AR39=1,AR40=1,AR41=1)),1,0)</f>
        <v>0</v>
      </c>
      <c r="AU41" s="122" t="str" cm="1">
        <f t="array" ref="AU41">O41</f>
        <v>Costa de Marfil</v>
      </c>
      <c r="AV41" s="101"/>
      <c r="AW41" s="106"/>
      <c r="AX41" s="74" t="str" cm="1">
        <f t="array" ref="AX41">Y38</f>
        <v>Grupo E</v>
      </c>
      <c r="AY41" s="76" t="str" cm="1">
        <f t="array" ref="AY41">O41</f>
        <v>Costa de Marfil</v>
      </c>
      <c r="AZ41" s="107" cm="1">
        <f t="array" ref="AZ41">P41*3+Q41</f>
        <v>4</v>
      </c>
      <c r="BA41" s="107" cm="1">
        <f t="array" ref="BA41">COUNTIFS($AX$1:AX41,AX41,$AZ$1:AZ41,AZ41)</f>
        <v>1</v>
      </c>
      <c r="BB41" s="107" cm="1">
        <f t="array" ref="BB41">IF(AZ41=BF37,ROW()*0.001,AZ41)</f>
        <v>4.1000000000000002E-2</v>
      </c>
      <c r="BC41" s="107" cm="1">
        <f t="array" ref="BC41">COUNTIFS($AX$1:AZ41,AZ41,$AZ$1:BB41,BB41)</f>
        <v>1</v>
      </c>
      <c r="BD41" s="107"/>
      <c r="BE41" s="108" t="str" cm="1">
        <f t="array" ref="BE41">IF(OR(BF41="-",BI41="-",BF37=0),"-","OK")</f>
        <v>-</v>
      </c>
      <c r="BF41" s="109" t="str" cm="1">
        <f t="array" ref="BF41">IF(_xlfn.XLOOKUP($E41,$AY1:$AY108,$AZ1:$AZ108,"-",0)=BF37,$E41,"-")</f>
        <v>-</v>
      </c>
      <c r="BG41" s="110" cm="1">
        <f t="array" ref="BG41">$F41</f>
        <v>2</v>
      </c>
      <c r="BH41" s="110" cm="1">
        <f t="array" ref="BH41">$G41</f>
        <v>0</v>
      </c>
      <c r="BI41" s="109" t="str" cm="1">
        <f t="array" ref="BI41">IF(_xlfn.XLOOKUP($H41,$AY1:$AY108,$AZ1:$AZ108,"-",0)=BF37,$H41,"-")</f>
        <v>Costa de Marfil</v>
      </c>
      <c r="BJ41" s="74"/>
      <c r="BK41" s="79" t="str" cm="1">
        <f t="array" ref="BK41">O41</f>
        <v>Costa de Marfil</v>
      </c>
      <c r="BL41" s="111" cm="1">
        <f t="array" ref="BL41">COUNTIFS($BE1:$BE108,"OK",$BI1:$BI108,BK41)+COUNTIFS($BE1:$BE108,"OK",$BF1:$BF108,BK41)</f>
        <v>1</v>
      </c>
      <c r="BM41" s="112" cm="1">
        <f t="array" ref="BM41">COUNTIFS(J1:J108,$BK41,$BE1:$BE108,"OK")</f>
        <v>0</v>
      </c>
      <c r="BN41" s="112" cm="1">
        <f t="array" ref="BN41">COUNTIFS(K1:K108,$BK41,$BE1:$BE108,"OK")+COUNTIFS(L1:L108,$BK41,$BE1:$BE108,"OK")</f>
        <v>1</v>
      </c>
      <c r="BO41" s="112" cm="1">
        <f t="array" ref="BO41">COUNTIFS(M1:M108,$BK41,$BE1:$BE108,"OK")</f>
        <v>0</v>
      </c>
      <c r="BP41" s="112" cm="1">
        <f t="array" ref="BP41">BQ41-BR41</f>
        <v>0</v>
      </c>
      <c r="BQ41" s="112" cm="1">
        <f t="array" ref="BQ41">SUMIFS(BG1:BG108,$BE1:$BE108,"OK",BF1:BF108,$BK41)+SUMIFS(BH1:BH108,$BE1:$BE108,"OK",BI1:BI108,$BK41)</f>
        <v>1</v>
      </c>
      <c r="BR41" s="112" cm="1">
        <f t="array" ref="BR41">SUMIFS(BH1:BH108,$BE1:$BE108,"OK",BF1:BF108,$BK41)+SUMIFS(BG1:BG108,$BE1:$BE108,"OK",BI1:BI108,$BK41)</f>
        <v>1</v>
      </c>
      <c r="BS41" s="113" cm="1">
        <f t="array" ref="BS41">BM41*3+BN41*1+BP41/100+BQ41/10000</f>
        <v>1.0001</v>
      </c>
      <c r="BT41" s="107" cm="1">
        <f t="array" ref="BT41">IF(BL41=0,0,_xlfn.XLOOKUP(BS41,BV39:BV42,BW39:BW42))</f>
        <v>0.3</v>
      </c>
      <c r="BU41" s="99"/>
      <c r="BV41" s="113" cm="1">
        <f t="array" ref="BV41">LARGE(BS39:BS42,3)</f>
        <v>0</v>
      </c>
      <c r="BW41" s="112" cm="1">
        <f t="array" ref="BW41">BX41/$BW$1</f>
        <v>0.1</v>
      </c>
      <c r="BX41" s="114">
        <v>1</v>
      </c>
      <c r="BY41" s="108" t="str" cm="1">
        <f t="array" ref="BY41">IF(OR(BZ41="-",CC41="-"),"-","OK")</f>
        <v>-</v>
      </c>
      <c r="BZ41" s="109" t="str" cm="1">
        <f t="array" ref="BZ41">IF(_xlfn.XLOOKUP($E41,$AY1:$AY108,$AZ1:$AZ108,"-",0)=BZ37,$E41,"-")</f>
        <v>Alemania</v>
      </c>
      <c r="CA41" s="110" cm="1">
        <f t="array" ref="CA41">$F41</f>
        <v>2</v>
      </c>
      <c r="CB41" s="110" cm="1">
        <f t="array" ref="CB41">$G41</f>
        <v>0</v>
      </c>
      <c r="CC41" s="109" t="str" cm="1">
        <f t="array" ref="CC41">IF(_xlfn.XLOOKUP($H41,$AY1:$AY108,$AZ1:$AZ108,"-",0)=BZ37,$H41,"-")</f>
        <v>-</v>
      </c>
      <c r="CD41" s="74"/>
      <c r="CE41" s="79" t="str" cm="1">
        <f t="array" ref="CE41">BK41</f>
        <v>Costa de Marfil</v>
      </c>
      <c r="CF41" s="111" cm="1">
        <f t="array" ref="CF41">COUNTIFS($BY1:$BY108,"OK",$CC1:$CC108,CE41)+COUNTIFS($BY1:$BY108,"OK",$BZ1:$BZ108,CE41)</f>
        <v>0</v>
      </c>
      <c r="CG41" s="112" cm="1">
        <f t="array" ref="CG41">COUNTIFS(P1:P108,$BK41,$BY1:$BY108,"OK")</f>
        <v>0</v>
      </c>
      <c r="CH41" s="112" cm="1">
        <f t="array" ref="CH41">COUNTIFS(K1:K108,$BK41,$BY1:$BY108,"OK")+COUNTIFS(L1:L108,$BK41,$BY1:$BY108,"OK")</f>
        <v>0</v>
      </c>
      <c r="CI41" s="112" cm="1">
        <f t="array" ref="CI41">COUNTIFS(M1:M108,$CE41,$BY1:$BY108,"OK")</f>
        <v>0</v>
      </c>
      <c r="CJ41" s="112" cm="1">
        <f t="array" ref="CJ41">CK41-CL41</f>
        <v>0</v>
      </c>
      <c r="CK41" s="112" cm="1">
        <f t="array" ref="CK41">SUMIFS(CA1:CA108,$BY1:$BY108,"OK",BZ1:BZ108,$BK41)+SUMIFS(CB1:CB108,$BY1:$BY108,"OK",CC1:CC108,$BK41)</f>
        <v>0</v>
      </c>
      <c r="CL41" s="112" cm="1">
        <f t="array" ref="CL41">SUMIFS(CB1:CB108,$BY1:$BY108,"OK",BZ1:BZ108,$BK41)+SUMIFS(CA1:CA108,$BY1:$BY108,"OK",CC1:CC108,$BK41)</f>
        <v>0</v>
      </c>
      <c r="CM41" s="113" cm="1">
        <f t="array" ref="CM41">CG41*3+CH41*1+CJ41/100+CK41/10000</f>
        <v>0</v>
      </c>
      <c r="CN41" s="107" cm="1">
        <f t="array" ref="CN41">IF(CF41=0,0,_xlfn.XLOOKUP(CM41,CP39:CP42,CQ39:CQ42))</f>
        <v>0</v>
      </c>
      <c r="CO41" s="99"/>
      <c r="CP41" s="113" cm="1">
        <f t="array" ref="CP41">LARGE(CM39:CM42,3)</f>
        <v>0</v>
      </c>
      <c r="CQ41" s="112" cm="1">
        <f t="array" ref="CQ41">CR41/$BW$1</f>
        <v>0.1</v>
      </c>
      <c r="CR41" s="114">
        <v>1</v>
      </c>
      <c r="CS41" s="74"/>
      <c r="CT41" s="74"/>
      <c r="CU41" s="74"/>
      <c r="CV41" s="74"/>
      <c r="CW41" s="74"/>
      <c r="CX41" s="172"/>
    </row>
    <row r="42" spans="1:102" ht="14.25" customHeight="1">
      <c r="A42" s="85" t="s">
        <v>168</v>
      </c>
      <c r="B42" s="86">
        <v>46193</v>
      </c>
      <c r="C42" s="87"/>
      <c r="D42" s="88"/>
      <c r="E42" s="85" t="s">
        <v>67</v>
      </c>
      <c r="F42" s="89">
        <v>2</v>
      </c>
      <c r="G42" s="89">
        <v>0</v>
      </c>
      <c r="H42" s="90" t="s">
        <v>93</v>
      </c>
      <c r="I42" s="65"/>
      <c r="J42" s="65" t="str" cm="1">
        <f t="array" ref="J42">IF(OR(ISBLANK(F42),ISBLANK(G42)),"",IF(F42&gt;G42,E42,IF(G42&gt;F42,H42,"")))</f>
        <v>Ecuador</v>
      </c>
      <c r="K42" s="65" t="str" cm="1">
        <f t="array" ref="K42">IF(OR(ISBLANK(F42),ISBLANK(G42)),"",IF(F42=G42,E42,""))</f>
        <v/>
      </c>
      <c r="L42" s="65" t="str" cm="1">
        <f t="array" ref="L42">IF(OR(ISBLANK(F42),ISBLANK(G42)),"",IF(F42=G42,H42,""))</f>
        <v/>
      </c>
      <c r="M42" s="65" t="str" cm="1">
        <f t="array" ref="M42">IF(OR(ISBLANK(F42),ISBLANK(G42)),"",IF(F42&lt;G42,E42,IF(G42&lt;F42,H42,"")))</f>
        <v>Curazao</v>
      </c>
      <c r="N42" s="65"/>
      <c r="O42" s="67" t="str" cm="1">
        <f t="array" ref="O42">H40</f>
        <v>Ecuador</v>
      </c>
      <c r="P42" s="91" cm="1">
        <f t="array" ref="P42">COUNTIF(J39:J44,"="&amp;$O42)</f>
        <v>1</v>
      </c>
      <c r="Q42" s="91" cm="1">
        <f t="array" ref="Q42">COUNTIF(K39:L44,"="&amp;$O42)</f>
        <v>1</v>
      </c>
      <c r="R42" s="91" cm="1">
        <f t="array" ref="R42">COUNTIF(M39:M44,"="&amp;$O42)</f>
        <v>1</v>
      </c>
      <c r="S42" s="91" cm="1">
        <f t="array" ref="S42">T42-U42</f>
        <v>1</v>
      </c>
      <c r="T42" s="91" cm="1">
        <f t="array" ref="T42">SUMIF(E39:E44,$O42,F39:F44)+SUMIF(H39:H44,$O42,G39:G44)</f>
        <v>4</v>
      </c>
      <c r="U42" s="91" cm="1">
        <f t="array" ref="U42">SUMIF(E39:E44,$O42,G39:G44)+SUMIF(H39:H44,$O42,F39:F44)</f>
        <v>3</v>
      </c>
      <c r="V42" s="92" cm="1">
        <f t="array" ref="V42">P42*3+Q42*1+BT42+CN42+S42/1000+T42/10000+AV42/1000000+ROW()/10000000</f>
        <v>4.3014042000000003</v>
      </c>
      <c r="W42" s="67" t="str" cm="1">
        <f t="array" ref="W42">O42</f>
        <v>Ecuador</v>
      </c>
      <c r="X42" s="65"/>
      <c r="Y42" s="131" t="str" cm="1">
        <f t="array" ref="Y42">CONCATENATE("4",RIGHT(E38,1))</f>
        <v>4E</v>
      </c>
      <c r="Z42" s="132" t="str" cm="1">
        <f t="array" ref="Z42">VLOOKUP(AL42,V39:W42,2,FALSE)</f>
        <v>Curazao</v>
      </c>
      <c r="AA42" s="133" cm="1">
        <f t="array" ref="AA42">SUM(AB42:AD42)</f>
        <v>3</v>
      </c>
      <c r="AB42" s="134" cm="1">
        <f t="array" ref="AB42">VLOOKUP($Z42,$O$39:$U$42,COLUMN()-26,FALSE)</f>
        <v>0</v>
      </c>
      <c r="AC42" s="134" cm="1">
        <f t="array" ref="AC42">VLOOKUP($Z42,$O$39:$U$42,COLUMN()-26,FALSE)</f>
        <v>0</v>
      </c>
      <c r="AD42" s="134" cm="1">
        <f t="array" ref="AD42">VLOOKUP($Z42,$O$39:$U$42,COLUMN()-26,FALSE)</f>
        <v>3</v>
      </c>
      <c r="AE42" s="134" cm="1">
        <f t="array" ref="AE42">VLOOKUP($Z42,$O$39:$U$42,COLUMN()-26,FALSE)</f>
        <v>-8</v>
      </c>
      <c r="AF42" s="134" cm="1">
        <f t="array" ref="AF42">VLOOKUP($Z42,$O$39:$U$42,COLUMN()-26,FALSE)</f>
        <v>0</v>
      </c>
      <c r="AG42" s="134" cm="1">
        <f t="array" ref="AG42">VLOOKUP($Z42,$O$39:$U$42,COLUMN()-26,FALSE)</f>
        <v>8</v>
      </c>
      <c r="AH42" s="135" cm="1">
        <f t="array" ref="AH42">VLOOKUP($Z42,$O$39:$V$42,COLUMN()-26,FALSE)</f>
        <v>-7.9959999999999996E-3</v>
      </c>
      <c r="AI42" s="130"/>
      <c r="AJ42" s="74"/>
      <c r="AK42" s="74"/>
      <c r="AL42" s="99" cm="1">
        <f t="array" ref="AL42">LARGE(V39:V42,4)</f>
        <v>-7.9959999999999996E-3</v>
      </c>
      <c r="AM42" s="100" cm="1">
        <f t="array" ref="AM42">(AH42-AL42)*100000000000000000000</f>
        <v>0</v>
      </c>
      <c r="AN42" s="74"/>
      <c r="AO42" s="74"/>
      <c r="AP42" s="101" t="str" cm="1">
        <f t="array" ref="AP42">O42</f>
        <v>Ecuador</v>
      </c>
      <c r="AQ42" s="102" cm="1">
        <f t="array" ref="AQ42">P42*3+Q42*1+BT42+CN42+S42/1000+T42/10000</f>
        <v>4.3014000000000001</v>
      </c>
      <c r="AR42" s="65"/>
      <c r="AS42" s="103" cm="1">
        <f t="array" ref="AS42">AV42</f>
        <v>0</v>
      </c>
      <c r="AT42" s="103" cm="1">
        <f t="array" ref="AT42">IF(AND(AM43="si",OR(AR39=1,AR40=1,AR41=1)),1,0)</f>
        <v>0</v>
      </c>
      <c r="AU42" s="136" t="str" cm="1">
        <f t="array" ref="AU42">O42</f>
        <v>Ecuador</v>
      </c>
      <c r="AV42" s="137"/>
      <c r="AW42" s="106"/>
      <c r="AX42" s="74" t="str" cm="1">
        <f t="array" ref="AX42">Y38</f>
        <v>Grupo E</v>
      </c>
      <c r="AY42" s="76" t="str" cm="1">
        <f t="array" ref="AY42">O42</f>
        <v>Ecuador</v>
      </c>
      <c r="AZ42" s="107" cm="1">
        <f t="array" ref="AZ42">P42*3+Q42</f>
        <v>4</v>
      </c>
      <c r="BA42" s="107" cm="1">
        <f t="array" ref="BA42">COUNTIFS($AX$1:AX42,AX42,$AZ$1:AZ42,AZ42)</f>
        <v>2</v>
      </c>
      <c r="BB42" s="107" cm="1">
        <f t="array" ref="BB42">IF(AZ42=BF37,ROW()*0.001,AZ42)</f>
        <v>4.2000000000000003E-2</v>
      </c>
      <c r="BC42" s="107" cm="1">
        <f t="array" ref="BC42">COUNTIFS($AX$1:AZ42,AZ42,$AZ$1:BB42,BB42)</f>
        <v>1</v>
      </c>
      <c r="BD42" s="107"/>
      <c r="BE42" s="108" t="str" cm="1">
        <f t="array" ref="BE42">IF(OR(BF42="-",BI42="-",BF37=0),"-","OK")</f>
        <v>-</v>
      </c>
      <c r="BF42" s="109" t="str" cm="1">
        <f t="array" ref="BF42">IF(_xlfn.XLOOKUP($E42,$AY1:$AY108,$AZ1:$AZ108,"-",0)=BF37,$E42,"-")</f>
        <v>Ecuador</v>
      </c>
      <c r="BG42" s="110" cm="1">
        <f t="array" ref="BG42">$F42</f>
        <v>2</v>
      </c>
      <c r="BH42" s="110" cm="1">
        <f t="array" ref="BH42">$G42</f>
        <v>0</v>
      </c>
      <c r="BI42" s="109" t="str" cm="1">
        <f t="array" ref="BI42">IF(_xlfn.XLOOKUP($H42,$AY1:$AY108,$AZ1:$AZ108,"-",0)=BF37,$H42,"-")</f>
        <v>-</v>
      </c>
      <c r="BJ42" s="74"/>
      <c r="BK42" s="79" t="str" cm="1">
        <f t="array" ref="BK42">O42</f>
        <v>Ecuador</v>
      </c>
      <c r="BL42" s="111" cm="1">
        <f t="array" ref="BL42">COUNTIFS($BE1:$BE108,"OK",$BI1:$BI108,BK42)+COUNTIFS($BE1:$BE108,"OK",$BF1:$BF108,BK42)</f>
        <v>1</v>
      </c>
      <c r="BM42" s="112" cm="1">
        <f t="array" ref="BM42">COUNTIFS(J1:J108,$BK42,$BE1:$BE108,"OK")</f>
        <v>0</v>
      </c>
      <c r="BN42" s="112" cm="1">
        <f t="array" ref="BN42">COUNTIFS(K1:K108,$BK42,$BE1:$BE108,"OK")+COUNTIFS(L1:L108,$BK42,$BE1:$BE108,"OK")</f>
        <v>1</v>
      </c>
      <c r="BO42" s="112" cm="1">
        <f t="array" ref="BO42">COUNTIFS(M1:M108,$BK42,$BE1:$BE108,"OK")</f>
        <v>0</v>
      </c>
      <c r="BP42" s="112" cm="1">
        <f t="array" ref="BP42">BQ42-BR42</f>
        <v>0</v>
      </c>
      <c r="BQ42" s="112" cm="1">
        <f t="array" ref="BQ42">SUMIFS(BG1:BG108,$BE1:$BE108,"OK",BF1:BF108,$BK42)+SUMIFS(BH1:BH108,$BE1:$BE108,"OK",BI1:BI108,$BK42)</f>
        <v>1</v>
      </c>
      <c r="BR42" s="112" cm="1">
        <f t="array" ref="BR42">SUMIFS(BH1:BH108,$BE1:$BE108,"OK",BF1:BF108,$BK42)+SUMIFS(BG1:BG108,$BE1:$BE108,"OK",BI1:BI108,$BK42)</f>
        <v>1</v>
      </c>
      <c r="BS42" s="113" cm="1">
        <f t="array" ref="BS42">BM42*3+BN42*1+BP42/100+BQ42/10000</f>
        <v>1.0001</v>
      </c>
      <c r="BT42" s="107" cm="1">
        <f t="array" ref="BT42">IF(BL42=0,0,_xlfn.XLOOKUP(BS42,BV39:BV42,BW39:BW42))</f>
        <v>0.3</v>
      </c>
      <c r="BU42" s="99"/>
      <c r="BV42" s="113" cm="1">
        <f t="array" ref="BV42">LARGE(BS39:BS42,4)</f>
        <v>0</v>
      </c>
      <c r="BW42" s="112" cm="1">
        <f t="array" ref="BW42">BX42/$BW$1</f>
        <v>0</v>
      </c>
      <c r="BX42" s="114">
        <v>0</v>
      </c>
      <c r="BY42" s="108" t="str" cm="1">
        <f t="array" ref="BY42">IF(OR(BZ42="-",CC42="-"),"-","OK")</f>
        <v>-</v>
      </c>
      <c r="BZ42" s="109" t="str" cm="1">
        <f t="array" ref="BZ42">IF(_xlfn.XLOOKUP($E42,$AY1:$AY108,$AZ1:$AZ108,"-",0)=BZ37,$E42,"-")</f>
        <v>-</v>
      </c>
      <c r="CA42" s="110" cm="1">
        <f t="array" ref="CA42">$F42</f>
        <v>2</v>
      </c>
      <c r="CB42" s="110" cm="1">
        <f t="array" ref="CB42">$G42</f>
        <v>0</v>
      </c>
      <c r="CC42" s="109" t="str" cm="1">
        <f t="array" ref="CC42">IF(_xlfn.XLOOKUP($H42,$AY1:$AY108,$AZ1:$AZ108,"-",0)=BZ37,$H42,"-")</f>
        <v>-</v>
      </c>
      <c r="CD42" s="74"/>
      <c r="CE42" s="79" t="str" cm="1">
        <f t="array" ref="CE42">BK42</f>
        <v>Ecuador</v>
      </c>
      <c r="CF42" s="111" cm="1">
        <f t="array" ref="CF42">COUNTIFS($BY1:$BY108,"OK",$CC1:$CC108,CE42)+COUNTIFS($BY1:$BY108,"OK",$BZ1:$BZ108,CE42)</f>
        <v>0</v>
      </c>
      <c r="CG42" s="112" cm="1">
        <f t="array" ref="CG42">COUNTIFS(P1:P108,$BK42,$BY1:$BY108,"OK")</f>
        <v>0</v>
      </c>
      <c r="CH42" s="112" cm="1">
        <f t="array" ref="CH42">COUNTIFS(K1:K108,$BK42,$BY1:$BY108,"OK")+COUNTIFS(L1:L108,$BK42,$BY1:$BY108,"OK")</f>
        <v>0</v>
      </c>
      <c r="CI42" s="112" cm="1">
        <f t="array" ref="CI42">COUNTIFS(M1:M108,$CE42,$BY1:$BY108,"OK")</f>
        <v>0</v>
      </c>
      <c r="CJ42" s="112" cm="1">
        <f t="array" ref="CJ42">CK42-CL42</f>
        <v>0</v>
      </c>
      <c r="CK42" s="112" cm="1">
        <f t="array" ref="CK42">SUMIFS(CA1:CA108,$BY1:$BY108,"OK",BZ1:BZ108,$BK42)+SUMIFS(CB1:CB108,$BY1:$BY108,"OK",CC1:CC108,$BK42)</f>
        <v>0</v>
      </c>
      <c r="CL42" s="112" cm="1">
        <f t="array" ref="CL42">SUMIFS(CB1:CB108,$BY1:$BY108,"OK",BZ1:BZ108,$BK42)+SUMIFS(CA1:CA108,$BY1:$BY108,"OK",CC1:CC108,$BK42)</f>
        <v>0</v>
      </c>
      <c r="CM42" s="113" cm="1">
        <f t="array" ref="CM42">CG42*3+CH42*1+CJ42/100+CK42/10000</f>
        <v>0</v>
      </c>
      <c r="CN42" s="107" cm="1">
        <f t="array" ref="CN42">IF(CF42=0,0,_xlfn.XLOOKUP(CM42,CP39:CP42,CQ39:CQ42))</f>
        <v>0</v>
      </c>
      <c r="CO42" s="99"/>
      <c r="CP42" s="113" cm="1">
        <f t="array" ref="CP42">LARGE(CM39:CM42,4)</f>
        <v>0</v>
      </c>
      <c r="CQ42" s="112" cm="1">
        <f t="array" ref="CQ42">CR42/$BW$1</f>
        <v>0</v>
      </c>
      <c r="CR42" s="114">
        <v>0</v>
      </c>
      <c r="CS42" s="74"/>
      <c r="CT42" s="74"/>
      <c r="CU42" s="74"/>
      <c r="CV42" s="74"/>
      <c r="CW42" s="74"/>
      <c r="CX42" s="172"/>
    </row>
    <row r="43" spans="1:102" ht="14.25" customHeight="1">
      <c r="A43" s="85" t="s">
        <v>169</v>
      </c>
      <c r="B43" s="86">
        <v>46198</v>
      </c>
      <c r="C43" s="87"/>
      <c r="D43" s="88"/>
      <c r="E43" s="85" t="s">
        <v>67</v>
      </c>
      <c r="F43" s="89">
        <v>1</v>
      </c>
      <c r="G43" s="89">
        <v>2</v>
      </c>
      <c r="H43" s="90" t="s">
        <v>56</v>
      </c>
      <c r="I43" s="106"/>
      <c r="J43" s="74" t="str" cm="1">
        <f t="array" ref="J43">IF(OR(ISBLANK(F43),ISBLANK(G43)),"",IF(F43&gt;G43,E43,IF(G43&gt;F43,H43,"")))</f>
        <v>Alemania</v>
      </c>
      <c r="K43" s="74" t="str" cm="1">
        <f t="array" ref="K43">IF(OR(ISBLANK(F43),ISBLANK(G43)),"",IF(F43=G43,E43,""))</f>
        <v/>
      </c>
      <c r="L43" s="74" t="str" cm="1">
        <f t="array" ref="L43">IF(OR(ISBLANK(F43),ISBLANK(G43)),"",IF(F43=G43,H43,""))</f>
        <v/>
      </c>
      <c r="M43" s="74" t="str" cm="1">
        <f t="array" ref="M43">IF(OR(ISBLANK(F43),ISBLANK(G43)),"",IF(F43&lt;G43,E43,IF(G43&lt;F43,H43,"")))</f>
        <v>Ecuador</v>
      </c>
      <c r="N43" s="74"/>
      <c r="O43" s="74"/>
      <c r="P43" s="74"/>
      <c r="Q43" s="74"/>
      <c r="R43" s="74"/>
      <c r="S43" s="74"/>
      <c r="T43" s="74"/>
      <c r="U43" s="74"/>
      <c r="V43" s="74"/>
      <c r="W43" s="74"/>
      <c r="X43" s="74"/>
      <c r="Y43" s="138"/>
      <c r="Z43" s="138"/>
      <c r="AA43" s="138"/>
      <c r="AB43" s="138"/>
      <c r="AC43" s="138"/>
      <c r="AD43" s="138"/>
      <c r="AE43" s="138"/>
      <c r="AF43" s="138"/>
      <c r="AG43" s="138"/>
      <c r="AH43" s="138"/>
      <c r="AI43" s="74"/>
      <c r="AJ43" s="74"/>
      <c r="AK43" s="74"/>
      <c r="AL43" s="139" t="s">
        <v>128</v>
      </c>
      <c r="AM43" s="74" t="str" cm="1">
        <f t="array" ref="AM43">IF(SUM(AA39:AA42)=12,"si","no")</f>
        <v>si</v>
      </c>
      <c r="AN43" s="74"/>
      <c r="AO43" s="74"/>
      <c r="AP43" s="74"/>
      <c r="AQ43" s="74"/>
      <c r="AR43" s="74"/>
      <c r="AS43" s="74"/>
      <c r="AT43" s="74"/>
      <c r="AU43" s="138"/>
      <c r="AV43" s="138"/>
      <c r="AW43" s="74"/>
      <c r="AX43" s="74"/>
      <c r="AY43" s="74"/>
      <c r="AZ43" s="74"/>
      <c r="BA43" s="74"/>
      <c r="BB43" s="74"/>
      <c r="BC43" s="74"/>
      <c r="BD43" s="74"/>
      <c r="BE43" s="108" t="str" cm="1">
        <f t="array" ref="BE43">IF(OR(BF43="-",BI43="-",BF37=0),"-","OK")</f>
        <v>-</v>
      </c>
      <c r="BF43" s="109" t="str" cm="1">
        <f t="array" ref="BF43">IF(_xlfn.XLOOKUP($E43,$AY1:$AY108,$AZ1:$AZ108,"-",0)=BF37,$E43,"-")</f>
        <v>Ecuador</v>
      </c>
      <c r="BG43" s="110" cm="1">
        <f t="array" ref="BG43">$F43</f>
        <v>1</v>
      </c>
      <c r="BH43" s="110" cm="1">
        <f t="array" ref="BH43">$G43</f>
        <v>2</v>
      </c>
      <c r="BI43" s="109" t="str" cm="1">
        <f t="array" ref="BI43">IF(_xlfn.XLOOKUP($H43,$AY1:$AY108,$AZ1:$AZ108,"-",0)=BF37,$H43,"-")</f>
        <v>-</v>
      </c>
      <c r="BJ43" s="74"/>
      <c r="BK43" s="74"/>
      <c r="BL43" s="74"/>
      <c r="BM43" s="74"/>
      <c r="BN43" s="74"/>
      <c r="BO43" s="74"/>
      <c r="BP43" s="74"/>
      <c r="BQ43" s="74"/>
      <c r="BR43" s="74"/>
      <c r="BS43" s="74"/>
      <c r="BT43" s="74"/>
      <c r="BU43" s="74"/>
      <c r="BV43" s="74"/>
      <c r="BW43" s="74"/>
      <c r="BX43" s="74"/>
      <c r="BY43" s="108" t="str" cm="1">
        <f t="array" ref="BY43">IF(OR(BZ43="-",CC43="-"),"-","OK")</f>
        <v>-</v>
      </c>
      <c r="BZ43" s="109" t="str" cm="1">
        <f t="array" ref="BZ43">IF(_xlfn.XLOOKUP($E43,$AY1:$AY108,$AZ1:$AZ108,"-",0)=BZ37,$E43,"-")</f>
        <v>-</v>
      </c>
      <c r="CA43" s="110" cm="1">
        <f t="array" ref="CA43">$F43</f>
        <v>1</v>
      </c>
      <c r="CB43" s="110" cm="1">
        <f t="array" ref="CB43">$G43</f>
        <v>2</v>
      </c>
      <c r="CC43" s="109" t="str" cm="1">
        <f t="array" ref="CC43">IF(_xlfn.XLOOKUP($H43,$AY1:$AY108,$AZ1:$AZ108,"-",0)=BZ37,$H43,"-")</f>
        <v>Alemania</v>
      </c>
      <c r="CD43" s="74"/>
      <c r="CE43" s="74"/>
      <c r="CF43" s="74"/>
      <c r="CG43" s="74"/>
      <c r="CH43" s="74"/>
      <c r="CI43" s="74"/>
      <c r="CJ43" s="74"/>
      <c r="CK43" s="74"/>
      <c r="CL43" s="74"/>
      <c r="CM43" s="74"/>
      <c r="CN43" s="74"/>
      <c r="CO43" s="74"/>
      <c r="CP43" s="74"/>
      <c r="CQ43" s="74"/>
      <c r="CR43" s="74"/>
      <c r="CS43" s="74"/>
      <c r="CT43" s="74"/>
      <c r="CU43" s="74"/>
      <c r="CV43" s="74"/>
      <c r="CW43" s="74"/>
      <c r="CX43" s="172"/>
    </row>
    <row r="44" spans="1:102" ht="14.25" customHeight="1">
      <c r="A44" s="85" t="s">
        <v>170</v>
      </c>
      <c r="B44" s="86">
        <v>46198</v>
      </c>
      <c r="C44" s="87"/>
      <c r="D44" s="88"/>
      <c r="E44" s="85" t="s">
        <v>93</v>
      </c>
      <c r="F44" s="89">
        <v>0</v>
      </c>
      <c r="G44" s="89">
        <v>2</v>
      </c>
      <c r="H44" s="90" t="s">
        <v>78</v>
      </c>
      <c r="I44" s="106"/>
      <c r="J44" s="74" t="str" cm="1">
        <f t="array" ref="J44">IF(OR(ISBLANK(F44),ISBLANK(G44)),"",IF(F44&gt;G44,E44,IF(G44&gt;F44,H44,"")))</f>
        <v>Costa de Marfil</v>
      </c>
      <c r="K44" s="74" t="str" cm="1">
        <f t="array" ref="K44">IF(OR(ISBLANK(F44),ISBLANK(G44)),"",IF(F44=G44,E44,""))</f>
        <v/>
      </c>
      <c r="L44" s="74" t="str" cm="1">
        <f t="array" ref="L44">IF(OR(ISBLANK(F44),ISBLANK(G44)),"",IF(F44=G44,H44,""))</f>
        <v/>
      </c>
      <c r="M44" s="74" t="str" cm="1">
        <f t="array" ref="M44">IF(OR(ISBLANK(F44),ISBLANK(G44)),"",IF(F44&lt;G44,E44,IF(G44&lt;F44,H44,"")))</f>
        <v>Curazao</v>
      </c>
      <c r="N44" s="74"/>
      <c r="O44" s="74"/>
      <c r="P44" s="74"/>
      <c r="Q44" s="74"/>
      <c r="R44" s="74"/>
      <c r="S44" s="74"/>
      <c r="T44" s="74"/>
      <c r="U44" s="74"/>
      <c r="V44" s="74"/>
      <c r="W44" s="74"/>
      <c r="X44" s="74"/>
      <c r="Y44" s="140" t="s">
        <v>130</v>
      </c>
      <c r="Z44" s="74"/>
      <c r="AA44" s="74"/>
      <c r="AB44" s="74"/>
      <c r="AC44" s="74"/>
      <c r="AD44" s="74"/>
      <c r="AE44" s="74"/>
      <c r="AF44" s="74"/>
      <c r="AG44" s="74"/>
      <c r="AH44" s="74"/>
      <c r="AI44" s="74"/>
      <c r="AJ44" s="74"/>
      <c r="AK44" s="74"/>
      <c r="AL44" s="74"/>
      <c r="AM44" s="74"/>
      <c r="AN44" s="74"/>
      <c r="AO44" s="74"/>
      <c r="AP44" s="74"/>
      <c r="AQ44" s="74"/>
      <c r="AR44" s="114" cm="1">
        <f t="array" ref="AR44">IF(AND(AM43="si",OR(AR39=1,AR40=1,AR41=1)),1,0)</f>
        <v>0</v>
      </c>
      <c r="AS44" s="74"/>
      <c r="AT44" s="74"/>
      <c r="AU44" s="74"/>
      <c r="AV44" s="74"/>
      <c r="AW44" s="74"/>
      <c r="AX44" s="74"/>
      <c r="AY44" s="74"/>
      <c r="AZ44" s="74"/>
      <c r="BA44" s="74"/>
      <c r="BB44" s="74"/>
      <c r="BC44" s="74"/>
      <c r="BD44" s="74"/>
      <c r="BE44" s="108" t="str" cm="1">
        <f t="array" ref="BE44">IF(OR(BF44="-",BI44="-",BF37=0),"-","OK")</f>
        <v>-</v>
      </c>
      <c r="BF44" s="109" t="str" cm="1">
        <f t="array" ref="BF44">IF(_xlfn.XLOOKUP($E44,$AY1:$AY108,$AZ1:$AZ108,"-",0)=BF37,$E44,"-")</f>
        <v>-</v>
      </c>
      <c r="BG44" s="110" cm="1">
        <f t="array" ref="BG44">$F44</f>
        <v>0</v>
      </c>
      <c r="BH44" s="110" cm="1">
        <f t="array" ref="BH44">$G44</f>
        <v>2</v>
      </c>
      <c r="BI44" s="109" t="str" cm="1">
        <f t="array" ref="BI44">IF(_xlfn.XLOOKUP($H44,$AY1:$AY108,$AZ1:$AZ108,"-",0)=BF37,$H44,"-")</f>
        <v>Costa de Marfil</v>
      </c>
      <c r="BJ44" s="74"/>
      <c r="BK44" s="74"/>
      <c r="BL44" s="74"/>
      <c r="BM44" s="74"/>
      <c r="BN44" s="74"/>
      <c r="BO44" s="74"/>
      <c r="BP44" s="74"/>
      <c r="BQ44" s="74"/>
      <c r="BR44" s="74"/>
      <c r="BS44" s="74"/>
      <c r="BT44" s="74"/>
      <c r="BU44" s="74"/>
      <c r="BV44" s="74"/>
      <c r="BW44" s="74"/>
      <c r="BX44" s="74"/>
      <c r="BY44" s="108" t="str" cm="1">
        <f t="array" ref="BY44">IF(OR(BZ44="-",CC44="-"),"-","OK")</f>
        <v>-</v>
      </c>
      <c r="BZ44" s="109" t="str" cm="1">
        <f t="array" ref="BZ44">IF(_xlfn.XLOOKUP($E44,$AY1:$AY108,$AZ1:$AZ108,"-",0)=BZ37,$E44,"-")</f>
        <v>-</v>
      </c>
      <c r="CA44" s="110" cm="1">
        <f t="array" ref="CA44">$F44</f>
        <v>0</v>
      </c>
      <c r="CB44" s="110" cm="1">
        <f t="array" ref="CB44">$G44</f>
        <v>2</v>
      </c>
      <c r="CC44" s="109" t="str" cm="1">
        <f t="array" ref="CC44">IF(_xlfn.XLOOKUP($H44,$AY1:$AY108,$AZ1:$AZ108,"-",0)=BZ37,$H44,"-")</f>
        <v>-</v>
      </c>
      <c r="CD44" s="74"/>
      <c r="CE44" s="74"/>
      <c r="CF44" s="74"/>
      <c r="CG44" s="74"/>
      <c r="CH44" s="74"/>
      <c r="CI44" s="74"/>
      <c r="CJ44" s="74"/>
      <c r="CK44" s="74"/>
      <c r="CL44" s="74"/>
      <c r="CM44" s="74"/>
      <c r="CN44" s="74"/>
      <c r="CO44" s="74"/>
      <c r="CP44" s="74"/>
      <c r="CQ44" s="74"/>
      <c r="CR44" s="74"/>
      <c r="CS44" s="74"/>
      <c r="CT44" s="74"/>
      <c r="CU44" s="74"/>
      <c r="CV44" s="74"/>
      <c r="CW44" s="74"/>
      <c r="CX44" s="172"/>
    </row>
    <row r="45" spans="1:102" ht="14.25" customHeight="1">
      <c r="A45" s="141"/>
      <c r="B45" s="142"/>
      <c r="C45" s="143"/>
      <c r="D45" s="144"/>
      <c r="E45" s="145"/>
      <c r="F45" s="143"/>
      <c r="G45" s="143"/>
      <c r="H45" s="146"/>
      <c r="I45" s="78"/>
      <c r="J45" s="77"/>
      <c r="K45" s="77"/>
      <c r="L45" s="77"/>
      <c r="M45" s="77"/>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78"/>
      <c r="AZ45" s="78"/>
      <c r="BA45" s="78"/>
      <c r="BB45" s="78"/>
      <c r="BC45" s="78"/>
      <c r="BD45" s="78"/>
      <c r="BE45" s="77"/>
      <c r="BF45" s="144"/>
      <c r="BG45" s="144"/>
      <c r="BH45" s="144"/>
      <c r="BI45" s="144"/>
      <c r="BJ45" s="78"/>
      <c r="BK45" s="78"/>
      <c r="BL45" s="78"/>
      <c r="BM45" s="78"/>
      <c r="BN45" s="78"/>
      <c r="BO45" s="78"/>
      <c r="BP45" s="78"/>
      <c r="BQ45" s="78"/>
      <c r="BR45" s="78"/>
      <c r="BS45" s="78"/>
      <c r="BT45" s="78"/>
      <c r="BU45" s="78"/>
      <c r="BV45" s="78"/>
      <c r="BW45" s="78"/>
      <c r="BX45" s="78"/>
      <c r="BY45" s="78"/>
      <c r="BZ45" s="144"/>
      <c r="CA45" s="144"/>
      <c r="CB45" s="144"/>
      <c r="CC45" s="144"/>
      <c r="CD45" s="78"/>
      <c r="CE45" s="78"/>
      <c r="CF45" s="78"/>
      <c r="CG45" s="78"/>
      <c r="CH45" s="78"/>
      <c r="CI45" s="78"/>
      <c r="CJ45" s="78"/>
      <c r="CK45" s="78"/>
      <c r="CL45" s="78"/>
      <c r="CM45" s="78"/>
      <c r="CN45" s="78"/>
      <c r="CO45" s="78"/>
      <c r="CP45" s="78"/>
      <c r="CQ45" s="78"/>
      <c r="CR45" s="78"/>
      <c r="CS45" s="78"/>
      <c r="CT45" s="78"/>
      <c r="CU45" s="78"/>
      <c r="CV45" s="78"/>
      <c r="CW45" s="77"/>
      <c r="CX45" s="174"/>
    </row>
    <row r="46" spans="1:102" ht="14.25" customHeight="1">
      <c r="A46" s="150"/>
      <c r="B46" s="144"/>
      <c r="C46" s="144"/>
      <c r="D46" s="144"/>
      <c r="E46" s="144"/>
      <c r="F46" s="144"/>
      <c r="G46" s="144"/>
      <c r="H46" s="144"/>
      <c r="I46" s="138"/>
      <c r="J46" s="138"/>
      <c r="K46" s="138"/>
      <c r="L46" s="138"/>
      <c r="M46" s="138"/>
      <c r="N46" s="138"/>
      <c r="O46" s="138"/>
      <c r="P46" s="138"/>
      <c r="Q46" s="138"/>
      <c r="R46" s="138"/>
      <c r="S46" s="138"/>
      <c r="T46" s="138"/>
      <c r="U46" s="138"/>
      <c r="V46" s="138"/>
      <c r="W46" s="138"/>
      <c r="X46" s="138"/>
      <c r="Y46" s="144"/>
      <c r="Z46" s="144"/>
      <c r="AA46" s="144"/>
      <c r="AB46" s="144"/>
      <c r="AC46" s="144"/>
      <c r="AD46" s="144"/>
      <c r="AE46" s="144"/>
      <c r="AF46" s="144"/>
      <c r="AG46" s="144"/>
      <c r="AH46" s="144"/>
      <c r="AI46" s="138"/>
      <c r="AJ46" s="138"/>
      <c r="AK46" s="138"/>
      <c r="AL46" s="138"/>
      <c r="AM46" s="138"/>
      <c r="AN46" s="138"/>
      <c r="AO46" s="138"/>
      <c r="AP46" s="138"/>
      <c r="AQ46" s="138"/>
      <c r="AR46" s="138"/>
      <c r="AS46" s="138"/>
      <c r="AT46" s="138"/>
      <c r="AU46" s="138"/>
      <c r="AV46" s="138"/>
      <c r="AW46" s="138"/>
      <c r="AX46" s="138"/>
      <c r="AY46" s="138"/>
      <c r="AZ46" s="138"/>
      <c r="BA46" s="138"/>
      <c r="BB46" s="138"/>
      <c r="BC46" s="138"/>
      <c r="BD46" s="138"/>
      <c r="BE46" s="138"/>
      <c r="BF46" s="151" cm="1">
        <f t="array" ref="BF46">IF(BA48&gt;1,AZ48,IF(BA49&gt;1,AZ49,IF(BA50&gt;1,AZ50,IF(BA51&gt;1,AZ51,"-"))))</f>
        <v>4</v>
      </c>
      <c r="BG46" s="138"/>
      <c r="BH46" s="138"/>
      <c r="BI46" s="138"/>
      <c r="BJ46" s="138"/>
      <c r="BK46" s="138"/>
      <c r="BL46" s="138"/>
      <c r="BM46" s="138"/>
      <c r="BN46" s="138"/>
      <c r="BO46" s="138"/>
      <c r="BP46" s="138"/>
      <c r="BQ46" s="138"/>
      <c r="BR46" s="138"/>
      <c r="BS46" s="138"/>
      <c r="BT46" s="138"/>
      <c r="BU46" s="138"/>
      <c r="BV46" s="138"/>
      <c r="BW46" s="152">
        <v>10</v>
      </c>
      <c r="BX46" s="138"/>
      <c r="BY46" s="138"/>
      <c r="BZ46" s="153" cm="1">
        <f t="array" ref="BZ46">IF(BC48&gt;1,BB48,IF(BC49&gt;1,BB49,IF(BC50&gt;1,BB50,IF(BC51&gt;1,BB51,"-"))))</f>
        <v>9</v>
      </c>
      <c r="CA46" s="138"/>
      <c r="CB46" s="138"/>
      <c r="CC46" s="138"/>
      <c r="CD46" s="138"/>
      <c r="CE46" s="138"/>
      <c r="CF46" s="138"/>
      <c r="CG46" s="138"/>
      <c r="CH46" s="138"/>
      <c r="CI46" s="138"/>
      <c r="CJ46" s="138"/>
      <c r="CK46" s="138"/>
      <c r="CL46" s="138"/>
      <c r="CM46" s="138"/>
      <c r="CN46" s="138"/>
      <c r="CO46" s="138"/>
      <c r="CP46" s="138"/>
      <c r="CQ46" s="152">
        <v>10</v>
      </c>
      <c r="CR46" s="138"/>
      <c r="CS46" s="138"/>
      <c r="CT46" s="138"/>
      <c r="CU46" s="138"/>
      <c r="CV46" s="138"/>
      <c r="CW46" s="138"/>
      <c r="CX46" s="175"/>
    </row>
    <row r="47" spans="1:102" ht="14.25" customHeight="1">
      <c r="A47" s="206" t="s">
        <v>101</v>
      </c>
      <c r="B47" s="207" t="s">
        <v>102</v>
      </c>
      <c r="C47" s="207" t="s">
        <v>103</v>
      </c>
      <c r="D47" s="208"/>
      <c r="E47" s="209" t="s">
        <v>171</v>
      </c>
      <c r="F47" s="210"/>
      <c r="G47" s="210"/>
      <c r="H47" s="211"/>
      <c r="I47" s="65"/>
      <c r="J47" s="66" t="s">
        <v>105</v>
      </c>
      <c r="K47" s="66" t="s">
        <v>106</v>
      </c>
      <c r="L47" s="66" t="s">
        <v>106</v>
      </c>
      <c r="M47" s="66" t="s">
        <v>107</v>
      </c>
      <c r="N47" s="65"/>
      <c r="O47" s="67" t="str" cm="1">
        <f t="array" ref="O47">E47</f>
        <v>Grupo F</v>
      </c>
      <c r="P47" s="68" t="s">
        <v>105</v>
      </c>
      <c r="Q47" s="68" t="s">
        <v>106</v>
      </c>
      <c r="R47" s="68" t="s">
        <v>107</v>
      </c>
      <c r="S47" s="68" t="s">
        <v>108</v>
      </c>
      <c r="T47" s="68" t="s">
        <v>109</v>
      </c>
      <c r="U47" s="68" t="s">
        <v>110</v>
      </c>
      <c r="V47" s="68" t="s">
        <v>0</v>
      </c>
      <c r="W47" s="69"/>
      <c r="X47" s="65"/>
      <c r="Y47" s="784" t="s">
        <v>171</v>
      </c>
      <c r="Z47" s="785"/>
      <c r="AA47" s="212" t="s">
        <v>111</v>
      </c>
      <c r="AB47" s="213" t="s">
        <v>105</v>
      </c>
      <c r="AC47" s="213" t="s">
        <v>106</v>
      </c>
      <c r="AD47" s="213" t="s">
        <v>107</v>
      </c>
      <c r="AE47" s="213" t="s">
        <v>108</v>
      </c>
      <c r="AF47" s="213" t="s">
        <v>109</v>
      </c>
      <c r="AG47" s="213" t="s">
        <v>110</v>
      </c>
      <c r="AH47" s="214" t="s">
        <v>0</v>
      </c>
      <c r="AI47" s="215"/>
      <c r="AJ47" s="74"/>
      <c r="AK47" s="74"/>
      <c r="AL47" s="75" t="s">
        <v>0</v>
      </c>
      <c r="AM47" s="75" t="s">
        <v>112</v>
      </c>
      <c r="AN47" s="76"/>
      <c r="AO47" s="76"/>
      <c r="AP47" s="76"/>
      <c r="AQ47" s="76"/>
      <c r="AR47" s="76"/>
      <c r="AS47" s="76"/>
      <c r="AT47" s="76"/>
      <c r="AU47" s="77"/>
      <c r="AV47" s="78"/>
      <c r="AW47" s="74"/>
      <c r="AX47" s="74"/>
      <c r="AY47" s="75" t="s">
        <v>113</v>
      </c>
      <c r="AZ47" s="75" t="s">
        <v>0</v>
      </c>
      <c r="BA47" s="75" t="s">
        <v>114</v>
      </c>
      <c r="BB47" s="76"/>
      <c r="BC47" s="76"/>
      <c r="BD47" s="76"/>
      <c r="BE47" s="74"/>
      <c r="BF47" s="78"/>
      <c r="BG47" s="78"/>
      <c r="BH47" s="78"/>
      <c r="BI47" s="78"/>
      <c r="BJ47" s="74"/>
      <c r="BK47" s="79"/>
      <c r="BL47" s="80" t="s">
        <v>111</v>
      </c>
      <c r="BM47" s="75" t="s">
        <v>105</v>
      </c>
      <c r="BN47" s="75" t="s">
        <v>106</v>
      </c>
      <c r="BO47" s="75" t="s">
        <v>107</v>
      </c>
      <c r="BP47" s="75" t="s">
        <v>108</v>
      </c>
      <c r="BQ47" s="75" t="s">
        <v>109</v>
      </c>
      <c r="BR47" s="75" t="s">
        <v>110</v>
      </c>
      <c r="BS47" s="75" t="s">
        <v>0</v>
      </c>
      <c r="BT47" s="75" t="s">
        <v>115</v>
      </c>
      <c r="BU47" s="76"/>
      <c r="BV47" s="75" t="s">
        <v>116</v>
      </c>
      <c r="BW47" s="75" t="s">
        <v>115</v>
      </c>
      <c r="BX47" s="74"/>
      <c r="BY47" s="74"/>
      <c r="BZ47" s="78"/>
      <c r="CA47" s="78"/>
      <c r="CB47" s="78"/>
      <c r="CC47" s="78"/>
      <c r="CD47" s="74"/>
      <c r="CE47" s="79"/>
      <c r="CF47" s="80" t="s">
        <v>111</v>
      </c>
      <c r="CG47" s="75" t="s">
        <v>105</v>
      </c>
      <c r="CH47" s="75" t="s">
        <v>106</v>
      </c>
      <c r="CI47" s="75" t="s">
        <v>107</v>
      </c>
      <c r="CJ47" s="75" t="s">
        <v>108</v>
      </c>
      <c r="CK47" s="75" t="s">
        <v>109</v>
      </c>
      <c r="CL47" s="75" t="s">
        <v>110</v>
      </c>
      <c r="CM47" s="75" t="s">
        <v>0</v>
      </c>
      <c r="CN47" s="75" t="s">
        <v>115</v>
      </c>
      <c r="CO47" s="76"/>
      <c r="CP47" s="75" t="s">
        <v>116</v>
      </c>
      <c r="CQ47" s="75" t="s">
        <v>115</v>
      </c>
      <c r="CR47" s="74"/>
      <c r="CS47" s="74"/>
      <c r="CT47" s="74"/>
      <c r="CU47" s="74"/>
      <c r="CV47" s="74"/>
      <c r="CW47" s="74"/>
      <c r="CX47" s="172"/>
    </row>
    <row r="48" spans="1:102" ht="14.25" customHeight="1">
      <c r="A48" s="85" t="s">
        <v>172</v>
      </c>
      <c r="B48" s="86">
        <v>46190</v>
      </c>
      <c r="C48" s="87"/>
      <c r="D48" s="88"/>
      <c r="E48" s="85" t="s">
        <v>54</v>
      </c>
      <c r="F48" s="89">
        <v>2</v>
      </c>
      <c r="G48" s="89">
        <v>1</v>
      </c>
      <c r="H48" s="90" t="s">
        <v>64</v>
      </c>
      <c r="I48" s="65"/>
      <c r="J48" s="65" t="str" cm="1">
        <f t="array" ref="J48">IF(OR(ISBLANK(F48),ISBLANK(G48)),"",IF(F48&gt;G48,E48,IF(G48&gt;F48,H48,"")))</f>
        <v>Paises Bajos</v>
      </c>
      <c r="K48" s="65" t="str" cm="1">
        <f t="array" ref="K48">IF(OR(ISBLANK(F48),ISBLANK(G48)),"",IF(F48=G48,E48,""))</f>
        <v/>
      </c>
      <c r="L48" s="65" t="str" cm="1">
        <f t="array" ref="L48">IF(OR(ISBLANK(F48),ISBLANK(G48)),"",IF(F48=G48,H48,""))</f>
        <v/>
      </c>
      <c r="M48" s="65" t="str" cm="1">
        <f t="array" ref="M48">IF(OR(ISBLANK(F48),ISBLANK(G48)),"",IF(F48&lt;G48,E48,IF(G48&lt;F48,H48,"")))</f>
        <v>Japon</v>
      </c>
      <c r="N48" s="65"/>
      <c r="O48" s="67" t="str" cm="1">
        <f t="array" ref="O48">E48</f>
        <v>Paises Bajos</v>
      </c>
      <c r="P48" s="91" cm="1">
        <f t="array" ref="P48">COUNTIF(J48:J53,"="&amp;$O48)</f>
        <v>3</v>
      </c>
      <c r="Q48" s="91" cm="1">
        <f t="array" ref="Q48">COUNTIF(K48:L53,"="&amp;$O48)</f>
        <v>0</v>
      </c>
      <c r="R48" s="91" cm="1">
        <f t="array" ref="R48">COUNTIF(M48:M53,"="&amp;$O48)</f>
        <v>0</v>
      </c>
      <c r="S48" s="91" cm="1">
        <f t="array" ref="S48">T48-U48</f>
        <v>5</v>
      </c>
      <c r="T48" s="91" cm="1">
        <f t="array" ref="T48">SUMIF(E48:E53,$O48,F48:F53)+SUMIF(H48:H53,$O48,G48:G53)</f>
        <v>6</v>
      </c>
      <c r="U48" s="91" cm="1">
        <f t="array" ref="U48">SUMIF(E48:E53,$O48,G48:G53)+SUMIF(H48:H53,$O48,F48:F53)</f>
        <v>1</v>
      </c>
      <c r="V48" s="92" cm="1">
        <f t="array" ref="V48">P48*3+Q48*1+BT48+CN48+S48/1000+T48/10000+AV48/1000000+ROW()/10000000</f>
        <v>9.0056048000000004</v>
      </c>
      <c r="W48" s="67" t="str" cm="1">
        <f t="array" ref="W48">O48</f>
        <v>Paises Bajos</v>
      </c>
      <c r="X48" s="65"/>
      <c r="Y48" s="93" t="str" cm="1">
        <f t="array" ref="Y48">CONCATENATE("1",RIGHT(E47,1))</f>
        <v>1F</v>
      </c>
      <c r="Z48" s="94" t="str" cm="1">
        <f t="array" ref="Z48">VLOOKUP(AL48,V48:W51,2,FALSE)</f>
        <v>Paises Bajos</v>
      </c>
      <c r="AA48" s="95" cm="1">
        <f t="array" ref="AA48">SUM(AB48:AD48)</f>
        <v>3</v>
      </c>
      <c r="AB48" s="96" cm="1">
        <f t="array" ref="AB48">VLOOKUP($Z48,$O$48:$U$51,COLUMN()-26,FALSE)</f>
        <v>3</v>
      </c>
      <c r="AC48" s="96" cm="1">
        <f t="array" ref="AC48">VLOOKUP($Z48,$O$48:$U$51,COLUMN()-26,FALSE)</f>
        <v>0</v>
      </c>
      <c r="AD48" s="96" cm="1">
        <f t="array" ref="AD48">VLOOKUP($Z48,$O$48:$U$51,COLUMN()-26,FALSE)</f>
        <v>0</v>
      </c>
      <c r="AE48" s="96" cm="1">
        <f t="array" ref="AE48">VLOOKUP($Z48,$O$48:$U$51,COLUMN()-26,FALSE)</f>
        <v>5</v>
      </c>
      <c r="AF48" s="96" cm="1">
        <f t="array" ref="AF48">VLOOKUP($Z48,$O$48:$U$51,COLUMN()-26,FALSE)</f>
        <v>6</v>
      </c>
      <c r="AG48" s="96" cm="1">
        <f t="array" ref="AG48">VLOOKUP($Z48,$O$48:$U$51,COLUMN()-26,FALSE)</f>
        <v>1</v>
      </c>
      <c r="AH48" s="97" cm="1">
        <f t="array" ref="AH48">VLOOKUP($Z48,$O$48:$V$51,COLUMN()-26,FALSE)</f>
        <v>9.0056048000000004</v>
      </c>
      <c r="AI48" s="98"/>
      <c r="AJ48" s="74"/>
      <c r="AK48" s="74"/>
      <c r="AL48" s="99" cm="1">
        <f t="array" ref="AL48">LARGE(V48:V51,1)</f>
        <v>9.0056048000000004</v>
      </c>
      <c r="AM48" s="100" cm="1">
        <f t="array" ref="AM48">(AH48-AL48)*100000000000000000000</f>
        <v>0</v>
      </c>
      <c r="AN48" s="74"/>
      <c r="AO48" s="74"/>
      <c r="AP48" s="101" t="str" cm="1">
        <f t="array" ref="AP48">O48</f>
        <v>Paises Bajos</v>
      </c>
      <c r="AQ48" s="102" cm="1">
        <f t="array" ref="AQ48">P48*3+Q48*1+BT48+CN48+S48/1000+T48/10000</f>
        <v>9.0056000000000012</v>
      </c>
      <c r="AR48" s="102" t="b" cm="1">
        <f t="array" ref="AR48">IF(OR(AQ48=AQ49,AQ48=AQ50,AQ48=AQ51),1)</f>
        <v>0</v>
      </c>
      <c r="AS48" s="103" cm="1">
        <f t="array" ref="AS48">AV48</f>
        <v>0</v>
      </c>
      <c r="AT48" s="103" cm="1">
        <f t="array" ref="AT48">IF(AND(AM52="si",OR(AR48=1,AR49=1,AR50=1)),1,0)</f>
        <v>0</v>
      </c>
      <c r="AU48" s="104" t="str" cm="1">
        <f t="array" ref="AU48">O48</f>
        <v>Paises Bajos</v>
      </c>
      <c r="AV48" s="105"/>
      <c r="AW48" s="106"/>
      <c r="AX48" s="74" t="str" cm="1">
        <f t="array" ref="AX48">Y47</f>
        <v>Grupo F</v>
      </c>
      <c r="AY48" s="76" t="str" cm="1">
        <f t="array" ref="AY48">O48</f>
        <v>Paises Bajos</v>
      </c>
      <c r="AZ48" s="107" cm="1">
        <f t="array" ref="AZ48">P48*3+Q48</f>
        <v>9</v>
      </c>
      <c r="BA48" s="107" cm="1">
        <f t="array" ref="BA48">COUNTIFS($AX$1:AX48,AX48,$AZ$1:AZ48,AZ48)</f>
        <v>1</v>
      </c>
      <c r="BB48" s="107" cm="1">
        <f t="array" ref="BB48">IF(AZ48=BF46,ROW()*0.001,AZ48)</f>
        <v>9</v>
      </c>
      <c r="BC48" s="107" cm="1">
        <f t="array" ref="BC48">COUNTIFS($AX$1:AZ48,AZ48,$AZ$1:BB48,BB48)</f>
        <v>4</v>
      </c>
      <c r="BD48" s="107"/>
      <c r="BE48" s="108" t="str" cm="1">
        <f t="array" ref="BE48">IF(OR(BF48="-",BI48="-",BF46=0),"-","OK")</f>
        <v>-</v>
      </c>
      <c r="BF48" s="109" t="str" cm="1">
        <f t="array" ref="BF48">IF(_xlfn.XLOOKUP($E48,$AY1:$AY108,$AZ1:$AZ108,"-",0)=BF46,$E48,"-")</f>
        <v>-</v>
      </c>
      <c r="BG48" s="110" cm="1">
        <f t="array" ref="BG48">$F48</f>
        <v>2</v>
      </c>
      <c r="BH48" s="110" cm="1">
        <f t="array" ref="BH48">$G48</f>
        <v>1</v>
      </c>
      <c r="BI48" s="109" t="str" cm="1">
        <f t="array" ref="BI48">IF(_xlfn.XLOOKUP($H48,$AY1:$AY108,$AZ1:$AZ108,"-",0)=BF46,$H48,"-")</f>
        <v>Japon</v>
      </c>
      <c r="BJ48" s="74"/>
      <c r="BK48" s="79" t="str" cm="1">
        <f t="array" ref="BK48">O48</f>
        <v>Paises Bajos</v>
      </c>
      <c r="BL48" s="111" cm="1">
        <f t="array" ref="BL48">COUNTIFS($BE1:$BE108,"OK",$BI1:$BI108,BK48)+COUNTIFS($BE1:$BE108,"OK",$BF1:$BF108,BK48)</f>
        <v>0</v>
      </c>
      <c r="BM48" s="112" cm="1">
        <f t="array" ref="BM48">COUNTIFS(J1:J108,$BK48,$BE1:$BE108,"OK")</f>
        <v>0</v>
      </c>
      <c r="BN48" s="112" cm="1">
        <f t="array" ref="BN48">COUNTIFS(K1:K108,$BK48,$BE1:$BE108,"OK")+COUNTIFS(L1:L108,$BK48,$BE1:$BE108,"OK")</f>
        <v>0</v>
      </c>
      <c r="BO48" s="112" cm="1">
        <f t="array" ref="BO48">COUNTIFS(M1:M108,$BK48,$BE1:$BE108,"OK")</f>
        <v>0</v>
      </c>
      <c r="BP48" s="112" cm="1">
        <f t="array" ref="BP48">BQ48-BR48</f>
        <v>0</v>
      </c>
      <c r="BQ48" s="112" cm="1">
        <f t="array" ref="BQ48">SUMIFS(BG1:BG108,$BE1:$BE108,"OK",BF1:BF108,$BK48)+SUMIFS(BH1:BH108,$BE1:$BE108,"OK",BI1:BI108,$BK48)</f>
        <v>0</v>
      </c>
      <c r="BR48" s="112" cm="1">
        <f t="array" ref="BR48">SUMIFS(BH1:BH108,$BE1:$BE108,"OK",BF1:BF108,$BK48)+SUMIFS(BG1:BG108,$BE1:$BE108,"OK",BI1:BI108,$BK48)</f>
        <v>0</v>
      </c>
      <c r="BS48" s="113" cm="1">
        <f t="array" ref="BS48">BM48*3+BN48*1+BP48/100+BQ48/10000</f>
        <v>0</v>
      </c>
      <c r="BT48" s="107" cm="1">
        <f t="array" ref="BT48">IF(BL48=0,0,_xlfn.XLOOKUP(BS48,BV48:BV51,BW48:BW51))</f>
        <v>0</v>
      </c>
      <c r="BU48" s="99"/>
      <c r="BV48" s="113" cm="1">
        <f t="array" ref="BV48">LARGE(BS48:BS51,1)</f>
        <v>1.0001</v>
      </c>
      <c r="BW48" s="112" cm="1">
        <f t="array" ref="BW48">BX48/$BW$1</f>
        <v>0.3</v>
      </c>
      <c r="BX48" s="114">
        <v>3</v>
      </c>
      <c r="BY48" s="108" t="str" cm="1">
        <f t="array" ref="BY48">IF(OR(BZ48="-",CC48="-"),"-","OK")</f>
        <v>-</v>
      </c>
      <c r="BZ48" s="109" t="str" cm="1">
        <f t="array" ref="BZ48">IF(_xlfn.XLOOKUP($E48,$AY1:$AY108,$AZ1:$AZ108,"-",0)=BZ46,$E48,"-")</f>
        <v>Paises Bajos</v>
      </c>
      <c r="CA48" s="110" cm="1">
        <f t="array" ref="CA48">$F48</f>
        <v>2</v>
      </c>
      <c r="CB48" s="110" cm="1">
        <f t="array" ref="CB48">$G48</f>
        <v>1</v>
      </c>
      <c r="CC48" s="109" t="str" cm="1">
        <f t="array" ref="CC48">IF(_xlfn.XLOOKUP($H48,$AY1:$AY108,$AZ1:$AZ108,"-",0)=BZ46,$H48,"-")</f>
        <v>-</v>
      </c>
      <c r="CD48" s="74"/>
      <c r="CE48" s="79" t="str" cm="1">
        <f t="array" ref="CE48">BK48</f>
        <v>Paises Bajos</v>
      </c>
      <c r="CF48" s="111" cm="1">
        <f t="array" ref="CF48">COUNTIFS($BY1:$BY108,"OK",$CC1:$CC108,CE48)+COUNTIFS($BY1:$BY108,"OK",$BZ1:$BZ108,CE48)</f>
        <v>0</v>
      </c>
      <c r="CG48" s="112" cm="1">
        <f t="array" ref="CG48">COUNTIFS(P1:P108,$BK48,$BY1:$BY108,"OK")</f>
        <v>0</v>
      </c>
      <c r="CH48" s="112" cm="1">
        <f t="array" ref="CH48">COUNTIFS(K1:K108,$BK48,$BY1:$BY108,"OK")+COUNTIFS(L1:L108,$BK48,$BY1:$BY108,"OK")</f>
        <v>0</v>
      </c>
      <c r="CI48" s="112" cm="1">
        <f t="array" ref="CI48">COUNTIFS(M1:M108,$CE48,$BY1:$BY108,"OK")</f>
        <v>0</v>
      </c>
      <c r="CJ48" s="112" cm="1">
        <f t="array" ref="CJ48">CK48-CL48</f>
        <v>0</v>
      </c>
      <c r="CK48" s="112" cm="1">
        <f t="array" ref="CK48">SUMIFS(CA1:CA108,$BY1:$BY108,"OK",BZ1:BZ108,$BK48)+SUMIFS(CB1:CB108,$BY1:$BY108,"OK",CC1:CC108,$BK48)</f>
        <v>0</v>
      </c>
      <c r="CL48" s="112" cm="1">
        <f t="array" ref="CL48">SUMIFS(CB1:CB108,$BY1:$BY108,"OK",BZ1:BZ108,$BK48)+SUMIFS(CA1:CA108,$BY1:$BY108,"OK",CC1:CC108,$BK48)</f>
        <v>0</v>
      </c>
      <c r="CM48" s="113" cm="1">
        <f t="array" ref="CM48">CG48*3+CH48*1+CJ48/100+CK48/10000</f>
        <v>0</v>
      </c>
      <c r="CN48" s="107" cm="1">
        <f t="array" ref="CN48">IF(CF48=0,0,_xlfn.XLOOKUP(CM48,CP48:CP51,CQ48:CQ51))</f>
        <v>0</v>
      </c>
      <c r="CO48" s="99"/>
      <c r="CP48" s="113" cm="1">
        <f t="array" ref="CP48">LARGE(CM48:CM51,1)</f>
        <v>0</v>
      </c>
      <c r="CQ48" s="112" cm="1">
        <f t="array" ref="CQ48">CR48/$BW$1</f>
        <v>0.3</v>
      </c>
      <c r="CR48" s="114">
        <v>3</v>
      </c>
      <c r="CS48" s="74"/>
      <c r="CT48" s="74"/>
      <c r="CU48" s="74"/>
      <c r="CV48" s="74"/>
      <c r="CW48" s="74"/>
      <c r="CX48" s="172"/>
    </row>
    <row r="49" spans="1:102" ht="14.25" customHeight="1">
      <c r="A49" s="85" t="s">
        <v>174</v>
      </c>
      <c r="B49" s="86">
        <v>46187</v>
      </c>
      <c r="C49" s="87"/>
      <c r="D49" s="88"/>
      <c r="E49" s="85" t="s">
        <v>70</v>
      </c>
      <c r="F49" s="89">
        <v>2</v>
      </c>
      <c r="G49" s="89">
        <v>0</v>
      </c>
      <c r="H49" s="90" t="s">
        <v>81</v>
      </c>
      <c r="I49" s="65"/>
      <c r="J49" s="65" t="str" cm="1">
        <f t="array" ref="J49">IF(OR(ISBLANK(F49),ISBLANK(G49)),"",IF(F49&gt;G49,E49,IF(G49&gt;F49,H49,"")))</f>
        <v>Suecia</v>
      </c>
      <c r="K49" s="65" t="str" cm="1">
        <f t="array" ref="K49">IF(OR(ISBLANK(F49),ISBLANK(G49)),"",IF(F49=G49,E49,""))</f>
        <v/>
      </c>
      <c r="L49" s="65" t="str" cm="1">
        <f t="array" ref="L49">IF(OR(ISBLANK(F49),ISBLANK(G49)),"",IF(F49=G49,H49,""))</f>
        <v/>
      </c>
      <c r="M49" s="65" t="str" cm="1">
        <f t="array" ref="M49">IF(OR(ISBLANK(F49),ISBLANK(G49)),"",IF(F49&lt;G49,E49,IF(G49&lt;F49,H49,"")))</f>
        <v>Tunez</v>
      </c>
      <c r="N49" s="65"/>
      <c r="O49" s="67" t="str" cm="1">
        <f t="array" ref="O49">H48</f>
        <v>Japon</v>
      </c>
      <c r="P49" s="91" cm="1">
        <f t="array" ref="P49">COUNTIF(J48:J53,"="&amp;$O49)</f>
        <v>1</v>
      </c>
      <c r="Q49" s="91" cm="1">
        <f t="array" ref="Q49">COUNTIF(K48:L53,"="&amp;$O49)</f>
        <v>1</v>
      </c>
      <c r="R49" s="91" cm="1">
        <f t="array" ref="R49">COUNTIF(M48:M53,"="&amp;$O49)</f>
        <v>1</v>
      </c>
      <c r="S49" s="91" cm="1">
        <f t="array" ref="S49">T49-U49</f>
        <v>1</v>
      </c>
      <c r="T49" s="91" cm="1">
        <f t="array" ref="T49">SUMIF(E48:E53,$O49,F48:F53)+SUMIF(H48:H53,$O49,G48:G53)</f>
        <v>4</v>
      </c>
      <c r="U49" s="91" cm="1">
        <f t="array" ref="U49">SUMIF(E48:E53,$O49,G48:G53)+SUMIF(H48:H53,$O49,F48:F53)</f>
        <v>3</v>
      </c>
      <c r="V49" s="92" cm="1">
        <f t="array" ref="V49">P49*3+Q49*1+BT49+CN49+S49/1000+T49/10000+AV49/1000000+ROW()/10000000</f>
        <v>4.3014049000000005</v>
      </c>
      <c r="W49" s="67" t="str" cm="1">
        <f t="array" ref="W49">O49</f>
        <v>Japon</v>
      </c>
      <c r="X49" s="65"/>
      <c r="Y49" s="117" t="str" cm="1">
        <f t="array" ref="Y49">CONCATENATE("2",RIGHT(E47,1))</f>
        <v>2F</v>
      </c>
      <c r="Z49" s="118" t="str" cm="1">
        <f t="array" ref="Z49">VLOOKUP(AL49,V48:W51,2,FALSE)</f>
        <v>Japon</v>
      </c>
      <c r="AA49" s="119" cm="1">
        <f t="array" ref="AA49">SUM(AB49:AD49)</f>
        <v>3</v>
      </c>
      <c r="AB49" s="120" cm="1">
        <f t="array" ref="AB49">VLOOKUP($Z49,$O$48:$U$51,COLUMN()-26,FALSE)</f>
        <v>1</v>
      </c>
      <c r="AC49" s="120" cm="1">
        <f t="array" ref="AC49">VLOOKUP($Z49,$O$48:$U$51,COLUMN()-26,FALSE)</f>
        <v>1</v>
      </c>
      <c r="AD49" s="120" cm="1">
        <f t="array" ref="AD49">VLOOKUP($Z49,$O$48:$U$51,COLUMN()-26,FALSE)</f>
        <v>1</v>
      </c>
      <c r="AE49" s="120" cm="1">
        <f t="array" ref="AE49">VLOOKUP($Z49,$O$48:$U$51,COLUMN()-26,FALSE)</f>
        <v>1</v>
      </c>
      <c r="AF49" s="120" cm="1">
        <f t="array" ref="AF49">VLOOKUP($Z49,$O$48:$U$51,COLUMN()-26,FALSE)</f>
        <v>4</v>
      </c>
      <c r="AG49" s="120" cm="1">
        <f t="array" ref="AG49">VLOOKUP($Z49,$O$48:$U$51,COLUMN()-26,FALSE)</f>
        <v>3</v>
      </c>
      <c r="AH49" s="121" cm="1">
        <f t="array" ref="AH49">VLOOKUP($Z49,$O$48:$V$51,COLUMN()-26,FALSE)</f>
        <v>4.3014049000000005</v>
      </c>
      <c r="AI49" s="98"/>
      <c r="AJ49" s="74"/>
      <c r="AK49" s="74"/>
      <c r="AL49" s="99" cm="1">
        <f t="array" ref="AL49">LARGE(V48:V51,2)</f>
        <v>4.3014049000000005</v>
      </c>
      <c r="AM49" s="100" cm="1">
        <f t="array" ref="AM49">(AH49-AL49)*100000000000000000000</f>
        <v>0</v>
      </c>
      <c r="AN49" s="74"/>
      <c r="AO49" s="74"/>
      <c r="AP49" s="101" t="str" cm="1">
        <f t="array" ref="AP49">O49</f>
        <v>Japon</v>
      </c>
      <c r="AQ49" s="102" cm="1">
        <f t="array" ref="AQ49">P49*3+Q49*1+BT49+CN49+S49/1000+T49/10000</f>
        <v>4.3014000000000001</v>
      </c>
      <c r="AR49" s="102" t="b" cm="1">
        <f t="array" ref="AR49">IF(OR(AQ49=AQ50,AQ49=AQ51),1)</f>
        <v>0</v>
      </c>
      <c r="AS49" s="103" cm="1">
        <f t="array" ref="AS49">AV49</f>
        <v>0</v>
      </c>
      <c r="AT49" s="103" cm="1">
        <f t="array" ref="AT49">IF(AND(AM52="si",OR(AR48=1,AR49=1,AR50=1)),1,0)</f>
        <v>0</v>
      </c>
      <c r="AU49" s="122" t="str" cm="1">
        <f t="array" ref="AU49">O49</f>
        <v>Japon</v>
      </c>
      <c r="AV49" s="101"/>
      <c r="AW49" s="106"/>
      <c r="AX49" s="74" t="str" cm="1">
        <f t="array" ref="AX49">Y47</f>
        <v>Grupo F</v>
      </c>
      <c r="AY49" s="76" t="str" cm="1">
        <f t="array" ref="AY49">O49</f>
        <v>Japon</v>
      </c>
      <c r="AZ49" s="107" cm="1">
        <f t="array" ref="AZ49">P49*3+Q49</f>
        <v>4</v>
      </c>
      <c r="BA49" s="107" cm="1">
        <f t="array" ref="BA49">COUNTIFS($AX$1:AX49,AX49,$AZ$1:AZ49,AZ49)</f>
        <v>1</v>
      </c>
      <c r="BB49" s="107" cm="1">
        <f t="array" ref="BB49">IF(AZ49=BF46,ROW()*0.001,AZ49)</f>
        <v>4.9000000000000002E-2</v>
      </c>
      <c r="BC49" s="107" cm="1">
        <f t="array" ref="BC49">COUNTIFS($AX$1:AZ49,AZ49,$AZ$1:BB49,BB49)</f>
        <v>1</v>
      </c>
      <c r="BD49" s="107"/>
      <c r="BE49" s="108" t="str" cm="1">
        <f t="array" ref="BE49">IF(OR(BF49="-",BI49="-",BF46=0),"-","OK")</f>
        <v>-</v>
      </c>
      <c r="BF49" s="109" t="str" cm="1">
        <f t="array" ref="BF49">IF(_xlfn.XLOOKUP($E49,$AY1:$AY108,$AZ1:$AZ108,"-",0)=BF46,$E49,"-")</f>
        <v>Suecia</v>
      </c>
      <c r="BG49" s="110" cm="1">
        <f t="array" ref="BG49">$F49</f>
        <v>2</v>
      </c>
      <c r="BH49" s="110" cm="1">
        <f t="array" ref="BH49">$G49</f>
        <v>0</v>
      </c>
      <c r="BI49" s="109" t="str" cm="1">
        <f t="array" ref="BI49">IF(_xlfn.XLOOKUP($H49,$AY1:$AY108,$AZ1:$AZ108,"-",0)=BF46,$H49,"-")</f>
        <v>-</v>
      </c>
      <c r="BJ49" s="74"/>
      <c r="BK49" s="79" t="str" cm="1">
        <f t="array" ref="BK49">O49</f>
        <v>Japon</v>
      </c>
      <c r="BL49" s="111" cm="1">
        <f t="array" ref="BL49">COUNTIFS($BE1:$BE108,"OK",$BI1:$BI108,BK49)+COUNTIFS($BE1:$BE108,"OK",$BF1:$BF108,BK49)</f>
        <v>1</v>
      </c>
      <c r="BM49" s="112" cm="1">
        <f t="array" ref="BM49">COUNTIFS(J1:J108,$BK49,$BE1:$BE108,"OK")</f>
        <v>0</v>
      </c>
      <c r="BN49" s="112" cm="1">
        <f t="array" ref="BN49">COUNTIFS(K1:K108,$BK49,$BE1:$BE108,"OK")+COUNTIFS(L1:L108,$BK49,$BE1:$BE108,"OK")</f>
        <v>1</v>
      </c>
      <c r="BO49" s="112" cm="1">
        <f t="array" ref="BO49">COUNTIFS(M1:M108,$BK49,$BE1:$BE108,"OK")</f>
        <v>0</v>
      </c>
      <c r="BP49" s="112" cm="1">
        <f t="array" ref="BP49">BQ49-BR49</f>
        <v>0</v>
      </c>
      <c r="BQ49" s="112" cm="1">
        <f t="array" ref="BQ49">SUMIFS(BG1:BG108,$BE1:$BE108,"OK",BF1:BF108,$BK49)+SUMIFS(BH1:BH108,$BE1:$BE108,"OK",BI1:BI108,$BK49)</f>
        <v>1</v>
      </c>
      <c r="BR49" s="112" cm="1">
        <f t="array" ref="BR49">SUMIFS(BH1:BH108,$BE1:$BE108,"OK",BF1:BF108,$BK49)+SUMIFS(BG1:BG108,$BE1:$BE108,"OK",BI1:BI108,$BK49)</f>
        <v>1</v>
      </c>
      <c r="BS49" s="113" cm="1">
        <f t="array" ref="BS49">BM49*3+BN49*1+BP49/100+BQ49/10000</f>
        <v>1.0001</v>
      </c>
      <c r="BT49" s="107" cm="1">
        <f t="array" ref="BT49">IF(BL49=0,0,_xlfn.XLOOKUP(BS49,BV48:BV51,BW48:BW51))</f>
        <v>0.3</v>
      </c>
      <c r="BU49" s="99"/>
      <c r="BV49" s="113" cm="1">
        <f t="array" ref="BV49">LARGE(BS48:BS51,2)</f>
        <v>1.0001</v>
      </c>
      <c r="BW49" s="112" cm="1">
        <f t="array" ref="BW49">BX49/$BW$1</f>
        <v>0.2</v>
      </c>
      <c r="BX49" s="114">
        <v>2</v>
      </c>
      <c r="BY49" s="108" t="str" cm="1">
        <f t="array" ref="BY49">IF(OR(BZ49="-",CC49="-"),"-","OK")</f>
        <v>-</v>
      </c>
      <c r="BZ49" s="109" t="str" cm="1">
        <f t="array" ref="BZ49">IF(_xlfn.XLOOKUP($E49,$AY1:$AY108,$AZ1:$AZ108,"-",0)=BZ46,$E49,"-")</f>
        <v>-</v>
      </c>
      <c r="CA49" s="110" cm="1">
        <f t="array" ref="CA49">$F49</f>
        <v>2</v>
      </c>
      <c r="CB49" s="110" cm="1">
        <f t="array" ref="CB49">$G49</f>
        <v>0</v>
      </c>
      <c r="CC49" s="109" t="str" cm="1">
        <f t="array" ref="CC49">IF(_xlfn.XLOOKUP($H49,$AY1:$AY108,$AZ1:$AZ108,"-",0)=BZ46,$H49,"-")</f>
        <v>-</v>
      </c>
      <c r="CD49" s="74"/>
      <c r="CE49" s="79" t="str" cm="1">
        <f t="array" ref="CE49">BK49</f>
        <v>Japon</v>
      </c>
      <c r="CF49" s="111" cm="1">
        <f t="array" ref="CF49">COUNTIFS($BY1:$BY108,"OK",$CC1:$CC108,CE49)+COUNTIFS($BY1:$BY108,"OK",$BZ1:$BZ108,CE49)</f>
        <v>0</v>
      </c>
      <c r="CG49" s="112" cm="1">
        <f t="array" ref="CG49">COUNTIFS(P1:P108,$BK49,$BY1:$BY108,"OK")</f>
        <v>0</v>
      </c>
      <c r="CH49" s="112" cm="1">
        <f t="array" ref="CH49">COUNTIFS(K1:K108,$BK49,$BY1:$BY108,"OK")+COUNTIFS(L1:L108,$BK49,$BY1:$BY108,"OK")</f>
        <v>0</v>
      </c>
      <c r="CI49" s="112" cm="1">
        <f t="array" ref="CI49">COUNTIFS(M1:M108,$CE49,$BY1:$BY108,"OK")</f>
        <v>0</v>
      </c>
      <c r="CJ49" s="112" cm="1">
        <f t="array" ref="CJ49">CK49-CL49</f>
        <v>0</v>
      </c>
      <c r="CK49" s="112" cm="1">
        <f t="array" ref="CK49">SUMIFS(CA1:CA108,$BY1:$BY108,"OK",BZ1:BZ108,$BK49)+SUMIFS(CB1:CB108,$BY1:$BY108,"OK",CC1:CC108,$BK49)</f>
        <v>0</v>
      </c>
      <c r="CL49" s="112" cm="1">
        <f t="array" ref="CL49">SUMIFS(CB1:CB108,$BY1:$BY108,"OK",BZ1:BZ108,$BK49)+SUMIFS(CA1:CA108,$BY1:$BY108,"OK",CC1:CC108,$BK49)</f>
        <v>0</v>
      </c>
      <c r="CM49" s="113" cm="1">
        <f t="array" ref="CM49">CG49*3+CH49*1+CJ49/100+CK49/10000</f>
        <v>0</v>
      </c>
      <c r="CN49" s="107" cm="1">
        <f t="array" ref="CN49">IF(CF49=0,0,_xlfn.XLOOKUP(CM49,CP48:CP51,CQ48:CQ51))</f>
        <v>0</v>
      </c>
      <c r="CO49" s="99"/>
      <c r="CP49" s="113" cm="1">
        <f t="array" ref="CP49">LARGE(CM48:CM51,2)</f>
        <v>0</v>
      </c>
      <c r="CQ49" s="112" cm="1">
        <f t="array" ref="CQ49">CR49/$BW$1</f>
        <v>0.2</v>
      </c>
      <c r="CR49" s="114">
        <v>2</v>
      </c>
      <c r="CS49" s="74"/>
      <c r="CT49" s="74"/>
      <c r="CU49" s="74"/>
      <c r="CV49" s="74"/>
      <c r="CW49" s="74"/>
      <c r="CX49" s="172"/>
    </row>
    <row r="50" spans="1:102" ht="14.25" customHeight="1">
      <c r="A50" s="85" t="s">
        <v>176</v>
      </c>
      <c r="B50" s="86">
        <v>46193</v>
      </c>
      <c r="C50" s="87"/>
      <c r="D50" s="88"/>
      <c r="E50" s="85" t="s">
        <v>54</v>
      </c>
      <c r="F50" s="89">
        <v>2</v>
      </c>
      <c r="G50" s="89">
        <v>0</v>
      </c>
      <c r="H50" s="90" t="s">
        <v>70</v>
      </c>
      <c r="I50" s="65"/>
      <c r="J50" s="65" t="str" cm="1">
        <f t="array" ref="J50">IF(OR(ISBLANK(F50),ISBLANK(G50)),"",IF(F50&gt;G50,E50,IF(G50&gt;F50,H50,"")))</f>
        <v>Paises Bajos</v>
      </c>
      <c r="K50" s="65" t="str" cm="1">
        <f t="array" ref="K50">IF(OR(ISBLANK(F50),ISBLANK(G50)),"",IF(F50=G50,E50,""))</f>
        <v/>
      </c>
      <c r="L50" s="65" t="str" cm="1">
        <f t="array" ref="L50">IF(OR(ISBLANK(F50),ISBLANK(G50)),"",IF(F50=G50,H50,""))</f>
        <v/>
      </c>
      <c r="M50" s="65" t="str" cm="1">
        <f t="array" ref="M50">IF(OR(ISBLANK(F50),ISBLANK(G50)),"",IF(F50&lt;G50,E50,IF(G50&lt;F50,H50,"")))</f>
        <v>Suecia</v>
      </c>
      <c r="N50" s="65"/>
      <c r="O50" s="67" t="str" cm="1">
        <f t="array" ref="O50">E49</f>
        <v>Suecia</v>
      </c>
      <c r="P50" s="91" cm="1">
        <f t="array" ref="P50">COUNTIF(J48:J53,"="&amp;$O50)</f>
        <v>1</v>
      </c>
      <c r="Q50" s="91" cm="1">
        <f t="array" ref="Q50">COUNTIF(K48:L53,"="&amp;$O50)</f>
        <v>1</v>
      </c>
      <c r="R50" s="91" cm="1">
        <f t="array" ref="R50">COUNTIF(M48:M53,"="&amp;$O50)</f>
        <v>1</v>
      </c>
      <c r="S50" s="91" cm="1">
        <f t="array" ref="S50">T50-U50</f>
        <v>0</v>
      </c>
      <c r="T50" s="91" cm="1">
        <f t="array" ref="T50">SUMIF(E48:E53,$O50,F48:F53)+SUMIF(H48:H53,$O50,G48:G53)</f>
        <v>3</v>
      </c>
      <c r="U50" s="91" cm="1">
        <f t="array" ref="U50">SUMIF(E48:E53,$O50,G48:G53)+SUMIF(H48:H53,$O50,F48:F53)</f>
        <v>3</v>
      </c>
      <c r="V50" s="92" cm="1">
        <f t="array" ref="V50">P50*3+Q50*1+BT50+CN50+S50/1000+T50/10000+AV50/1000000+ROW()/10000000</f>
        <v>4.3003049999999998</v>
      </c>
      <c r="W50" s="67" t="str" cm="1">
        <f t="array" ref="W50">O50</f>
        <v>Suecia</v>
      </c>
      <c r="X50" s="65"/>
      <c r="Y50" s="125" t="str" cm="1">
        <f t="array" ref="Y50">CONCATENATE("3",RIGHT(E47,1))</f>
        <v>3F</v>
      </c>
      <c r="Z50" s="126" t="str" cm="1">
        <f t="array" ref="Z50">VLOOKUP(AL50,V48:W51,2,FALSE)</f>
        <v>Suecia</v>
      </c>
      <c r="AA50" s="127" cm="1">
        <f t="array" ref="AA50">SUM(AB50:AD50)</f>
        <v>3</v>
      </c>
      <c r="AB50" s="128" cm="1">
        <f t="array" ref="AB50">VLOOKUP($Z50,$O$48:$U$51,COLUMN()-26,FALSE)</f>
        <v>1</v>
      </c>
      <c r="AC50" s="128" cm="1">
        <f t="array" ref="AC50">VLOOKUP($Z50,$O$48:$U$51,COLUMN()-26,FALSE)</f>
        <v>1</v>
      </c>
      <c r="AD50" s="128" cm="1">
        <f t="array" ref="AD50">VLOOKUP($Z50,$O$48:$U$51,COLUMN()-26,FALSE)</f>
        <v>1</v>
      </c>
      <c r="AE50" s="128" cm="1">
        <f t="array" ref="AE50">VLOOKUP($Z50,$O$48:$U$51,COLUMN()-26,FALSE)</f>
        <v>0</v>
      </c>
      <c r="AF50" s="128" cm="1">
        <f t="array" ref="AF50">VLOOKUP($Z50,$O$48:$U$51,COLUMN()-26,FALSE)</f>
        <v>3</v>
      </c>
      <c r="AG50" s="128" cm="1">
        <f t="array" ref="AG50">VLOOKUP($Z50,$O$48:$U$51,COLUMN()-26,FALSE)</f>
        <v>3</v>
      </c>
      <c r="AH50" s="129" cm="1">
        <f t="array" ref="AH50">VLOOKUP($Z50,$O$48:$V$51,COLUMN()-26,FALSE)</f>
        <v>4.3003049999999998</v>
      </c>
      <c r="AI50" s="130" cm="1">
        <f t="array" ref="AI50">(COUNTIFS($CV$2:$CV$13,Z50,$CX$2:$CX$13,"IN")+COUNTIFS($CV$2:$CV$13,Z50,$CW$2:$CW$13,"IN"))*IF(SUM(AA48:AA51)=12,1,0)</f>
        <v>1</v>
      </c>
      <c r="AJ50" s="74"/>
      <c r="AK50" s="74"/>
      <c r="AL50" s="99" cm="1">
        <f t="array" ref="AL50">LARGE(V48:V51,3)</f>
        <v>4.3003049999999998</v>
      </c>
      <c r="AM50" s="100" cm="1">
        <f t="array" ref="AM50">(AH50-AL50)*100000000000000000000</f>
        <v>0</v>
      </c>
      <c r="AN50" s="74"/>
      <c r="AO50" s="74"/>
      <c r="AP50" s="101" t="str" cm="1">
        <f t="array" ref="AP50">O50</f>
        <v>Suecia</v>
      </c>
      <c r="AQ50" s="102" cm="1">
        <f t="array" ref="AQ50">P50*3+Q50*1+BT50+CN50+S50/1000+T50/10000</f>
        <v>4.3003</v>
      </c>
      <c r="AR50" s="102" t="b" cm="1">
        <f t="array" ref="AR50">IF(OR(AQ50=AQ51),1)</f>
        <v>0</v>
      </c>
      <c r="AS50" s="103" cm="1">
        <f t="array" ref="AS50">AV50</f>
        <v>0</v>
      </c>
      <c r="AT50" s="103" cm="1">
        <f t="array" ref="AT50">IF(AND(AM52="si",OR(AR48=1,AR49=1,AR50=1)),1,0)</f>
        <v>0</v>
      </c>
      <c r="AU50" s="122" t="str" cm="1">
        <f t="array" ref="AU50">O50</f>
        <v>Suecia</v>
      </c>
      <c r="AV50" s="101"/>
      <c r="AW50" s="106"/>
      <c r="AX50" s="74" t="str" cm="1">
        <f t="array" ref="AX50">Y47</f>
        <v>Grupo F</v>
      </c>
      <c r="AY50" s="76" t="str" cm="1">
        <f t="array" ref="AY50">O50</f>
        <v>Suecia</v>
      </c>
      <c r="AZ50" s="107" cm="1">
        <f t="array" ref="AZ50">P50*3+Q50</f>
        <v>4</v>
      </c>
      <c r="BA50" s="107" cm="1">
        <f t="array" ref="BA50">COUNTIFS($AX$1:AX50,AX50,$AZ$1:AZ50,AZ50)</f>
        <v>2</v>
      </c>
      <c r="BB50" s="107" cm="1">
        <f t="array" ref="BB50">IF(AZ50=BF46,ROW()*0.001,AZ50)</f>
        <v>0.05</v>
      </c>
      <c r="BC50" s="107" cm="1">
        <f t="array" ref="BC50">COUNTIFS($AX$1:AZ50,AZ50,$AZ$1:BB50,BB50)</f>
        <v>1</v>
      </c>
      <c r="BD50" s="107"/>
      <c r="BE50" s="108" t="str" cm="1">
        <f t="array" ref="BE50">IF(OR(BF50="-",BI50="-",BF46=0),"-","OK")</f>
        <v>-</v>
      </c>
      <c r="BF50" s="109" t="str" cm="1">
        <f t="array" ref="BF50">IF(_xlfn.XLOOKUP($E50,$AY1:$AY108,$AZ1:$AZ108,"-",0)=BF46,$E50,"-")</f>
        <v>-</v>
      </c>
      <c r="BG50" s="110" cm="1">
        <f t="array" ref="BG50">$F50</f>
        <v>2</v>
      </c>
      <c r="BH50" s="110" cm="1">
        <f t="array" ref="BH50">$G50</f>
        <v>0</v>
      </c>
      <c r="BI50" s="109" t="str" cm="1">
        <f t="array" ref="BI50">IF(_xlfn.XLOOKUP($H50,$AY1:$AY108,$AZ1:$AZ108,"-",0)=BF46,$H50,"-")</f>
        <v>Suecia</v>
      </c>
      <c r="BJ50" s="74"/>
      <c r="BK50" s="79" t="str" cm="1">
        <f t="array" ref="BK50">O50</f>
        <v>Suecia</v>
      </c>
      <c r="BL50" s="111" cm="1">
        <f t="array" ref="BL50">COUNTIFS($BE1:$BE108,"OK",$BI1:$BI108,BK50)+COUNTIFS($BE1:$BE108,"OK",$BF1:$BF108,BK50)</f>
        <v>1</v>
      </c>
      <c r="BM50" s="112" cm="1">
        <f t="array" ref="BM50">COUNTIFS(J1:J108,$BK50,$BE1:$BE108,"OK")</f>
        <v>0</v>
      </c>
      <c r="BN50" s="112" cm="1">
        <f t="array" ref="BN50">COUNTIFS(K1:K108,$BK50,$BE1:$BE108,"OK")+COUNTIFS(L1:L108,$BK50,$BE1:$BE108,"OK")</f>
        <v>1</v>
      </c>
      <c r="BO50" s="112" cm="1">
        <f t="array" ref="BO50">COUNTIFS(M1:M108,$BK50,$BE1:$BE108,"OK")</f>
        <v>0</v>
      </c>
      <c r="BP50" s="112" cm="1">
        <f t="array" ref="BP50">BQ50-BR50</f>
        <v>0</v>
      </c>
      <c r="BQ50" s="112" cm="1">
        <f t="array" ref="BQ50">SUMIFS(BG1:BG108,$BE1:$BE108,"OK",BF1:BF108,$BK50)+SUMIFS(BH1:BH108,$BE1:$BE108,"OK",BI1:BI108,$BK50)</f>
        <v>1</v>
      </c>
      <c r="BR50" s="112" cm="1">
        <f t="array" ref="BR50">SUMIFS(BH1:BH108,$BE1:$BE108,"OK",BF1:BF108,$BK50)+SUMIFS(BG1:BG108,$BE1:$BE108,"OK",BI1:BI108,$BK50)</f>
        <v>1</v>
      </c>
      <c r="BS50" s="113" cm="1">
        <f t="array" ref="BS50">BM50*3+BN50*1+BP50/100+BQ50/10000</f>
        <v>1.0001</v>
      </c>
      <c r="BT50" s="107" cm="1">
        <f t="array" ref="BT50">IF(BL50=0,0,_xlfn.XLOOKUP(BS50,BV48:BV51,BW48:BW51))</f>
        <v>0.3</v>
      </c>
      <c r="BU50" s="99"/>
      <c r="BV50" s="113" cm="1">
        <f t="array" ref="BV50">LARGE(BS48:BS51,3)</f>
        <v>0</v>
      </c>
      <c r="BW50" s="112" cm="1">
        <f t="array" ref="BW50">BX50/$BW$1</f>
        <v>0.1</v>
      </c>
      <c r="BX50" s="114">
        <v>1</v>
      </c>
      <c r="BY50" s="108" t="str" cm="1">
        <f t="array" ref="BY50">IF(OR(BZ50="-",CC50="-"),"-","OK")</f>
        <v>-</v>
      </c>
      <c r="BZ50" s="109" t="str" cm="1">
        <f t="array" ref="BZ50">IF(_xlfn.XLOOKUP($E50,$AY1:$AY108,$AZ1:$AZ108,"-",0)=BZ46,$E50,"-")</f>
        <v>Paises Bajos</v>
      </c>
      <c r="CA50" s="110" cm="1">
        <f t="array" ref="CA50">$F50</f>
        <v>2</v>
      </c>
      <c r="CB50" s="110" cm="1">
        <f t="array" ref="CB50">$G50</f>
        <v>0</v>
      </c>
      <c r="CC50" s="109" t="str" cm="1">
        <f t="array" ref="CC50">IF(_xlfn.XLOOKUP($H50,$AY1:$AY108,$AZ1:$AZ108,"-",0)=BZ46,$H50,"-")</f>
        <v>-</v>
      </c>
      <c r="CD50" s="74"/>
      <c r="CE50" s="79" t="str" cm="1">
        <f t="array" ref="CE50">BK50</f>
        <v>Suecia</v>
      </c>
      <c r="CF50" s="111" cm="1">
        <f t="array" ref="CF50">COUNTIFS($BY1:$BY108,"OK",$CC1:$CC108,CE50)+COUNTIFS($BY1:$BY108,"OK",$BZ1:$BZ108,CE50)</f>
        <v>0</v>
      </c>
      <c r="CG50" s="112" cm="1">
        <f t="array" ref="CG50">COUNTIFS(P1:P108,$BK50,$BY1:$BY108,"OK")</f>
        <v>0</v>
      </c>
      <c r="CH50" s="112" cm="1">
        <f t="array" ref="CH50">COUNTIFS(K1:K108,$BK50,$BY1:$BY108,"OK")+COUNTIFS(L1:L108,$BK50,$BY1:$BY108,"OK")</f>
        <v>0</v>
      </c>
      <c r="CI50" s="112" cm="1">
        <f t="array" ref="CI50">COUNTIFS(M1:M108,$CE50,$BY1:$BY108,"OK")</f>
        <v>0</v>
      </c>
      <c r="CJ50" s="112" cm="1">
        <f t="array" ref="CJ50">CK50-CL50</f>
        <v>0</v>
      </c>
      <c r="CK50" s="112" cm="1">
        <f t="array" ref="CK50">SUMIFS(CA1:CA108,$BY1:$BY108,"OK",BZ1:BZ108,$BK50)+SUMIFS(CB1:CB108,$BY1:$BY108,"OK",CC1:CC108,$BK50)</f>
        <v>0</v>
      </c>
      <c r="CL50" s="112" cm="1">
        <f t="array" ref="CL50">SUMIFS(CB1:CB108,$BY1:$BY108,"OK",BZ1:BZ108,$BK50)+SUMIFS(CA1:CA108,$BY1:$BY108,"OK",CC1:CC108,$BK50)</f>
        <v>0</v>
      </c>
      <c r="CM50" s="113" cm="1">
        <f t="array" ref="CM50">CG50*3+CH50*1+CJ50/100+CK50/10000</f>
        <v>0</v>
      </c>
      <c r="CN50" s="107" cm="1">
        <f t="array" ref="CN50">IF(CF50=0,0,_xlfn.XLOOKUP(CM50,CP48:CP51,CQ48:CQ51))</f>
        <v>0</v>
      </c>
      <c r="CO50" s="99"/>
      <c r="CP50" s="113" cm="1">
        <f t="array" ref="CP50">LARGE(CM48:CM51,3)</f>
        <v>0</v>
      </c>
      <c r="CQ50" s="112" cm="1">
        <f t="array" ref="CQ50">CR50/$BW$1</f>
        <v>0.1</v>
      </c>
      <c r="CR50" s="114">
        <v>1</v>
      </c>
      <c r="CS50" s="74"/>
      <c r="CT50" s="74"/>
      <c r="CU50" s="74"/>
      <c r="CV50" s="74"/>
      <c r="CW50" s="74"/>
      <c r="CX50" s="172"/>
    </row>
    <row r="51" spans="1:102" ht="14.25" customHeight="1">
      <c r="A51" s="85" t="s">
        <v>178</v>
      </c>
      <c r="B51" s="86">
        <v>46194</v>
      </c>
      <c r="C51" s="87"/>
      <c r="D51" s="88"/>
      <c r="E51" s="85" t="s">
        <v>81</v>
      </c>
      <c r="F51" s="89">
        <v>0</v>
      </c>
      <c r="G51" s="89">
        <v>2</v>
      </c>
      <c r="H51" s="90" t="s">
        <v>64</v>
      </c>
      <c r="I51" s="65"/>
      <c r="J51" s="65" t="str" cm="1">
        <f t="array" ref="J51">IF(OR(ISBLANK(F51),ISBLANK(G51)),"",IF(F51&gt;G51,E51,IF(G51&gt;F51,H51,"")))</f>
        <v>Japon</v>
      </c>
      <c r="K51" s="65" t="str" cm="1">
        <f t="array" ref="K51">IF(OR(ISBLANK(F51),ISBLANK(G51)),"",IF(F51=G51,E51,""))</f>
        <v/>
      </c>
      <c r="L51" s="65" t="str" cm="1">
        <f t="array" ref="L51">IF(OR(ISBLANK(F51),ISBLANK(G51)),"",IF(F51=G51,H51,""))</f>
        <v/>
      </c>
      <c r="M51" s="65" t="str" cm="1">
        <f t="array" ref="M51">IF(OR(ISBLANK(F51),ISBLANK(G51)),"",IF(F51&lt;G51,E51,IF(G51&lt;F51,H51,"")))</f>
        <v>Tunez</v>
      </c>
      <c r="N51" s="65"/>
      <c r="O51" s="67" t="str" cm="1">
        <f t="array" ref="O51">H49</f>
        <v>Tunez</v>
      </c>
      <c r="P51" s="91" cm="1">
        <f t="array" ref="P51">COUNTIF(J48:J53,"="&amp;$O51)</f>
        <v>0</v>
      </c>
      <c r="Q51" s="91" cm="1">
        <f t="array" ref="Q51">COUNTIF(K48:L53,"="&amp;$O51)</f>
        <v>0</v>
      </c>
      <c r="R51" s="91" cm="1">
        <f t="array" ref="R51">COUNTIF(M48:M53,"="&amp;$O51)</f>
        <v>3</v>
      </c>
      <c r="S51" s="91" cm="1">
        <f t="array" ref="S51">T51-U51</f>
        <v>-6</v>
      </c>
      <c r="T51" s="91" cm="1">
        <f t="array" ref="T51">SUMIF(E48:E53,$O51,F48:F53)+SUMIF(H48:H53,$O51,G48:G53)</f>
        <v>0</v>
      </c>
      <c r="U51" s="91" cm="1">
        <f t="array" ref="U51">SUMIF(E48:E53,$O51,G48:G53)+SUMIF(H48:H53,$O51,F48:F53)</f>
        <v>6</v>
      </c>
      <c r="V51" s="92" cm="1">
        <f t="array" ref="V51">P51*3+Q51*1+BT51+CN51+S51/1000+T51/10000+AV51/1000000+ROW()/10000000</f>
        <v>-5.9949000000000001E-3</v>
      </c>
      <c r="W51" s="67" t="str" cm="1">
        <f t="array" ref="W51">O51</f>
        <v>Tunez</v>
      </c>
      <c r="X51" s="65"/>
      <c r="Y51" s="131" t="str" cm="1">
        <f t="array" ref="Y51">CONCATENATE("4",RIGHT(E47,1))</f>
        <v>4F</v>
      </c>
      <c r="Z51" s="132" t="str" cm="1">
        <f t="array" ref="Z51">VLOOKUP(AL51,V48:W51,2,FALSE)</f>
        <v>Tunez</v>
      </c>
      <c r="AA51" s="133" cm="1">
        <f t="array" ref="AA51">SUM(AB51:AD51)</f>
        <v>3</v>
      </c>
      <c r="AB51" s="134" cm="1">
        <f t="array" ref="AB51">VLOOKUP($Z51,$O$48:$U$51,COLUMN()-26,FALSE)</f>
        <v>0</v>
      </c>
      <c r="AC51" s="134" cm="1">
        <f t="array" ref="AC51">VLOOKUP($Z51,$O$48:$U$51,COLUMN()-26,FALSE)</f>
        <v>0</v>
      </c>
      <c r="AD51" s="134" cm="1">
        <f t="array" ref="AD51">VLOOKUP($Z51,$O$48:$U$51,COLUMN()-26,FALSE)</f>
        <v>3</v>
      </c>
      <c r="AE51" s="134" cm="1">
        <f t="array" ref="AE51">VLOOKUP($Z51,$O$48:$U$51,COLUMN()-26,FALSE)</f>
        <v>-6</v>
      </c>
      <c r="AF51" s="134" cm="1">
        <f t="array" ref="AF51">VLOOKUP($Z51,$O$48:$U$51,COLUMN()-26,FALSE)</f>
        <v>0</v>
      </c>
      <c r="AG51" s="134" cm="1">
        <f t="array" ref="AG51">VLOOKUP($Z51,$O$48:$U$51,COLUMN()-26,FALSE)</f>
        <v>6</v>
      </c>
      <c r="AH51" s="135" cm="1">
        <f t="array" ref="AH51">VLOOKUP($Z51,$O$48:$V$51,COLUMN()-26,FALSE)</f>
        <v>-5.9949000000000001E-3</v>
      </c>
      <c r="AI51" s="130"/>
      <c r="AJ51" s="74"/>
      <c r="AK51" s="74"/>
      <c r="AL51" s="99" cm="1">
        <f t="array" ref="AL51">LARGE(V48:V51,4)</f>
        <v>-5.9949000000000001E-3</v>
      </c>
      <c r="AM51" s="100" cm="1">
        <f t="array" ref="AM51">(AH51-AL51)*100000000000000000000</f>
        <v>0</v>
      </c>
      <c r="AN51" s="74"/>
      <c r="AO51" s="74"/>
      <c r="AP51" s="101" t="str" cm="1">
        <f t="array" ref="AP51">O51</f>
        <v>Tunez</v>
      </c>
      <c r="AQ51" s="102" cm="1">
        <f t="array" ref="AQ51">P51*3+Q51*1+BT51+CN51+S51/1000+T51/10000</f>
        <v>-6.0000000000000001E-3</v>
      </c>
      <c r="AR51" s="65"/>
      <c r="AS51" s="103" cm="1">
        <f t="array" ref="AS51">AV51</f>
        <v>0</v>
      </c>
      <c r="AT51" s="103" cm="1">
        <f t="array" ref="AT51">IF(AND(AM52="si",OR(AR48=1,AR49=1,AR50=1)),1,0)</f>
        <v>0</v>
      </c>
      <c r="AU51" s="136" t="str" cm="1">
        <f t="array" ref="AU51">O51</f>
        <v>Tunez</v>
      </c>
      <c r="AV51" s="137"/>
      <c r="AW51" s="106"/>
      <c r="AX51" s="74" t="str" cm="1">
        <f t="array" ref="AX51">Y47</f>
        <v>Grupo F</v>
      </c>
      <c r="AY51" s="76" t="str" cm="1">
        <f t="array" ref="AY51">O51</f>
        <v>Tunez</v>
      </c>
      <c r="AZ51" s="107" cm="1">
        <f t="array" ref="AZ51">P51*3+Q51</f>
        <v>0</v>
      </c>
      <c r="BA51" s="107" cm="1">
        <f t="array" ref="BA51">COUNTIFS($AX$1:AX51,AX51,$AZ$1:AZ51,AZ51)</f>
        <v>1</v>
      </c>
      <c r="BB51" s="107" cm="1">
        <f t="array" ref="BB51">IF(AZ51=BF46,ROW()*0.001,AZ51)</f>
        <v>0</v>
      </c>
      <c r="BC51" s="107" cm="1">
        <f t="array" ref="BC51">COUNTIFS($AX$1:AZ51,AZ51,$AZ$1:BB51,BB51)</f>
        <v>5</v>
      </c>
      <c r="BD51" s="107"/>
      <c r="BE51" s="108" t="str" cm="1">
        <f t="array" ref="BE51">IF(OR(BF51="-",BI51="-",BF46=0),"-","OK")</f>
        <v>-</v>
      </c>
      <c r="BF51" s="109" t="str" cm="1">
        <f t="array" ref="BF51">IF(_xlfn.XLOOKUP($E51,$AY1:$AY108,$AZ1:$AZ108,"-",0)=BF46,$E51,"-")</f>
        <v>-</v>
      </c>
      <c r="BG51" s="110" cm="1">
        <f t="array" ref="BG51">$F51</f>
        <v>0</v>
      </c>
      <c r="BH51" s="110" cm="1">
        <f t="array" ref="BH51">$G51</f>
        <v>2</v>
      </c>
      <c r="BI51" s="109" t="str" cm="1">
        <f t="array" ref="BI51">IF(_xlfn.XLOOKUP($H51,$AY1:$AY108,$AZ1:$AZ108,"-",0)=BF46,$H51,"-")</f>
        <v>Japon</v>
      </c>
      <c r="BJ51" s="74"/>
      <c r="BK51" s="79" t="str" cm="1">
        <f t="array" ref="BK51">O51</f>
        <v>Tunez</v>
      </c>
      <c r="BL51" s="111" cm="1">
        <f t="array" ref="BL51">COUNTIFS($BE1:$BE108,"OK",$BI1:$BI108,BK51)+COUNTIFS($BE1:$BE108,"OK",$BF1:$BF108,BK51)</f>
        <v>0</v>
      </c>
      <c r="BM51" s="112" cm="1">
        <f t="array" ref="BM51">COUNTIFS(J1:J108,$BK51,$BE1:$BE108,"OK")</f>
        <v>0</v>
      </c>
      <c r="BN51" s="112" cm="1">
        <f t="array" ref="BN51">COUNTIFS(K1:K108,$BK51,$BE1:$BE108,"OK")+COUNTIFS(L1:L108,$BK51,$BE1:$BE108,"OK")</f>
        <v>0</v>
      </c>
      <c r="BO51" s="112" cm="1">
        <f t="array" ref="BO51">COUNTIFS(M1:M108,$BK51,$BE1:$BE108,"OK")</f>
        <v>0</v>
      </c>
      <c r="BP51" s="112" cm="1">
        <f t="array" ref="BP51">BQ51-BR51</f>
        <v>0</v>
      </c>
      <c r="BQ51" s="112" cm="1">
        <f t="array" ref="BQ51">SUMIFS(BG1:BG108,$BE1:$BE108,"OK",BF1:BF108,$BK51)+SUMIFS(BH1:BH108,$BE1:$BE108,"OK",BI1:BI108,$BK51)</f>
        <v>0</v>
      </c>
      <c r="BR51" s="112" cm="1">
        <f t="array" ref="BR51">SUMIFS(BH1:BH108,$BE1:$BE108,"OK",BF1:BF108,$BK51)+SUMIFS(BG1:BG108,$BE1:$BE108,"OK",BI1:BI108,$BK51)</f>
        <v>0</v>
      </c>
      <c r="BS51" s="113" cm="1">
        <f t="array" ref="BS51">BM51*3+BN51*1+BP51/100+BQ51/10000</f>
        <v>0</v>
      </c>
      <c r="BT51" s="107" cm="1">
        <f t="array" ref="BT51">IF(BL51=0,0,_xlfn.XLOOKUP(BS51,BV48:BV51,BW48:BW51))</f>
        <v>0</v>
      </c>
      <c r="BU51" s="99"/>
      <c r="BV51" s="113" cm="1">
        <f t="array" ref="BV51">LARGE(BS48:BS51,4)</f>
        <v>0</v>
      </c>
      <c r="BW51" s="112" cm="1">
        <f t="array" ref="BW51">BX51/$BW$1</f>
        <v>0</v>
      </c>
      <c r="BX51" s="114">
        <v>0</v>
      </c>
      <c r="BY51" s="108" t="str" cm="1">
        <f t="array" ref="BY51">IF(OR(BZ51="-",CC51="-"),"-","OK")</f>
        <v>-</v>
      </c>
      <c r="BZ51" s="109" t="str" cm="1">
        <f t="array" ref="BZ51">IF(_xlfn.XLOOKUP($E51,$AY1:$AY108,$AZ1:$AZ108,"-",0)=BZ46,$E51,"-")</f>
        <v>-</v>
      </c>
      <c r="CA51" s="110" cm="1">
        <f t="array" ref="CA51">$F51</f>
        <v>0</v>
      </c>
      <c r="CB51" s="110" cm="1">
        <f t="array" ref="CB51">$G51</f>
        <v>2</v>
      </c>
      <c r="CC51" s="109" t="str" cm="1">
        <f t="array" ref="CC51">IF(_xlfn.XLOOKUP($H51,$AY1:$AY108,$AZ1:$AZ108,"-",0)=BZ46,$H51,"-")</f>
        <v>-</v>
      </c>
      <c r="CD51" s="74"/>
      <c r="CE51" s="79" t="str" cm="1">
        <f t="array" ref="CE51">BK51</f>
        <v>Tunez</v>
      </c>
      <c r="CF51" s="111" cm="1">
        <f t="array" ref="CF51">COUNTIFS($BY1:$BY108,"OK",$CC1:$CC108,CE51)+COUNTIFS($BY1:$BY108,"OK",$BZ1:$BZ108,CE51)</f>
        <v>0</v>
      </c>
      <c r="CG51" s="112" cm="1">
        <f t="array" ref="CG51">COUNTIFS(P1:P108,$BK51,$BY1:$BY108,"OK")</f>
        <v>0</v>
      </c>
      <c r="CH51" s="112" cm="1">
        <f t="array" ref="CH51">COUNTIFS(K1:K108,$BK51,$BY1:$BY108,"OK")+COUNTIFS(L1:L108,$BK51,$BY1:$BY108,"OK")</f>
        <v>0</v>
      </c>
      <c r="CI51" s="112" cm="1">
        <f t="array" ref="CI51">COUNTIFS(M1:M108,$CE51,$BY1:$BY108,"OK")</f>
        <v>0</v>
      </c>
      <c r="CJ51" s="112" cm="1">
        <f t="array" ref="CJ51">CK51-CL51</f>
        <v>0</v>
      </c>
      <c r="CK51" s="112" cm="1">
        <f t="array" ref="CK51">SUMIFS(CA1:CA108,$BY1:$BY108,"OK",BZ1:BZ108,$BK51)+SUMIFS(CB1:CB108,$BY1:$BY108,"OK",CC1:CC108,$BK51)</f>
        <v>0</v>
      </c>
      <c r="CL51" s="112" cm="1">
        <f t="array" ref="CL51">SUMIFS(CB1:CB108,$BY1:$BY108,"OK",BZ1:BZ108,$BK51)+SUMIFS(CA1:CA108,$BY1:$BY108,"OK",CC1:CC108,$BK51)</f>
        <v>0</v>
      </c>
      <c r="CM51" s="113" cm="1">
        <f t="array" ref="CM51">CG51*3+CH51*1+CJ51/100+CK51/10000</f>
        <v>0</v>
      </c>
      <c r="CN51" s="107" cm="1">
        <f t="array" ref="CN51">IF(CF51=0,0,_xlfn.XLOOKUP(CM51,CP48:CP51,CQ48:CQ51))</f>
        <v>0</v>
      </c>
      <c r="CO51" s="99"/>
      <c r="CP51" s="113" cm="1">
        <f t="array" ref="CP51">LARGE(CM48:CM51,4)</f>
        <v>0</v>
      </c>
      <c r="CQ51" s="112" cm="1">
        <f t="array" ref="CQ51">CR51/$BW$1</f>
        <v>0</v>
      </c>
      <c r="CR51" s="114">
        <v>0</v>
      </c>
      <c r="CS51" s="74"/>
      <c r="CT51" s="74"/>
      <c r="CU51" s="74"/>
      <c r="CV51" s="74"/>
      <c r="CW51" s="74"/>
      <c r="CX51" s="172"/>
    </row>
    <row r="52" spans="1:102" ht="14.25" customHeight="1">
      <c r="A52" s="85" t="s">
        <v>179</v>
      </c>
      <c r="B52" s="86">
        <v>46198</v>
      </c>
      <c r="C52" s="87"/>
      <c r="D52" s="88"/>
      <c r="E52" s="85" t="s">
        <v>64</v>
      </c>
      <c r="F52" s="89">
        <v>1</v>
      </c>
      <c r="G52" s="89">
        <v>1</v>
      </c>
      <c r="H52" s="90" t="s">
        <v>70</v>
      </c>
      <c r="I52" s="106"/>
      <c r="J52" s="74" t="str" cm="1">
        <f t="array" ref="J52">IF(OR(ISBLANK(F52),ISBLANK(G52)),"",IF(F52&gt;G52,E52,IF(G52&gt;F52,H52,"")))</f>
        <v/>
      </c>
      <c r="K52" s="74" t="str" cm="1">
        <f t="array" ref="K52">IF(OR(ISBLANK(F52),ISBLANK(G52)),"",IF(F52=G52,E52,""))</f>
        <v>Japon</v>
      </c>
      <c r="L52" s="74" t="str" cm="1">
        <f t="array" ref="L52">IF(OR(ISBLANK(F52),ISBLANK(G52)),"",IF(F52=G52,H52,""))</f>
        <v>Suecia</v>
      </c>
      <c r="M52" s="74" t="str" cm="1">
        <f t="array" ref="M52">IF(OR(ISBLANK(F52),ISBLANK(G52)),"",IF(F52&lt;G52,E52,IF(G52&lt;F52,H52,"")))</f>
        <v/>
      </c>
      <c r="N52" s="74"/>
      <c r="O52" s="74"/>
      <c r="P52" s="74"/>
      <c r="Q52" s="74"/>
      <c r="R52" s="74"/>
      <c r="S52" s="74"/>
      <c r="T52" s="74"/>
      <c r="U52" s="74"/>
      <c r="V52" s="74"/>
      <c r="W52" s="74"/>
      <c r="X52" s="74"/>
      <c r="Y52" s="138"/>
      <c r="Z52" s="138"/>
      <c r="AA52" s="138"/>
      <c r="AB52" s="138"/>
      <c r="AC52" s="138"/>
      <c r="AD52" s="138"/>
      <c r="AE52" s="138"/>
      <c r="AF52" s="138"/>
      <c r="AG52" s="138"/>
      <c r="AH52" s="138"/>
      <c r="AI52" s="74"/>
      <c r="AJ52" s="74"/>
      <c r="AK52" s="74"/>
      <c r="AL52" s="139" t="s">
        <v>128</v>
      </c>
      <c r="AM52" s="74" t="str" cm="1">
        <f t="array" ref="AM52">IF(SUM(AA48:AA51)=12,"si","no")</f>
        <v>si</v>
      </c>
      <c r="AN52" s="74"/>
      <c r="AO52" s="74"/>
      <c r="AP52" s="74"/>
      <c r="AQ52" s="74"/>
      <c r="AR52" s="74"/>
      <c r="AS52" s="74"/>
      <c r="AT52" s="74"/>
      <c r="AU52" s="138"/>
      <c r="AV52" s="138"/>
      <c r="AW52" s="74"/>
      <c r="AX52" s="74"/>
      <c r="AY52" s="74"/>
      <c r="AZ52" s="74"/>
      <c r="BA52" s="74"/>
      <c r="BB52" s="74"/>
      <c r="BC52" s="74"/>
      <c r="BD52" s="74"/>
      <c r="BE52" s="108" t="str" cm="1">
        <f t="array" ref="BE52">IF(OR(BF52="-",BI52="-",BF46=0),"-","OK")</f>
        <v>OK</v>
      </c>
      <c r="BF52" s="109" t="str" cm="1">
        <f t="array" ref="BF52">IF(_xlfn.XLOOKUP($E52,$AY1:$AY108,$AZ1:$AZ108,"-",0)=BF46,$E52,"-")</f>
        <v>Japon</v>
      </c>
      <c r="BG52" s="110" cm="1">
        <f t="array" ref="BG52">$F52</f>
        <v>1</v>
      </c>
      <c r="BH52" s="110" cm="1">
        <f t="array" ref="BH52">$G52</f>
        <v>1</v>
      </c>
      <c r="BI52" s="109" t="str" cm="1">
        <f t="array" ref="BI52">IF(_xlfn.XLOOKUP($H52,$AY1:$AY108,$AZ1:$AZ108,"-",0)=BF46,$H52,"-")</f>
        <v>Suecia</v>
      </c>
      <c r="BJ52" s="74"/>
      <c r="BK52" s="74"/>
      <c r="BL52" s="74"/>
      <c r="BM52" s="74"/>
      <c r="BN52" s="74"/>
      <c r="BO52" s="74"/>
      <c r="BP52" s="74"/>
      <c r="BQ52" s="74"/>
      <c r="BR52" s="74"/>
      <c r="BS52" s="74"/>
      <c r="BT52" s="74"/>
      <c r="BU52" s="74"/>
      <c r="BV52" s="74"/>
      <c r="BW52" s="74"/>
      <c r="BX52" s="74"/>
      <c r="BY52" s="108" t="str" cm="1">
        <f t="array" ref="BY52">IF(OR(BZ52="-",CC52="-"),"-","OK")</f>
        <v>-</v>
      </c>
      <c r="BZ52" s="109" t="str" cm="1">
        <f t="array" ref="BZ52">IF(_xlfn.XLOOKUP($E52,$AY1:$AY108,$AZ1:$AZ108,"-",0)=BZ46,$E52,"-")</f>
        <v>-</v>
      </c>
      <c r="CA52" s="110" cm="1">
        <f t="array" ref="CA52">$F52</f>
        <v>1</v>
      </c>
      <c r="CB52" s="110" cm="1">
        <f t="array" ref="CB52">$G52</f>
        <v>1</v>
      </c>
      <c r="CC52" s="109" t="str" cm="1">
        <f t="array" ref="CC52">IF(_xlfn.XLOOKUP($H52,$AY1:$AY108,$AZ1:$AZ108,"-",0)=BZ46,$H52,"-")</f>
        <v>-</v>
      </c>
      <c r="CD52" s="74"/>
      <c r="CE52" s="74"/>
      <c r="CF52" s="74"/>
      <c r="CG52" s="74"/>
      <c r="CH52" s="74"/>
      <c r="CI52" s="74"/>
      <c r="CJ52" s="74"/>
      <c r="CK52" s="74"/>
      <c r="CL52" s="74"/>
      <c r="CM52" s="74"/>
      <c r="CN52" s="74"/>
      <c r="CO52" s="74"/>
      <c r="CP52" s="74"/>
      <c r="CQ52" s="74"/>
      <c r="CR52" s="74"/>
      <c r="CS52" s="74"/>
      <c r="CT52" s="74"/>
      <c r="CU52" s="74"/>
      <c r="CV52" s="74"/>
      <c r="CW52" s="74"/>
      <c r="CX52" s="172"/>
    </row>
    <row r="53" spans="1:102" ht="14.25" customHeight="1">
      <c r="A53" s="85" t="s">
        <v>180</v>
      </c>
      <c r="B53" s="86">
        <v>46198</v>
      </c>
      <c r="C53" s="87"/>
      <c r="D53" s="88"/>
      <c r="E53" s="85" t="s">
        <v>81</v>
      </c>
      <c r="F53" s="89">
        <v>0</v>
      </c>
      <c r="G53" s="89">
        <v>2</v>
      </c>
      <c r="H53" s="90" t="s">
        <v>54</v>
      </c>
      <c r="I53" s="106"/>
      <c r="J53" s="74" t="str" cm="1">
        <f t="array" ref="J53">IF(OR(ISBLANK(F53),ISBLANK(G53)),"",IF(F53&gt;G53,E53,IF(G53&gt;F53,H53,"")))</f>
        <v>Paises Bajos</v>
      </c>
      <c r="K53" s="74" t="str" cm="1">
        <f t="array" ref="K53">IF(OR(ISBLANK(F53),ISBLANK(G53)),"",IF(F53=G53,E53,""))</f>
        <v/>
      </c>
      <c r="L53" s="74" t="str" cm="1">
        <f t="array" ref="L53">IF(OR(ISBLANK(F53),ISBLANK(G53)),"",IF(F53=G53,H53,""))</f>
        <v/>
      </c>
      <c r="M53" s="74" t="str" cm="1">
        <f t="array" ref="M53">IF(OR(ISBLANK(F53),ISBLANK(G53)),"",IF(F53&lt;G53,E53,IF(G53&lt;F53,H53,"")))</f>
        <v>Tunez</v>
      </c>
      <c r="N53" s="74"/>
      <c r="O53" s="74"/>
      <c r="P53" s="74"/>
      <c r="Q53" s="74"/>
      <c r="R53" s="74"/>
      <c r="S53" s="74"/>
      <c r="T53" s="74"/>
      <c r="U53" s="74"/>
      <c r="V53" s="74"/>
      <c r="W53" s="74"/>
      <c r="X53" s="74"/>
      <c r="Y53" s="140" t="s">
        <v>130</v>
      </c>
      <c r="Z53" s="74"/>
      <c r="AA53" s="74"/>
      <c r="AB53" s="74"/>
      <c r="AC53" s="74"/>
      <c r="AD53" s="74"/>
      <c r="AE53" s="74"/>
      <c r="AF53" s="74"/>
      <c r="AG53" s="74"/>
      <c r="AH53" s="74"/>
      <c r="AI53" s="74"/>
      <c r="AJ53" s="74"/>
      <c r="AK53" s="74"/>
      <c r="AL53" s="74"/>
      <c r="AM53" s="74"/>
      <c r="AN53" s="74"/>
      <c r="AO53" s="74"/>
      <c r="AP53" s="74"/>
      <c r="AQ53" s="74"/>
      <c r="AR53" s="114" cm="1">
        <f t="array" ref="AR53">IF(AND(AM52="si",OR(AR48=1,AR49=1,AR50=1)),1,0)</f>
        <v>0</v>
      </c>
      <c r="AS53" s="74"/>
      <c r="AT53" s="74"/>
      <c r="AU53" s="74"/>
      <c r="AV53" s="74"/>
      <c r="AW53" s="74"/>
      <c r="AX53" s="74"/>
      <c r="AY53" s="74"/>
      <c r="AZ53" s="74"/>
      <c r="BA53" s="74"/>
      <c r="BB53" s="74"/>
      <c r="BC53" s="74"/>
      <c r="BD53" s="74"/>
      <c r="BE53" s="108" t="str" cm="1">
        <f t="array" ref="BE53">IF(OR(BF53="-",BI53="-",BF46=0),"-","OK")</f>
        <v>-</v>
      </c>
      <c r="BF53" s="109" t="str" cm="1">
        <f t="array" ref="BF53">IF(_xlfn.XLOOKUP($E53,$AY1:$AY108,$AZ1:$AZ108,"-",0)=BF46,$E53,"-")</f>
        <v>-</v>
      </c>
      <c r="BG53" s="110" cm="1">
        <f t="array" ref="BG53">$F53</f>
        <v>0</v>
      </c>
      <c r="BH53" s="110" cm="1">
        <f t="array" ref="BH53">$G53</f>
        <v>2</v>
      </c>
      <c r="BI53" s="109" t="str" cm="1">
        <f t="array" ref="BI53">IF(_xlfn.XLOOKUP($H53,$AY1:$AY108,$AZ1:$AZ108,"-",0)=BF46,$H53,"-")</f>
        <v>-</v>
      </c>
      <c r="BJ53" s="74"/>
      <c r="BK53" s="74"/>
      <c r="BL53" s="74"/>
      <c r="BM53" s="74"/>
      <c r="BN53" s="74"/>
      <c r="BO53" s="74"/>
      <c r="BP53" s="74"/>
      <c r="BQ53" s="74"/>
      <c r="BR53" s="74"/>
      <c r="BS53" s="74"/>
      <c r="BT53" s="74"/>
      <c r="BU53" s="74"/>
      <c r="BV53" s="74"/>
      <c r="BW53" s="74"/>
      <c r="BX53" s="74"/>
      <c r="BY53" s="108" t="str" cm="1">
        <f t="array" ref="BY53">IF(OR(BZ53="-",CC53="-"),"-","OK")</f>
        <v>-</v>
      </c>
      <c r="BZ53" s="109" t="str" cm="1">
        <f t="array" ref="BZ53">IF(_xlfn.XLOOKUP($E53,$AY1:$AY108,$AZ1:$AZ108,"-",0)=BZ46,$E53,"-")</f>
        <v>-</v>
      </c>
      <c r="CA53" s="110" cm="1">
        <f t="array" ref="CA53">$F53</f>
        <v>0</v>
      </c>
      <c r="CB53" s="110" cm="1">
        <f t="array" ref="CB53">$G53</f>
        <v>2</v>
      </c>
      <c r="CC53" s="109" t="str" cm="1">
        <f t="array" ref="CC53">IF(_xlfn.XLOOKUP($H53,$AY1:$AY108,$AZ1:$AZ108,"-",0)=BZ46,$H53,"-")</f>
        <v>Paises Bajos</v>
      </c>
      <c r="CD53" s="74"/>
      <c r="CE53" s="74"/>
      <c r="CF53" s="74"/>
      <c r="CG53" s="74"/>
      <c r="CH53" s="74"/>
      <c r="CI53" s="74"/>
      <c r="CJ53" s="74"/>
      <c r="CK53" s="74"/>
      <c r="CL53" s="74"/>
      <c r="CM53" s="74"/>
      <c r="CN53" s="74"/>
      <c r="CO53" s="74"/>
      <c r="CP53" s="74"/>
      <c r="CQ53" s="74"/>
      <c r="CR53" s="74"/>
      <c r="CS53" s="74"/>
      <c r="CT53" s="74"/>
      <c r="CU53" s="74"/>
      <c r="CV53" s="74"/>
      <c r="CW53" s="74"/>
      <c r="CX53" s="172"/>
    </row>
    <row r="54" spans="1:102" ht="14.25" customHeight="1">
      <c r="A54" s="141"/>
      <c r="B54" s="142"/>
      <c r="C54" s="143"/>
      <c r="D54" s="144"/>
      <c r="E54" s="145"/>
      <c r="F54" s="143"/>
      <c r="G54" s="143"/>
      <c r="H54" s="146"/>
      <c r="I54" s="78"/>
      <c r="J54" s="77"/>
      <c r="K54" s="77"/>
      <c r="L54" s="77"/>
      <c r="M54" s="77"/>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78"/>
      <c r="AZ54" s="78"/>
      <c r="BA54" s="78"/>
      <c r="BB54" s="78"/>
      <c r="BC54" s="78"/>
      <c r="BD54" s="78"/>
      <c r="BE54" s="77"/>
      <c r="BF54" s="144"/>
      <c r="BG54" s="144"/>
      <c r="BH54" s="144"/>
      <c r="BI54" s="144"/>
      <c r="BJ54" s="78"/>
      <c r="BK54" s="78"/>
      <c r="BL54" s="78"/>
      <c r="BM54" s="78"/>
      <c r="BN54" s="78"/>
      <c r="BO54" s="78"/>
      <c r="BP54" s="78"/>
      <c r="BQ54" s="78"/>
      <c r="BR54" s="78"/>
      <c r="BS54" s="78"/>
      <c r="BT54" s="78"/>
      <c r="BU54" s="78"/>
      <c r="BV54" s="78"/>
      <c r="BW54" s="78"/>
      <c r="BX54" s="78"/>
      <c r="BY54" s="78"/>
      <c r="BZ54" s="144"/>
      <c r="CA54" s="144"/>
      <c r="CB54" s="144"/>
      <c r="CC54" s="144"/>
      <c r="CD54" s="78"/>
      <c r="CE54" s="78"/>
      <c r="CF54" s="78"/>
      <c r="CG54" s="78"/>
      <c r="CH54" s="78"/>
      <c r="CI54" s="78"/>
      <c r="CJ54" s="78"/>
      <c r="CK54" s="78"/>
      <c r="CL54" s="78"/>
      <c r="CM54" s="78"/>
      <c r="CN54" s="78"/>
      <c r="CO54" s="78"/>
      <c r="CP54" s="78"/>
      <c r="CQ54" s="78"/>
      <c r="CR54" s="78"/>
      <c r="CS54" s="78"/>
      <c r="CT54" s="78"/>
      <c r="CU54" s="78"/>
      <c r="CV54" s="78"/>
      <c r="CW54" s="77"/>
      <c r="CX54" s="174"/>
    </row>
    <row r="55" spans="1:102" ht="14.25" customHeight="1">
      <c r="A55" s="150"/>
      <c r="B55" s="144"/>
      <c r="C55" s="144"/>
      <c r="D55" s="144"/>
      <c r="E55" s="144"/>
      <c r="F55" s="144"/>
      <c r="G55" s="144"/>
      <c r="H55" s="144"/>
      <c r="I55" s="138"/>
      <c r="J55" s="138"/>
      <c r="K55" s="138"/>
      <c r="L55" s="138"/>
      <c r="M55" s="138"/>
      <c r="N55" s="138"/>
      <c r="O55" s="138"/>
      <c r="P55" s="138"/>
      <c r="Q55" s="138"/>
      <c r="R55" s="138"/>
      <c r="S55" s="138"/>
      <c r="T55" s="138"/>
      <c r="U55" s="138"/>
      <c r="V55" s="138"/>
      <c r="W55" s="138"/>
      <c r="X55" s="138"/>
      <c r="Y55" s="144"/>
      <c r="Z55" s="144"/>
      <c r="AA55" s="144"/>
      <c r="AB55" s="144"/>
      <c r="AC55" s="144"/>
      <c r="AD55" s="144"/>
      <c r="AE55" s="144"/>
      <c r="AF55" s="144"/>
      <c r="AG55" s="144"/>
      <c r="AH55" s="144"/>
      <c r="AI55" s="138"/>
      <c r="AJ55" s="138"/>
      <c r="AK55" s="138"/>
      <c r="AL55" s="138"/>
      <c r="AM55" s="138"/>
      <c r="AN55" s="138"/>
      <c r="AO55" s="138"/>
      <c r="AP55" s="138"/>
      <c r="AQ55" s="138"/>
      <c r="AR55" s="138"/>
      <c r="AS55" s="138"/>
      <c r="AT55" s="138"/>
      <c r="AU55" s="138"/>
      <c r="AV55" s="138"/>
      <c r="AW55" s="138"/>
      <c r="AX55" s="138"/>
      <c r="AY55" s="138"/>
      <c r="AZ55" s="138"/>
      <c r="BA55" s="138"/>
      <c r="BB55" s="138"/>
      <c r="BC55" s="138"/>
      <c r="BD55" s="138"/>
      <c r="BE55" s="138"/>
      <c r="BF55" s="151" cm="1">
        <f t="array" ref="BF55">IF(BA57&gt;1,AZ57,IF(BA58&gt;1,AZ58,IF(BA59&gt;1,AZ59,IF(BA60&gt;1,AZ60,"-"))))</f>
        <v>1</v>
      </c>
      <c r="BG55" s="138"/>
      <c r="BH55" s="138"/>
      <c r="BI55" s="138"/>
      <c r="BJ55" s="138"/>
      <c r="BK55" s="138"/>
      <c r="BL55" s="138"/>
      <c r="BM55" s="138"/>
      <c r="BN55" s="138"/>
      <c r="BO55" s="138"/>
      <c r="BP55" s="138"/>
      <c r="BQ55" s="138"/>
      <c r="BR55" s="138"/>
      <c r="BS55" s="138"/>
      <c r="BT55" s="138"/>
      <c r="BU55" s="138"/>
      <c r="BV55" s="138"/>
      <c r="BW55" s="152">
        <v>10</v>
      </c>
      <c r="BX55" s="138"/>
      <c r="BY55" s="138"/>
      <c r="BZ55" s="153" cm="1">
        <f t="array" ref="BZ55">IF(BC57&gt;1,BB57,IF(BC58&gt;1,BB58,IF(BC59&gt;1,BB59,IF(BC60&gt;1,BB60,"-"))))</f>
        <v>9</v>
      </c>
      <c r="CA55" s="138"/>
      <c r="CB55" s="138"/>
      <c r="CC55" s="138"/>
      <c r="CD55" s="138"/>
      <c r="CE55" s="138"/>
      <c r="CF55" s="138"/>
      <c r="CG55" s="138"/>
      <c r="CH55" s="138"/>
      <c r="CI55" s="138"/>
      <c r="CJ55" s="138"/>
      <c r="CK55" s="138"/>
      <c r="CL55" s="138"/>
      <c r="CM55" s="138"/>
      <c r="CN55" s="138"/>
      <c r="CO55" s="138"/>
      <c r="CP55" s="138"/>
      <c r="CQ55" s="152">
        <v>10</v>
      </c>
      <c r="CR55" s="138"/>
      <c r="CS55" s="138"/>
      <c r="CT55" s="138"/>
      <c r="CU55" s="138"/>
      <c r="CV55" s="138"/>
      <c r="CW55" s="138"/>
      <c r="CX55" s="175"/>
    </row>
    <row r="56" spans="1:102" ht="14.25" customHeight="1">
      <c r="A56" s="216" t="s">
        <v>101</v>
      </c>
      <c r="B56" s="217" t="s">
        <v>102</v>
      </c>
      <c r="C56" s="217" t="s">
        <v>103</v>
      </c>
      <c r="D56" s="218"/>
      <c r="E56" s="219" t="s">
        <v>181</v>
      </c>
      <c r="F56" s="220"/>
      <c r="G56" s="220"/>
      <c r="H56" s="221"/>
      <c r="I56" s="65"/>
      <c r="J56" s="66" t="s">
        <v>105</v>
      </c>
      <c r="K56" s="66" t="s">
        <v>106</v>
      </c>
      <c r="L56" s="66" t="s">
        <v>106</v>
      </c>
      <c r="M56" s="66" t="s">
        <v>107</v>
      </c>
      <c r="N56" s="65"/>
      <c r="O56" s="67" t="str" cm="1">
        <f t="array" ref="O56">E56</f>
        <v>Grupo G</v>
      </c>
      <c r="P56" s="68" t="s">
        <v>105</v>
      </c>
      <c r="Q56" s="68" t="s">
        <v>106</v>
      </c>
      <c r="R56" s="68" t="s">
        <v>107</v>
      </c>
      <c r="S56" s="68" t="s">
        <v>108</v>
      </c>
      <c r="T56" s="68" t="s">
        <v>109</v>
      </c>
      <c r="U56" s="68" t="s">
        <v>110</v>
      </c>
      <c r="V56" s="68" t="s">
        <v>0</v>
      </c>
      <c r="W56" s="69"/>
      <c r="X56" s="65"/>
      <c r="Y56" s="774" t="s">
        <v>181</v>
      </c>
      <c r="Z56" s="775"/>
      <c r="AA56" s="222" t="s">
        <v>111</v>
      </c>
      <c r="AB56" s="223" t="s">
        <v>105</v>
      </c>
      <c r="AC56" s="223" t="s">
        <v>106</v>
      </c>
      <c r="AD56" s="223" t="s">
        <v>107</v>
      </c>
      <c r="AE56" s="223" t="s">
        <v>108</v>
      </c>
      <c r="AF56" s="223" t="s">
        <v>109</v>
      </c>
      <c r="AG56" s="223" t="s">
        <v>110</v>
      </c>
      <c r="AH56" s="224" t="s">
        <v>0</v>
      </c>
      <c r="AI56" s="185"/>
      <c r="AJ56" s="74"/>
      <c r="AK56" s="74"/>
      <c r="AL56" s="75" t="s">
        <v>0</v>
      </c>
      <c r="AM56" s="75" t="s">
        <v>112</v>
      </c>
      <c r="AN56" s="76"/>
      <c r="AO56" s="76"/>
      <c r="AP56" s="76"/>
      <c r="AQ56" s="76"/>
      <c r="AR56" s="76"/>
      <c r="AS56" s="76"/>
      <c r="AT56" s="76"/>
      <c r="AU56" s="77"/>
      <c r="AV56" s="78"/>
      <c r="AW56" s="74"/>
      <c r="AX56" s="74"/>
      <c r="AY56" s="75" t="s">
        <v>113</v>
      </c>
      <c r="AZ56" s="75" t="s">
        <v>0</v>
      </c>
      <c r="BA56" s="75" t="s">
        <v>114</v>
      </c>
      <c r="BB56" s="76"/>
      <c r="BC56" s="76"/>
      <c r="BD56" s="76"/>
      <c r="BE56" s="74"/>
      <c r="BF56" s="78"/>
      <c r="BG56" s="78"/>
      <c r="BH56" s="78"/>
      <c r="BI56" s="78"/>
      <c r="BJ56" s="74"/>
      <c r="BK56" s="79"/>
      <c r="BL56" s="80" t="s">
        <v>111</v>
      </c>
      <c r="BM56" s="75" t="s">
        <v>105</v>
      </c>
      <c r="BN56" s="75" t="s">
        <v>106</v>
      </c>
      <c r="BO56" s="75" t="s">
        <v>107</v>
      </c>
      <c r="BP56" s="75" t="s">
        <v>108</v>
      </c>
      <c r="BQ56" s="75" t="s">
        <v>109</v>
      </c>
      <c r="BR56" s="75" t="s">
        <v>110</v>
      </c>
      <c r="BS56" s="75" t="s">
        <v>0</v>
      </c>
      <c r="BT56" s="75" t="s">
        <v>115</v>
      </c>
      <c r="BU56" s="76"/>
      <c r="BV56" s="75" t="s">
        <v>116</v>
      </c>
      <c r="BW56" s="75" t="s">
        <v>115</v>
      </c>
      <c r="BX56" s="74"/>
      <c r="BY56" s="74"/>
      <c r="BZ56" s="78"/>
      <c r="CA56" s="78"/>
      <c r="CB56" s="78"/>
      <c r="CC56" s="78"/>
      <c r="CD56" s="74"/>
      <c r="CE56" s="79"/>
      <c r="CF56" s="80" t="s">
        <v>111</v>
      </c>
      <c r="CG56" s="75" t="s">
        <v>105</v>
      </c>
      <c r="CH56" s="75" t="s">
        <v>106</v>
      </c>
      <c r="CI56" s="75" t="s">
        <v>107</v>
      </c>
      <c r="CJ56" s="75" t="s">
        <v>108</v>
      </c>
      <c r="CK56" s="75" t="s">
        <v>109</v>
      </c>
      <c r="CL56" s="75" t="s">
        <v>110</v>
      </c>
      <c r="CM56" s="75" t="s">
        <v>0</v>
      </c>
      <c r="CN56" s="75" t="s">
        <v>115</v>
      </c>
      <c r="CO56" s="76"/>
      <c r="CP56" s="75" t="s">
        <v>116</v>
      </c>
      <c r="CQ56" s="75" t="s">
        <v>115</v>
      </c>
      <c r="CR56" s="74"/>
      <c r="CS56" s="74"/>
      <c r="CT56" s="74"/>
      <c r="CU56" s="74"/>
      <c r="CV56" s="74"/>
      <c r="CW56" s="74"/>
      <c r="CX56" s="172"/>
    </row>
    <row r="57" spans="1:102" ht="14.25" customHeight="1">
      <c r="A57" s="85" t="s">
        <v>182</v>
      </c>
      <c r="B57" s="86">
        <v>46188</v>
      </c>
      <c r="C57" s="87"/>
      <c r="D57" s="88"/>
      <c r="E57" s="85" t="s">
        <v>86</v>
      </c>
      <c r="F57" s="89">
        <v>1</v>
      </c>
      <c r="G57" s="89">
        <v>1</v>
      </c>
      <c r="H57" s="90" t="s">
        <v>95</v>
      </c>
      <c r="I57" s="65"/>
      <c r="J57" s="65" t="str" cm="1">
        <f t="array" ref="J57">IF(OR(ISBLANK(F57),ISBLANK(G57)),"",IF(F57&gt;G57,E57,IF(G57&gt;F57,H57,"")))</f>
        <v/>
      </c>
      <c r="K57" s="65" t="str" cm="1">
        <f t="array" ref="K57">IF(OR(ISBLANK(F57),ISBLANK(G57)),"",IF(F57=G57,E57,""))</f>
        <v>Iran</v>
      </c>
      <c r="L57" s="65" t="str" cm="1">
        <f t="array" ref="L57">IF(OR(ISBLANK(F57),ISBLANK(G57)),"",IF(F57=G57,H57,""))</f>
        <v>Nueva Zelanda</v>
      </c>
      <c r="M57" s="65" t="str" cm="1">
        <f t="array" ref="M57">IF(OR(ISBLANK(F57),ISBLANK(G57)),"",IF(F57&lt;G57,E57,IF(G57&lt;F57,H57,"")))</f>
        <v/>
      </c>
      <c r="N57" s="65"/>
      <c r="O57" s="67" t="str" cm="1">
        <f t="array" ref="O57">E57</f>
        <v>Iran</v>
      </c>
      <c r="P57" s="91" cm="1">
        <f t="array" ref="P57">COUNTIF(J57:J62,"="&amp;$O57)</f>
        <v>0</v>
      </c>
      <c r="Q57" s="91" cm="1">
        <f t="array" ref="Q57">COUNTIF(K57:L62,"="&amp;$O57)</f>
        <v>1</v>
      </c>
      <c r="R57" s="91" cm="1">
        <f t="array" ref="R57">COUNTIF(M57:M62,"="&amp;$O57)</f>
        <v>2</v>
      </c>
      <c r="S57" s="91" cm="1">
        <f t="array" ref="S57">T57-U57</f>
        <v>-3</v>
      </c>
      <c r="T57" s="91" cm="1">
        <f t="array" ref="T57">SUMIF(E57:E62,$O57,F57:F62)+SUMIF(H57:H62,$O57,G57:G62)</f>
        <v>3</v>
      </c>
      <c r="U57" s="91" cm="1">
        <f t="array" ref="U57">SUMIF(E57:E62,$O57,G57:G62)+SUMIF(H57:H62,$O57,F57:F62)</f>
        <v>6</v>
      </c>
      <c r="V57" s="92" cm="1">
        <f t="array" ref="V57">P57*3+Q57*1+BT57+CN57+S57/1000+T57/10000+AV57/1000000+ROW()/10000000</f>
        <v>1.2973057000000001</v>
      </c>
      <c r="W57" s="67" t="str" cm="1">
        <f t="array" ref="W57">O57</f>
        <v>Iran</v>
      </c>
      <c r="X57" s="65"/>
      <c r="Y57" s="93" t="str" cm="1">
        <f t="array" ref="Y57">CONCATENATE("1",RIGHT(E56,1))</f>
        <v>1G</v>
      </c>
      <c r="Z57" s="94" t="str" cm="1">
        <f t="array" ref="Z57">VLOOKUP(AL57,V57:W60,2,FALSE)</f>
        <v>Belgica</v>
      </c>
      <c r="AA57" s="95" cm="1">
        <f t="array" ref="AA57">SUM(AB57:AD57)</f>
        <v>3</v>
      </c>
      <c r="AB57" s="96" cm="1">
        <f t="array" ref="AB57">VLOOKUP($Z57,$O$57:$U$60,COLUMN()-26,FALSE)</f>
        <v>3</v>
      </c>
      <c r="AC57" s="96" cm="1">
        <f t="array" ref="AC57">VLOOKUP($Z57,$O$57:$U$60,COLUMN()-26,FALSE)</f>
        <v>0</v>
      </c>
      <c r="AD57" s="96" cm="1">
        <f t="array" ref="AD57">VLOOKUP($Z57,$O$57:$U$60,COLUMN()-26,FALSE)</f>
        <v>0</v>
      </c>
      <c r="AE57" s="96" cm="1">
        <f t="array" ref="AE57">VLOOKUP($Z57,$O$57:$U$60,COLUMN()-26,FALSE)</f>
        <v>6</v>
      </c>
      <c r="AF57" s="96" cm="1">
        <f t="array" ref="AF57">VLOOKUP($Z57,$O$57:$U$60,COLUMN()-26,FALSE)</f>
        <v>7</v>
      </c>
      <c r="AG57" s="96" cm="1">
        <f t="array" ref="AG57">VLOOKUP($Z57,$O$57:$U$60,COLUMN()-26,FALSE)</f>
        <v>1</v>
      </c>
      <c r="AH57" s="97" cm="1">
        <f t="array" ref="AH57">VLOOKUP($Z57,$O$57:$V$60,COLUMN()-26,FALSE)</f>
        <v>9.0067059</v>
      </c>
      <c r="AI57" s="98"/>
      <c r="AJ57" s="74"/>
      <c r="AK57" s="74"/>
      <c r="AL57" s="99" cm="1">
        <f t="array" ref="AL57">LARGE(V57:V60,1)</f>
        <v>9.0067059</v>
      </c>
      <c r="AM57" s="100" cm="1">
        <f t="array" ref="AM57">(AH57-AL57)*100000000000000000000</f>
        <v>0</v>
      </c>
      <c r="AN57" s="74"/>
      <c r="AO57" s="74"/>
      <c r="AP57" s="101" t="str" cm="1">
        <f t="array" ref="AP57">O57</f>
        <v>Iran</v>
      </c>
      <c r="AQ57" s="102" cm="1">
        <f t="array" ref="AQ57">P57*3+Q57*1+BT57+CN57+S57/1000+T57/10000</f>
        <v>1.2973000000000001</v>
      </c>
      <c r="AR57" s="102" t="b" cm="1">
        <f t="array" ref="AR57">IF(OR(AQ57=AQ58,AQ57=AQ59,AQ57=AQ60),1)</f>
        <v>0</v>
      </c>
      <c r="AS57" s="103" cm="1">
        <f t="array" ref="AS57">AV57</f>
        <v>0</v>
      </c>
      <c r="AT57" s="103" cm="1">
        <f t="array" ref="AT57">IF(AND(AM61="si",OR(AR57=1,AR58=1,AR59=1)),1,0)</f>
        <v>0</v>
      </c>
      <c r="AU57" s="104" t="str" cm="1">
        <f t="array" ref="AU57">O57</f>
        <v>Iran</v>
      </c>
      <c r="AV57" s="105"/>
      <c r="AW57" s="106"/>
      <c r="AX57" s="74" t="str" cm="1">
        <f t="array" ref="AX57">Y56</f>
        <v>Grupo G</v>
      </c>
      <c r="AY57" s="76" t="str" cm="1">
        <f t="array" ref="AY57">O57</f>
        <v>Iran</v>
      </c>
      <c r="AZ57" s="107" cm="1">
        <f t="array" ref="AZ57">P57*3+Q57</f>
        <v>1</v>
      </c>
      <c r="BA57" s="107" cm="1">
        <f t="array" ref="BA57">COUNTIFS($AX$1:AX57,AX57,$AZ$1:AZ57,AZ57)</f>
        <v>1</v>
      </c>
      <c r="BB57" s="107" cm="1">
        <f t="array" ref="BB57">IF(AZ57=BF55,ROW()*0.001,AZ57)</f>
        <v>5.7000000000000002E-2</v>
      </c>
      <c r="BC57" s="107" cm="1">
        <f t="array" ref="BC57">COUNTIFS($AX$1:AZ57,AZ57,$AZ$1:BB57,BB57)</f>
        <v>1</v>
      </c>
      <c r="BD57" s="107"/>
      <c r="BE57" s="108" t="str" cm="1">
        <f t="array" ref="BE57">IF(OR(BF57="-",BI57="-",BF55=0),"-","OK")</f>
        <v>OK</v>
      </c>
      <c r="BF57" s="109" t="str" cm="1">
        <f t="array" ref="BF57">IF(_xlfn.XLOOKUP($E57,$AY1:$AY108,$AZ1:$AZ108,"-",0)=BF55,$E57,"-")</f>
        <v>Iran</v>
      </c>
      <c r="BG57" s="110" cm="1">
        <f t="array" ref="BG57">$F57</f>
        <v>1</v>
      </c>
      <c r="BH57" s="110" cm="1">
        <f t="array" ref="BH57">$G57</f>
        <v>1</v>
      </c>
      <c r="BI57" s="109" t="str" cm="1">
        <f t="array" ref="BI57">IF(_xlfn.XLOOKUP($H57,$AY1:$AY108,$AZ1:$AZ108,"-",0)=BF55,$H57,"-")</f>
        <v>Nueva Zelanda</v>
      </c>
      <c r="BJ57" s="74"/>
      <c r="BK57" s="79" t="str" cm="1">
        <f t="array" ref="BK57">O57</f>
        <v>Iran</v>
      </c>
      <c r="BL57" s="111" cm="1">
        <f t="array" ref="BL57">COUNTIFS($BE1:$BE108,"OK",$BI1:$BI108,BK57)+COUNTIFS($BE1:$BE108,"OK",$BF1:$BF108,BK57)</f>
        <v>1</v>
      </c>
      <c r="BM57" s="112" cm="1">
        <f t="array" ref="BM57">COUNTIFS(J1:J108,$BK57,$BE1:$BE108,"OK")</f>
        <v>0</v>
      </c>
      <c r="BN57" s="112" cm="1">
        <f t="array" ref="BN57">COUNTIFS(K1:K108,$BK57,$BE1:$BE108,"OK")+COUNTIFS(L1:L108,$BK57,$BE1:$BE108,"OK")</f>
        <v>1</v>
      </c>
      <c r="BO57" s="112" cm="1">
        <f t="array" ref="BO57">COUNTIFS(M1:M108,$BK57,$BE1:$BE108,"OK")</f>
        <v>0</v>
      </c>
      <c r="BP57" s="112" cm="1">
        <f t="array" ref="BP57">BQ57-BR57</f>
        <v>0</v>
      </c>
      <c r="BQ57" s="112" cm="1">
        <f t="array" ref="BQ57">SUMIFS(BG1:BG108,$BE1:$BE108,"OK",BF1:BF108,$BK57)+SUMIFS(BH1:BH108,$BE1:$BE108,"OK",BI1:BI108,$BK57)</f>
        <v>1</v>
      </c>
      <c r="BR57" s="112" cm="1">
        <f t="array" ref="BR57">SUMIFS(BH1:BH108,$BE1:$BE108,"OK",BF1:BF108,$BK57)+SUMIFS(BG1:BG108,$BE1:$BE108,"OK",BI1:BI108,$BK57)</f>
        <v>1</v>
      </c>
      <c r="BS57" s="113" cm="1">
        <f t="array" ref="BS57">BM57*3+BN57*1+BP57/100+BQ57/10000</f>
        <v>1.0001</v>
      </c>
      <c r="BT57" s="107" cm="1">
        <f t="array" ref="BT57">IF(BL57=0,0,_xlfn.XLOOKUP(BS57,BV57:BV60,BW57:BW60))</f>
        <v>0.3</v>
      </c>
      <c r="BU57" s="99"/>
      <c r="BV57" s="113" cm="1">
        <f t="array" ref="BV57">LARGE(BS57:BS60,1)</f>
        <v>1.0001</v>
      </c>
      <c r="BW57" s="112" cm="1">
        <f t="array" ref="BW57">BX57/$BW$1</f>
        <v>0.3</v>
      </c>
      <c r="BX57" s="114">
        <v>3</v>
      </c>
      <c r="BY57" s="108" t="str" cm="1">
        <f t="array" ref="BY57">IF(OR(BZ57="-",CC57="-"),"-","OK")</f>
        <v>-</v>
      </c>
      <c r="BZ57" s="109" t="str" cm="1">
        <f t="array" ref="BZ57">IF(_xlfn.XLOOKUP($E57,$AY1:$AY108,$AZ1:$AZ108,"-",0)=BZ55,$E57,"-")</f>
        <v>-</v>
      </c>
      <c r="CA57" s="110" cm="1">
        <f t="array" ref="CA57">$F57</f>
        <v>1</v>
      </c>
      <c r="CB57" s="110" cm="1">
        <f t="array" ref="CB57">$G57</f>
        <v>1</v>
      </c>
      <c r="CC57" s="109" t="str" cm="1">
        <f t="array" ref="CC57">IF(_xlfn.XLOOKUP($H57,$AY1:$AY108,$AZ1:$AZ108,"-",0)=BZ55,$H57,"-")</f>
        <v>-</v>
      </c>
      <c r="CD57" s="74"/>
      <c r="CE57" s="79" t="str" cm="1">
        <f t="array" ref="CE57">BK57</f>
        <v>Iran</v>
      </c>
      <c r="CF57" s="111" cm="1">
        <f t="array" ref="CF57">COUNTIFS($BY1:$BY108,"OK",$CC1:$CC108,CE57)+COUNTIFS($BY1:$BY108,"OK",$BZ1:$BZ108,CE57)</f>
        <v>0</v>
      </c>
      <c r="CG57" s="112" cm="1">
        <f t="array" ref="CG57">COUNTIFS(P1:P108,$BK57,$BY1:$BY108,"OK")</f>
        <v>0</v>
      </c>
      <c r="CH57" s="112" cm="1">
        <f t="array" ref="CH57">COUNTIFS(K1:K108,$BK57,$BY1:$BY108,"OK")+COUNTIFS(L1:L108,$BK57,$BY1:$BY108,"OK")</f>
        <v>0</v>
      </c>
      <c r="CI57" s="112" cm="1">
        <f t="array" ref="CI57">COUNTIFS(M1:M108,$CE57,$BY1:$BY108,"OK")</f>
        <v>0</v>
      </c>
      <c r="CJ57" s="112" cm="1">
        <f t="array" ref="CJ57">CK57-CL57</f>
        <v>0</v>
      </c>
      <c r="CK57" s="112" cm="1">
        <f t="array" ref="CK57">SUMIFS(CA1:CA108,$BY1:$BY108,"OK",BZ1:BZ108,$BK57)+SUMIFS(CB1:CB108,$BY1:$BY108,"OK",CC1:CC108,$BK57)</f>
        <v>0</v>
      </c>
      <c r="CL57" s="112" cm="1">
        <f t="array" ref="CL57">SUMIFS(CB1:CB108,$BY1:$BY108,"OK",BZ1:BZ108,$BK57)+SUMIFS(CA1:CA108,$BY1:$BY108,"OK",CC1:CC108,$BK57)</f>
        <v>0</v>
      </c>
      <c r="CM57" s="113" cm="1">
        <f t="array" ref="CM57">CG57*3+CH57*1+CJ57/100+CK57/10000</f>
        <v>0</v>
      </c>
      <c r="CN57" s="107" cm="1">
        <f t="array" ref="CN57">IF(CF57=0,0,_xlfn.XLOOKUP(CM57,CP57:CP60,CQ57:CQ60))</f>
        <v>0</v>
      </c>
      <c r="CO57" s="99"/>
      <c r="CP57" s="113" cm="1">
        <f t="array" ref="CP57">LARGE(CM57:CM60,1)</f>
        <v>0</v>
      </c>
      <c r="CQ57" s="112" cm="1">
        <f t="array" ref="CQ57">CR57/$BW$1</f>
        <v>0.3</v>
      </c>
      <c r="CR57" s="114">
        <v>3</v>
      </c>
      <c r="CS57" s="74"/>
      <c r="CT57" s="74"/>
      <c r="CU57" s="74"/>
      <c r="CV57" s="74"/>
      <c r="CW57" s="74"/>
      <c r="CX57" s="172"/>
    </row>
    <row r="58" spans="1:102" ht="14.25" customHeight="1">
      <c r="A58" s="85" t="s">
        <v>184</v>
      </c>
      <c r="B58" s="86">
        <v>46188</v>
      </c>
      <c r="C58" s="87"/>
      <c r="D58" s="88"/>
      <c r="E58" s="85" t="s">
        <v>55</v>
      </c>
      <c r="F58" s="89">
        <v>2</v>
      </c>
      <c r="G58" s="89">
        <v>0</v>
      </c>
      <c r="H58" s="90" t="s">
        <v>75</v>
      </c>
      <c r="I58" s="65"/>
      <c r="J58" s="65" t="str" cm="1">
        <f t="array" ref="J58">IF(OR(ISBLANK(F58),ISBLANK(G58)),"",IF(F58&gt;G58,E58,IF(G58&gt;F58,H58,"")))</f>
        <v>Belgica</v>
      </c>
      <c r="K58" s="65" t="str" cm="1">
        <f t="array" ref="K58">IF(OR(ISBLANK(F58),ISBLANK(G58)),"",IF(F58=G58,E58,""))</f>
        <v/>
      </c>
      <c r="L58" s="65" t="str" cm="1">
        <f t="array" ref="L58">IF(OR(ISBLANK(F58),ISBLANK(G58)),"",IF(F58=G58,H58,""))</f>
        <v/>
      </c>
      <c r="M58" s="65" t="str" cm="1">
        <f t="array" ref="M58">IF(OR(ISBLANK(F58),ISBLANK(G58)),"",IF(F58&lt;G58,E58,IF(G58&lt;F58,H58,"")))</f>
        <v>Egipto</v>
      </c>
      <c r="N58" s="65"/>
      <c r="O58" s="67" t="str" cm="1">
        <f t="array" ref="O58">H57</f>
        <v>Nueva Zelanda</v>
      </c>
      <c r="P58" s="91" cm="1">
        <f t="array" ref="P58">COUNTIF(J57:J62,"="&amp;$O58)</f>
        <v>0</v>
      </c>
      <c r="Q58" s="91" cm="1">
        <f t="array" ref="Q58">COUNTIF(K57:L62,"="&amp;$O58)</f>
        <v>1</v>
      </c>
      <c r="R58" s="91" cm="1">
        <f t="array" ref="R58">COUNTIF(M57:M62,"="&amp;$O58)</f>
        <v>2</v>
      </c>
      <c r="S58" s="91" cm="1">
        <f t="array" ref="S58">T58-U58</f>
        <v>-3</v>
      </c>
      <c r="T58" s="91" cm="1">
        <f t="array" ref="T58">SUMIF(E57:E62,$O58,F57:F62)+SUMIF(H57:H62,$O58,G57:G62)</f>
        <v>2</v>
      </c>
      <c r="U58" s="91" cm="1">
        <f t="array" ref="U58">SUMIF(E57:E62,$O58,G57:G62)+SUMIF(H57:H62,$O58,F57:F62)</f>
        <v>5</v>
      </c>
      <c r="V58" s="92" cm="1">
        <f t="array" ref="V58">P58*3+Q58*1+BT58+CN58+S58/1000+T58/10000+AV58/1000000+ROW()/10000000</f>
        <v>1.2972058000000002</v>
      </c>
      <c r="W58" s="67" t="str" cm="1">
        <f t="array" ref="W58">O58</f>
        <v>Nueva Zelanda</v>
      </c>
      <c r="X58" s="65"/>
      <c r="Y58" s="117" t="str" cm="1">
        <f t="array" ref="Y58">CONCATENATE("2",RIGHT(E56,1))</f>
        <v>2G</v>
      </c>
      <c r="Z58" s="118" t="str" cm="1">
        <f t="array" ref="Z58">VLOOKUP(AL58,V57:W60,2,FALSE)</f>
        <v>Egipto</v>
      </c>
      <c r="AA58" s="119" cm="1">
        <f t="array" ref="AA58">SUM(AB58:AD58)</f>
        <v>3</v>
      </c>
      <c r="AB58" s="120" cm="1">
        <f t="array" ref="AB58">VLOOKUP($Z58,$O$57:$U$60,COLUMN()-26,FALSE)</f>
        <v>2</v>
      </c>
      <c r="AC58" s="120" cm="1">
        <f t="array" ref="AC58">VLOOKUP($Z58,$O$57:$U$60,COLUMN()-26,FALSE)</f>
        <v>0</v>
      </c>
      <c r="AD58" s="120" cm="1">
        <f t="array" ref="AD58">VLOOKUP($Z58,$O$57:$U$60,COLUMN()-26,FALSE)</f>
        <v>1</v>
      </c>
      <c r="AE58" s="120" cm="1">
        <f t="array" ref="AE58">VLOOKUP($Z58,$O$57:$U$60,COLUMN()-26,FALSE)</f>
        <v>0</v>
      </c>
      <c r="AF58" s="120" cm="1">
        <f t="array" ref="AF58">VLOOKUP($Z58,$O$57:$U$60,COLUMN()-26,FALSE)</f>
        <v>4</v>
      </c>
      <c r="AG58" s="120" cm="1">
        <f t="array" ref="AG58">VLOOKUP($Z58,$O$57:$U$60,COLUMN()-26,FALSE)</f>
        <v>4</v>
      </c>
      <c r="AH58" s="121" cm="1">
        <f t="array" ref="AH58">VLOOKUP($Z58,$O$57:$V$60,COLUMN()-26,FALSE)</f>
        <v>6.0004059999999999</v>
      </c>
      <c r="AI58" s="98"/>
      <c r="AJ58" s="74"/>
      <c r="AK58" s="74"/>
      <c r="AL58" s="99" cm="1">
        <f t="array" ref="AL58">LARGE(V57:V60,2)</f>
        <v>6.0004059999999999</v>
      </c>
      <c r="AM58" s="100" cm="1">
        <f t="array" ref="AM58">(AH58-AL58)*100000000000000000000</f>
        <v>0</v>
      </c>
      <c r="AN58" s="74"/>
      <c r="AO58" s="74"/>
      <c r="AP58" s="101" t="str" cm="1">
        <f t="array" ref="AP58">O58</f>
        <v>Nueva Zelanda</v>
      </c>
      <c r="AQ58" s="102" cm="1">
        <f t="array" ref="AQ58">P58*3+Q58*1+BT58+CN58+S58/1000+T58/10000</f>
        <v>1.2972000000000001</v>
      </c>
      <c r="AR58" s="102" t="b" cm="1">
        <f t="array" ref="AR58">IF(OR(AQ58=AQ59,AQ58=AQ60),1)</f>
        <v>0</v>
      </c>
      <c r="AS58" s="103" cm="1">
        <f t="array" ref="AS58">AV58</f>
        <v>0</v>
      </c>
      <c r="AT58" s="103" cm="1">
        <f t="array" ref="AT58">IF(AND(AM61="si",OR(AR57=1,AR58=1,AR59=1)),1,0)</f>
        <v>0</v>
      </c>
      <c r="AU58" s="122" t="str" cm="1">
        <f t="array" ref="AU58">O58</f>
        <v>Nueva Zelanda</v>
      </c>
      <c r="AV58" s="101"/>
      <c r="AW58" s="106"/>
      <c r="AX58" s="74" t="str" cm="1">
        <f t="array" ref="AX58">Y56</f>
        <v>Grupo G</v>
      </c>
      <c r="AY58" s="76" t="str" cm="1">
        <f t="array" ref="AY58">O58</f>
        <v>Nueva Zelanda</v>
      </c>
      <c r="AZ58" s="107" cm="1">
        <f t="array" ref="AZ58">P58*3+Q58</f>
        <v>1</v>
      </c>
      <c r="BA58" s="107" cm="1">
        <f t="array" ref="BA58">COUNTIFS($AX$1:AX58,AX58,$AZ$1:AZ58,AZ58)</f>
        <v>2</v>
      </c>
      <c r="BB58" s="107" cm="1">
        <f t="array" ref="BB58">IF(AZ58=BF55,ROW()*0.001,AZ58)</f>
        <v>5.8000000000000003E-2</v>
      </c>
      <c r="BC58" s="107" cm="1">
        <f t="array" ref="BC58">COUNTIFS($AX$1:AZ58,AZ58,$AZ$1:BB58,BB58)</f>
        <v>1</v>
      </c>
      <c r="BD58" s="107"/>
      <c r="BE58" s="108" t="str" cm="1">
        <f t="array" ref="BE58">IF(OR(BF58="-",BI58="-",BF55=0),"-","OK")</f>
        <v>-</v>
      </c>
      <c r="BF58" s="109" t="str" cm="1">
        <f t="array" ref="BF58">IF(_xlfn.XLOOKUP($E58,$AY1:$AY108,$AZ1:$AZ108,"-",0)=BF55,$E58,"-")</f>
        <v>-</v>
      </c>
      <c r="BG58" s="110" cm="1">
        <f t="array" ref="BG58">$F58</f>
        <v>2</v>
      </c>
      <c r="BH58" s="110" cm="1">
        <f t="array" ref="BH58">$G58</f>
        <v>0</v>
      </c>
      <c r="BI58" s="109" t="str" cm="1">
        <f t="array" ref="BI58">IF(_xlfn.XLOOKUP($H58,$AY1:$AY108,$AZ1:$AZ108,"-",0)=BF55,$H58,"-")</f>
        <v>-</v>
      </c>
      <c r="BJ58" s="74"/>
      <c r="BK58" s="79" t="str" cm="1">
        <f t="array" ref="BK58">O58</f>
        <v>Nueva Zelanda</v>
      </c>
      <c r="BL58" s="111" cm="1">
        <f t="array" ref="BL58">COUNTIFS($BE1:$BE108,"OK",$BI1:$BI108,BK58)+COUNTIFS($BE1:$BE108,"OK",$BF1:$BF108,BK58)</f>
        <v>1</v>
      </c>
      <c r="BM58" s="112" cm="1">
        <f t="array" ref="BM58">COUNTIFS(J1:J108,$BK58,$BE1:$BE108,"OK")</f>
        <v>0</v>
      </c>
      <c r="BN58" s="112" cm="1">
        <f t="array" ref="BN58">COUNTIFS(K1:K108,$BK58,$BE1:$BE108,"OK")+COUNTIFS(L1:L108,$BK58,$BE1:$BE108,"OK")</f>
        <v>1</v>
      </c>
      <c r="BO58" s="112" cm="1">
        <f t="array" ref="BO58">COUNTIFS(M1:M108,$BK58,$BE1:$BE108,"OK")</f>
        <v>0</v>
      </c>
      <c r="BP58" s="112" cm="1">
        <f t="array" ref="BP58">BQ58-BR58</f>
        <v>0</v>
      </c>
      <c r="BQ58" s="112" cm="1">
        <f t="array" ref="BQ58">SUMIFS(BG1:BG108,$BE1:$BE108,"OK",BF1:BF108,$BK58)+SUMIFS(BH1:BH108,$BE1:$BE108,"OK",BI1:BI108,$BK58)</f>
        <v>1</v>
      </c>
      <c r="BR58" s="112" cm="1">
        <f t="array" ref="BR58">SUMIFS(BH1:BH108,$BE1:$BE108,"OK",BF1:BF108,$BK58)+SUMIFS(BG1:BG108,$BE1:$BE108,"OK",BI1:BI108,$BK58)</f>
        <v>1</v>
      </c>
      <c r="BS58" s="113" cm="1">
        <f t="array" ref="BS58">BM58*3+BN58*1+BP58/100+BQ58/10000</f>
        <v>1.0001</v>
      </c>
      <c r="BT58" s="107" cm="1">
        <f t="array" ref="BT58">IF(BL58=0,0,_xlfn.XLOOKUP(BS58,BV57:BV60,BW57:BW60))</f>
        <v>0.3</v>
      </c>
      <c r="BU58" s="99"/>
      <c r="BV58" s="113" cm="1">
        <f t="array" ref="BV58">LARGE(BS57:BS60,2)</f>
        <v>1.0001</v>
      </c>
      <c r="BW58" s="112" cm="1">
        <f t="array" ref="BW58">BX58/$BW$1</f>
        <v>0.2</v>
      </c>
      <c r="BX58" s="114">
        <v>2</v>
      </c>
      <c r="BY58" s="108" t="str" cm="1">
        <f t="array" ref="BY58">IF(OR(BZ58="-",CC58="-"),"-","OK")</f>
        <v>-</v>
      </c>
      <c r="BZ58" s="109" t="str" cm="1">
        <f t="array" ref="BZ58">IF(_xlfn.XLOOKUP($E58,$AY1:$AY108,$AZ1:$AZ108,"-",0)=BZ55,$E58,"-")</f>
        <v>Belgica</v>
      </c>
      <c r="CA58" s="110" cm="1">
        <f t="array" ref="CA58">$F58</f>
        <v>2</v>
      </c>
      <c r="CB58" s="110" cm="1">
        <f t="array" ref="CB58">$G58</f>
        <v>0</v>
      </c>
      <c r="CC58" s="109" t="str" cm="1">
        <f t="array" ref="CC58">IF(_xlfn.XLOOKUP($H58,$AY1:$AY108,$AZ1:$AZ108,"-",0)=BZ55,$H58,"-")</f>
        <v>-</v>
      </c>
      <c r="CD58" s="74"/>
      <c r="CE58" s="79" t="str" cm="1">
        <f t="array" ref="CE58">BK58</f>
        <v>Nueva Zelanda</v>
      </c>
      <c r="CF58" s="111" cm="1">
        <f t="array" ref="CF58">COUNTIFS($BY1:$BY108,"OK",$CC1:$CC108,CE58)+COUNTIFS($BY1:$BY108,"OK",$BZ1:$BZ108,CE58)</f>
        <v>0</v>
      </c>
      <c r="CG58" s="112" cm="1">
        <f t="array" ref="CG58">COUNTIFS(P1:P108,$BK58,$BY1:$BY108,"OK")</f>
        <v>0</v>
      </c>
      <c r="CH58" s="112" cm="1">
        <f t="array" ref="CH58">COUNTIFS(K1:K108,$BK58,$BY1:$BY108,"OK")+COUNTIFS(L1:L108,$BK58,$BY1:$BY108,"OK")</f>
        <v>0</v>
      </c>
      <c r="CI58" s="112" cm="1">
        <f t="array" ref="CI58">COUNTIFS(M1:M108,$CE58,$BY1:$BY108,"OK")</f>
        <v>0</v>
      </c>
      <c r="CJ58" s="112" cm="1">
        <f t="array" ref="CJ58">CK58-CL58</f>
        <v>0</v>
      </c>
      <c r="CK58" s="112" cm="1">
        <f t="array" ref="CK58">SUMIFS(CA1:CA108,$BY1:$BY108,"OK",BZ1:BZ108,$BK58)+SUMIFS(CB1:CB108,$BY1:$BY108,"OK",CC1:CC108,$BK58)</f>
        <v>0</v>
      </c>
      <c r="CL58" s="112" cm="1">
        <f t="array" ref="CL58">SUMIFS(CB1:CB108,$BY1:$BY108,"OK",BZ1:BZ108,$BK58)+SUMIFS(CA1:CA108,$BY1:$BY108,"OK",CC1:CC108,$BK58)</f>
        <v>0</v>
      </c>
      <c r="CM58" s="113" cm="1">
        <f t="array" ref="CM58">CG58*3+CH58*1+CJ58/100+CK58/10000</f>
        <v>0</v>
      </c>
      <c r="CN58" s="107" cm="1">
        <f t="array" ref="CN58">IF(CF58=0,0,_xlfn.XLOOKUP(CM58,CP57:CP60,CQ57:CQ60))</f>
        <v>0</v>
      </c>
      <c r="CO58" s="99"/>
      <c r="CP58" s="113" cm="1">
        <f t="array" ref="CP58">LARGE(CM57:CM60,2)</f>
        <v>0</v>
      </c>
      <c r="CQ58" s="112" cm="1">
        <f t="array" ref="CQ58">CR58/$BW$1</f>
        <v>0.2</v>
      </c>
      <c r="CR58" s="114">
        <v>2</v>
      </c>
      <c r="CS58" s="74"/>
      <c r="CT58" s="74"/>
      <c r="CU58" s="74"/>
      <c r="CV58" s="74"/>
      <c r="CW58" s="74"/>
      <c r="CX58" s="172"/>
    </row>
    <row r="59" spans="1:102" ht="14.25" customHeight="1">
      <c r="A59" s="85" t="s">
        <v>186</v>
      </c>
      <c r="B59" s="86">
        <v>46194</v>
      </c>
      <c r="C59" s="87"/>
      <c r="D59" s="88"/>
      <c r="E59" s="85" t="s">
        <v>55</v>
      </c>
      <c r="F59" s="89">
        <v>3</v>
      </c>
      <c r="G59" s="89">
        <v>1</v>
      </c>
      <c r="H59" s="90" t="s">
        <v>86</v>
      </c>
      <c r="I59" s="65"/>
      <c r="J59" s="65" t="str" cm="1">
        <f t="array" ref="J59">IF(OR(ISBLANK(F59),ISBLANK(G59)),"",IF(F59&gt;G59,E59,IF(G59&gt;F59,H59,"")))</f>
        <v>Belgica</v>
      </c>
      <c r="K59" s="65" t="str" cm="1">
        <f t="array" ref="K59">IF(OR(ISBLANK(F59),ISBLANK(G59)),"",IF(F59=G59,E59,""))</f>
        <v/>
      </c>
      <c r="L59" s="65" t="str" cm="1">
        <f t="array" ref="L59">IF(OR(ISBLANK(F59),ISBLANK(G59)),"",IF(F59=G59,H59,""))</f>
        <v/>
      </c>
      <c r="M59" s="65" t="str" cm="1">
        <f t="array" ref="M59">IF(OR(ISBLANK(F59),ISBLANK(G59)),"",IF(F59&lt;G59,E59,IF(G59&lt;F59,H59,"")))</f>
        <v>Iran</v>
      </c>
      <c r="N59" s="65"/>
      <c r="O59" s="67" t="str" cm="1">
        <f t="array" ref="O59">E58</f>
        <v>Belgica</v>
      </c>
      <c r="P59" s="91" cm="1">
        <f t="array" ref="P59">COUNTIF(J57:J62,"="&amp;$O59)</f>
        <v>3</v>
      </c>
      <c r="Q59" s="91" cm="1">
        <f t="array" ref="Q59">COUNTIF(K57:L62,"="&amp;$O59)</f>
        <v>0</v>
      </c>
      <c r="R59" s="91" cm="1">
        <f t="array" ref="R59">COUNTIF(M57:M62,"="&amp;$O59)</f>
        <v>0</v>
      </c>
      <c r="S59" s="91" cm="1">
        <f t="array" ref="S59">T59-U59</f>
        <v>6</v>
      </c>
      <c r="T59" s="91" cm="1">
        <f t="array" ref="T59">SUMIF(E57:E62,$O59,F57:F62)+SUMIF(H57:H62,$O59,G57:G62)</f>
        <v>7</v>
      </c>
      <c r="U59" s="91" cm="1">
        <f t="array" ref="U59">SUMIF(E57:E62,$O59,G57:G62)+SUMIF(H57:H62,$O59,F57:F62)</f>
        <v>1</v>
      </c>
      <c r="V59" s="92" cm="1">
        <f t="array" ref="V59">P59*3+Q59*1+BT59+CN59+S59/1000+T59/10000+AV59/1000000+ROW()/10000000</f>
        <v>9.0067059</v>
      </c>
      <c r="W59" s="67" t="str" cm="1">
        <f t="array" ref="W59">O59</f>
        <v>Belgica</v>
      </c>
      <c r="X59" s="65"/>
      <c r="Y59" s="125" t="str" cm="1">
        <f t="array" ref="Y59">CONCATENATE("3",RIGHT(E56,1))</f>
        <v>3G</v>
      </c>
      <c r="Z59" s="126" t="str" cm="1">
        <f t="array" ref="Z59">VLOOKUP(AL59,V57:W60,2,FALSE)</f>
        <v>Iran</v>
      </c>
      <c r="AA59" s="127" cm="1">
        <f t="array" ref="AA59">SUM(AB59:AD59)</f>
        <v>3</v>
      </c>
      <c r="AB59" s="128" cm="1">
        <f t="array" ref="AB59">VLOOKUP($Z59,$O$57:$U$60,COLUMN()-26,FALSE)</f>
        <v>0</v>
      </c>
      <c r="AC59" s="128" cm="1">
        <f t="array" ref="AC59">VLOOKUP($Z59,$O$57:$U$60,COLUMN()-26,FALSE)</f>
        <v>1</v>
      </c>
      <c r="AD59" s="128" cm="1">
        <f t="array" ref="AD59">VLOOKUP($Z59,$O$57:$U$60,COLUMN()-26,FALSE)</f>
        <v>2</v>
      </c>
      <c r="AE59" s="128" cm="1">
        <f t="array" ref="AE59">VLOOKUP($Z59,$O$57:$U$60,COLUMN()-26,FALSE)</f>
        <v>-3</v>
      </c>
      <c r="AF59" s="128" cm="1">
        <f t="array" ref="AF59">VLOOKUP($Z59,$O$57:$U$60,COLUMN()-26,FALSE)</f>
        <v>3</v>
      </c>
      <c r="AG59" s="128" cm="1">
        <f t="array" ref="AG59">VLOOKUP($Z59,$O$57:$U$60,COLUMN()-26,FALSE)</f>
        <v>6</v>
      </c>
      <c r="AH59" s="129" cm="1">
        <f t="array" ref="AH59">VLOOKUP($Z59,$O$57:$V$60,COLUMN()-26,FALSE)</f>
        <v>1.2973057000000001</v>
      </c>
      <c r="AI59" s="130" cm="1">
        <f t="array" ref="AI59">(COUNTIFS($CV$2:$CV$13,Z59,$CX$2:$CX$13,"IN")+COUNTIFS($CV$2:$CV$13,Z59,$CW$2:$CW$13,"IN"))*IF(SUM(AA57:AA60)=12,1,0)</f>
        <v>0</v>
      </c>
      <c r="AJ59" s="74"/>
      <c r="AK59" s="74"/>
      <c r="AL59" s="99" cm="1">
        <f t="array" ref="AL59">LARGE(V57:V60,3)</f>
        <v>1.2973057000000001</v>
      </c>
      <c r="AM59" s="100" cm="1">
        <f t="array" ref="AM59">(AH59-AL59)*100000000000000000000</f>
        <v>0</v>
      </c>
      <c r="AN59" s="74"/>
      <c r="AO59" s="74"/>
      <c r="AP59" s="101" t="str" cm="1">
        <f t="array" ref="AP59">O59</f>
        <v>Belgica</v>
      </c>
      <c r="AQ59" s="102" cm="1">
        <f t="array" ref="AQ59">P59*3+Q59*1+BT59+CN59+S59/1000+T59/10000</f>
        <v>9.0067000000000004</v>
      </c>
      <c r="AR59" s="102" t="b" cm="1">
        <f t="array" ref="AR59">IF(OR(AQ59=AQ60),1)</f>
        <v>0</v>
      </c>
      <c r="AS59" s="103" cm="1">
        <f t="array" ref="AS59">AV59</f>
        <v>0</v>
      </c>
      <c r="AT59" s="103" cm="1">
        <f t="array" ref="AT59">IF(AND(AM61="si",OR(AR57=1,AR58=1,AR59=1)),1,0)</f>
        <v>0</v>
      </c>
      <c r="AU59" s="122" t="str" cm="1">
        <f t="array" ref="AU59">O59</f>
        <v>Belgica</v>
      </c>
      <c r="AV59" s="101"/>
      <c r="AW59" s="106"/>
      <c r="AX59" s="74" t="str" cm="1">
        <f t="array" ref="AX59">Y56</f>
        <v>Grupo G</v>
      </c>
      <c r="AY59" s="76" t="str" cm="1">
        <f t="array" ref="AY59">O59</f>
        <v>Belgica</v>
      </c>
      <c r="AZ59" s="107" cm="1">
        <f t="array" ref="AZ59">P59*3+Q59</f>
        <v>9</v>
      </c>
      <c r="BA59" s="107" cm="1">
        <f t="array" ref="BA59">COUNTIFS($AX$1:AX59,AX59,$AZ$1:AZ59,AZ59)</f>
        <v>1</v>
      </c>
      <c r="BB59" s="107" cm="1">
        <f t="array" ref="BB59">IF(AZ59=BF55,ROW()*0.001,AZ59)</f>
        <v>9</v>
      </c>
      <c r="BC59" s="107" cm="1">
        <f t="array" ref="BC59">COUNTIFS($AX$1:AZ59,AZ59,$AZ$1:BB59,BB59)</f>
        <v>5</v>
      </c>
      <c r="BD59" s="107"/>
      <c r="BE59" s="108" t="str" cm="1">
        <f t="array" ref="BE59">IF(OR(BF59="-",BI59="-",BF55=0),"-","OK")</f>
        <v>-</v>
      </c>
      <c r="BF59" s="109" t="str" cm="1">
        <f t="array" ref="BF59">IF(_xlfn.XLOOKUP($E59,$AY1:$AY108,$AZ1:$AZ108,"-",0)=BF55,$E59,"-")</f>
        <v>-</v>
      </c>
      <c r="BG59" s="110" cm="1">
        <f t="array" ref="BG59">$F59</f>
        <v>3</v>
      </c>
      <c r="BH59" s="110" cm="1">
        <f t="array" ref="BH59">$G59</f>
        <v>1</v>
      </c>
      <c r="BI59" s="109" t="str" cm="1">
        <f t="array" ref="BI59">IF(_xlfn.XLOOKUP($H59,$AY1:$AY108,$AZ1:$AZ108,"-",0)=BF55,$H59,"-")</f>
        <v>Iran</v>
      </c>
      <c r="BJ59" s="74"/>
      <c r="BK59" s="79" t="str" cm="1">
        <f t="array" ref="BK59">O59</f>
        <v>Belgica</v>
      </c>
      <c r="BL59" s="111" cm="1">
        <f t="array" ref="BL59">COUNTIFS($BE1:$BE108,"OK",$BI1:$BI108,BK59)+COUNTIFS($BE1:$BE108,"OK",$BF1:$BF108,BK59)</f>
        <v>0</v>
      </c>
      <c r="BM59" s="112" cm="1">
        <f t="array" ref="BM59">COUNTIFS(J1:J108,$BK59,$BE1:$BE108,"OK")</f>
        <v>0</v>
      </c>
      <c r="BN59" s="112" cm="1">
        <f t="array" ref="BN59">COUNTIFS(K1:K108,$BK59,$BE1:$BE108,"OK")+COUNTIFS(L1:L108,$BK59,$BE1:$BE108,"OK")</f>
        <v>0</v>
      </c>
      <c r="BO59" s="112" cm="1">
        <f t="array" ref="BO59">COUNTIFS(M1:M108,$BK59,$BE1:$BE108,"OK")</f>
        <v>0</v>
      </c>
      <c r="BP59" s="112" cm="1">
        <f t="array" ref="BP59">BQ59-BR59</f>
        <v>0</v>
      </c>
      <c r="BQ59" s="112" cm="1">
        <f t="array" ref="BQ59">SUMIFS(BG1:BG108,$BE1:$BE108,"OK",BF1:BF108,$BK59)+SUMIFS(BH1:BH108,$BE1:$BE108,"OK",BI1:BI108,$BK59)</f>
        <v>0</v>
      </c>
      <c r="BR59" s="112" cm="1">
        <f t="array" ref="BR59">SUMIFS(BH1:BH108,$BE1:$BE108,"OK",BF1:BF108,$BK59)+SUMIFS(BG1:BG108,$BE1:$BE108,"OK",BI1:BI108,$BK59)</f>
        <v>0</v>
      </c>
      <c r="BS59" s="113" cm="1">
        <f t="array" ref="BS59">BM59*3+BN59*1+BP59/100+BQ59/10000</f>
        <v>0</v>
      </c>
      <c r="BT59" s="107" cm="1">
        <f t="array" ref="BT59">IF(BL59=0,0,_xlfn.XLOOKUP(BS59,BV57:BV60,BW57:BW60))</f>
        <v>0</v>
      </c>
      <c r="BU59" s="99"/>
      <c r="BV59" s="113" cm="1">
        <f t="array" ref="BV59">LARGE(BS57:BS60,3)</f>
        <v>0</v>
      </c>
      <c r="BW59" s="112" cm="1">
        <f t="array" ref="BW59">BX59/$BW$1</f>
        <v>0.1</v>
      </c>
      <c r="BX59" s="114">
        <v>1</v>
      </c>
      <c r="BY59" s="108" t="str" cm="1">
        <f t="array" ref="BY59">IF(OR(BZ59="-",CC59="-"),"-","OK")</f>
        <v>-</v>
      </c>
      <c r="BZ59" s="109" t="str" cm="1">
        <f t="array" ref="BZ59">IF(_xlfn.XLOOKUP($E59,$AY1:$AY108,$AZ1:$AZ108,"-",0)=BZ55,$E59,"-")</f>
        <v>Belgica</v>
      </c>
      <c r="CA59" s="110" cm="1">
        <f t="array" ref="CA59">$F59</f>
        <v>3</v>
      </c>
      <c r="CB59" s="110" cm="1">
        <f t="array" ref="CB59">$G59</f>
        <v>1</v>
      </c>
      <c r="CC59" s="109" t="str" cm="1">
        <f t="array" ref="CC59">IF(_xlfn.XLOOKUP($H59,$AY1:$AY108,$AZ1:$AZ108,"-",0)=BZ55,$H59,"-")</f>
        <v>-</v>
      </c>
      <c r="CD59" s="74"/>
      <c r="CE59" s="79" t="str" cm="1">
        <f t="array" ref="CE59">BK59</f>
        <v>Belgica</v>
      </c>
      <c r="CF59" s="111" cm="1">
        <f t="array" ref="CF59">COUNTIFS($BY1:$BY108,"OK",$CC1:$CC108,CE59)+COUNTIFS($BY1:$BY108,"OK",$BZ1:$BZ108,CE59)</f>
        <v>0</v>
      </c>
      <c r="CG59" s="112" cm="1">
        <f t="array" ref="CG59">COUNTIFS(P1:P108,$BK59,$BY1:$BY108,"OK")</f>
        <v>0</v>
      </c>
      <c r="CH59" s="112" cm="1">
        <f t="array" ref="CH59">COUNTIFS(K1:K108,$BK59,$BY1:$BY108,"OK")+COUNTIFS(L1:L108,$BK59,$BY1:$BY108,"OK")</f>
        <v>0</v>
      </c>
      <c r="CI59" s="112" cm="1">
        <f t="array" ref="CI59">COUNTIFS(M1:M108,$CE59,$BY1:$BY108,"OK")</f>
        <v>0</v>
      </c>
      <c r="CJ59" s="112" cm="1">
        <f t="array" ref="CJ59">CK59-CL59</f>
        <v>0</v>
      </c>
      <c r="CK59" s="112" cm="1">
        <f t="array" ref="CK59">SUMIFS(CA1:CA108,$BY1:$BY108,"OK",BZ1:BZ108,$BK59)+SUMIFS(CB1:CB108,$BY1:$BY108,"OK",CC1:CC108,$BK59)</f>
        <v>0</v>
      </c>
      <c r="CL59" s="112" cm="1">
        <f t="array" ref="CL59">SUMIFS(CB1:CB108,$BY1:$BY108,"OK",BZ1:BZ108,$BK59)+SUMIFS(CA1:CA108,$BY1:$BY108,"OK",CC1:CC108,$BK59)</f>
        <v>0</v>
      </c>
      <c r="CM59" s="113" cm="1">
        <f t="array" ref="CM59">CG59*3+CH59*1+CJ59/100+CK59/10000</f>
        <v>0</v>
      </c>
      <c r="CN59" s="107" cm="1">
        <f t="array" ref="CN59">IF(CF59=0,0,_xlfn.XLOOKUP(CM59,CP57:CP60,CQ57:CQ60))</f>
        <v>0</v>
      </c>
      <c r="CO59" s="99"/>
      <c r="CP59" s="113" cm="1">
        <f t="array" ref="CP59">LARGE(CM57:CM60,3)</f>
        <v>0</v>
      </c>
      <c r="CQ59" s="112" cm="1">
        <f t="array" ref="CQ59">CR59/$BW$1</f>
        <v>0.1</v>
      </c>
      <c r="CR59" s="114">
        <v>1</v>
      </c>
      <c r="CS59" s="74"/>
      <c r="CT59" s="74"/>
      <c r="CU59" s="74"/>
      <c r="CV59" s="74"/>
      <c r="CW59" s="74"/>
      <c r="CX59" s="172"/>
    </row>
    <row r="60" spans="1:102" ht="14.25" customHeight="1">
      <c r="A60" s="85" t="s">
        <v>188</v>
      </c>
      <c r="B60" s="86">
        <v>46194</v>
      </c>
      <c r="C60" s="87"/>
      <c r="D60" s="88"/>
      <c r="E60" s="85" t="s">
        <v>95</v>
      </c>
      <c r="F60" s="89">
        <v>1</v>
      </c>
      <c r="G60" s="89">
        <v>2</v>
      </c>
      <c r="H60" s="90" t="s">
        <v>75</v>
      </c>
      <c r="I60" s="65"/>
      <c r="J60" s="65" t="str" cm="1">
        <f t="array" ref="J60">IF(OR(ISBLANK(F60),ISBLANK(G60)),"",IF(F60&gt;G60,E60,IF(G60&gt;F60,H60,"")))</f>
        <v>Egipto</v>
      </c>
      <c r="K60" s="65" t="str" cm="1">
        <f t="array" ref="K60">IF(OR(ISBLANK(F60),ISBLANK(G60)),"",IF(F60=G60,E60,""))</f>
        <v/>
      </c>
      <c r="L60" s="65" t="str" cm="1">
        <f t="array" ref="L60">IF(OR(ISBLANK(F60),ISBLANK(G60)),"",IF(F60=G60,H60,""))</f>
        <v/>
      </c>
      <c r="M60" s="65" t="str" cm="1">
        <f t="array" ref="M60">IF(OR(ISBLANK(F60),ISBLANK(G60)),"",IF(F60&lt;G60,E60,IF(G60&lt;F60,H60,"")))</f>
        <v>Nueva Zelanda</v>
      </c>
      <c r="N60" s="65"/>
      <c r="O60" s="67" t="str" cm="1">
        <f t="array" ref="O60">H58</f>
        <v>Egipto</v>
      </c>
      <c r="P60" s="91" cm="1">
        <f t="array" ref="P60">COUNTIF(J57:J62,"="&amp;$O60)</f>
        <v>2</v>
      </c>
      <c r="Q60" s="91" cm="1">
        <f t="array" ref="Q60">COUNTIF(K57:L62,"="&amp;$O60)</f>
        <v>0</v>
      </c>
      <c r="R60" s="91" cm="1">
        <f t="array" ref="R60">COUNTIF(M57:M62,"="&amp;$O60)</f>
        <v>1</v>
      </c>
      <c r="S60" s="91" cm="1">
        <f t="array" ref="S60">T60-U60</f>
        <v>0</v>
      </c>
      <c r="T60" s="91" cm="1">
        <f t="array" ref="T60">SUMIF(E57:E62,$O60,F57:F62)+SUMIF(H57:H62,$O60,G57:G62)</f>
        <v>4</v>
      </c>
      <c r="U60" s="91" cm="1">
        <f t="array" ref="U60">SUMIF(E57:E62,$O60,G57:G62)+SUMIF(H57:H62,$O60,F57:F62)</f>
        <v>4</v>
      </c>
      <c r="V60" s="92" cm="1">
        <f t="array" ref="V60">P60*3+Q60*1+BT60+CN60+S60/1000+T60/10000+AV60/1000000+ROW()/10000000</f>
        <v>6.0004059999999999</v>
      </c>
      <c r="W60" s="67" t="str" cm="1">
        <f t="array" ref="W60">O60</f>
        <v>Egipto</v>
      </c>
      <c r="X60" s="65"/>
      <c r="Y60" s="131" t="str" cm="1">
        <f t="array" ref="Y60">CONCATENATE("4",RIGHT(E56,1))</f>
        <v>4G</v>
      </c>
      <c r="Z60" s="132" t="str" cm="1">
        <f t="array" ref="Z60">VLOOKUP(AL60,V57:W60,2,FALSE)</f>
        <v>Nueva Zelanda</v>
      </c>
      <c r="AA60" s="133" cm="1">
        <f t="array" ref="AA60">SUM(AB60:AD60)</f>
        <v>3</v>
      </c>
      <c r="AB60" s="134" cm="1">
        <f t="array" ref="AB60">VLOOKUP($Z60,$O$57:$U$60,COLUMN()-26,FALSE)</f>
        <v>0</v>
      </c>
      <c r="AC60" s="134" cm="1">
        <f t="array" ref="AC60">VLOOKUP($Z60,$O$57:$U$60,COLUMN()-26,FALSE)</f>
        <v>1</v>
      </c>
      <c r="AD60" s="134" cm="1">
        <f t="array" ref="AD60">VLOOKUP($Z60,$O$57:$U$60,COLUMN()-26,FALSE)</f>
        <v>2</v>
      </c>
      <c r="AE60" s="134" cm="1">
        <f t="array" ref="AE60">VLOOKUP($Z60,$O$57:$U$60,COLUMN()-26,FALSE)</f>
        <v>-3</v>
      </c>
      <c r="AF60" s="134" cm="1">
        <f t="array" ref="AF60">VLOOKUP($Z60,$O$57:$U$60,COLUMN()-26,FALSE)</f>
        <v>2</v>
      </c>
      <c r="AG60" s="134" cm="1">
        <f t="array" ref="AG60">VLOOKUP($Z60,$O$57:$U$60,COLUMN()-26,FALSE)</f>
        <v>5</v>
      </c>
      <c r="AH60" s="135" cm="1">
        <f t="array" ref="AH60">VLOOKUP($Z60,$O$57:$V$60,COLUMN()-26,FALSE)</f>
        <v>1.2972058000000002</v>
      </c>
      <c r="AI60" s="130"/>
      <c r="AJ60" s="74"/>
      <c r="AK60" s="74"/>
      <c r="AL60" s="99" cm="1">
        <f t="array" ref="AL60">LARGE(V57:V60,4)</f>
        <v>1.2972058000000002</v>
      </c>
      <c r="AM60" s="100" cm="1">
        <f t="array" ref="AM60">(AH60-AL60)*100000000000000000000</f>
        <v>0</v>
      </c>
      <c r="AN60" s="74"/>
      <c r="AO60" s="74"/>
      <c r="AP60" s="101" t="str" cm="1">
        <f t="array" ref="AP60">O60</f>
        <v>Egipto</v>
      </c>
      <c r="AQ60" s="102" cm="1">
        <f t="array" ref="AQ60">P60*3+Q60*1+BT60+CN60+S60/1000+T60/10000</f>
        <v>6.0004</v>
      </c>
      <c r="AR60" s="65"/>
      <c r="AS60" s="103" cm="1">
        <f t="array" ref="AS60">AV60</f>
        <v>0</v>
      </c>
      <c r="AT60" s="103" cm="1">
        <f t="array" ref="AT60">IF(AND(AM61="si",OR(AR57=1,AR58=1,AR59=1)),1,0)</f>
        <v>0</v>
      </c>
      <c r="AU60" s="136" t="str" cm="1">
        <f t="array" ref="AU60">O60</f>
        <v>Egipto</v>
      </c>
      <c r="AV60" s="137"/>
      <c r="AW60" s="106"/>
      <c r="AX60" s="74" t="str" cm="1">
        <f t="array" ref="AX60">Y56</f>
        <v>Grupo G</v>
      </c>
      <c r="AY60" s="76" t="str" cm="1">
        <f t="array" ref="AY60">O60</f>
        <v>Egipto</v>
      </c>
      <c r="AZ60" s="107" cm="1">
        <f t="array" ref="AZ60">P60*3+Q60</f>
        <v>6</v>
      </c>
      <c r="BA60" s="107" cm="1">
        <f t="array" ref="BA60">COUNTIFS($AX$1:AX60,AX60,$AZ$1:AZ60,AZ60)</f>
        <v>1</v>
      </c>
      <c r="BB60" s="107" cm="1">
        <f t="array" ref="BB60">IF(AZ60=BF55,ROW()*0.001,AZ60)</f>
        <v>6</v>
      </c>
      <c r="BC60" s="107" cm="1">
        <f t="array" ref="BC60">COUNTIFS($AX$1:AZ60,AZ60,$AZ$1:BB60,BB60)</f>
        <v>2</v>
      </c>
      <c r="BD60" s="107"/>
      <c r="BE60" s="108" t="str" cm="1">
        <f t="array" ref="BE60">IF(OR(BF60="-",BI60="-",BF55=0),"-","OK")</f>
        <v>-</v>
      </c>
      <c r="BF60" s="109" t="str" cm="1">
        <f t="array" ref="BF60">IF(_xlfn.XLOOKUP($E60,$AY1:$AY108,$AZ1:$AZ108,"-",0)=BF55,$E60,"-")</f>
        <v>Nueva Zelanda</v>
      </c>
      <c r="BG60" s="110" cm="1">
        <f t="array" ref="BG60">$F60</f>
        <v>1</v>
      </c>
      <c r="BH60" s="110" cm="1">
        <f t="array" ref="BH60">$G60</f>
        <v>2</v>
      </c>
      <c r="BI60" s="109" t="str" cm="1">
        <f t="array" ref="BI60">IF(_xlfn.XLOOKUP($H60,$AY1:$AY108,$AZ1:$AZ108,"-",0)=BF55,$H60,"-")</f>
        <v>-</v>
      </c>
      <c r="BJ60" s="74"/>
      <c r="BK60" s="79" t="str" cm="1">
        <f t="array" ref="BK60">O60</f>
        <v>Egipto</v>
      </c>
      <c r="BL60" s="111" cm="1">
        <f t="array" ref="BL60">COUNTIFS($BE1:$BE108,"OK",$BI1:$BI108,BK60)+COUNTIFS($BE1:$BE108,"OK",$BF1:$BF108,BK60)</f>
        <v>0</v>
      </c>
      <c r="BM60" s="112" cm="1">
        <f t="array" ref="BM60">COUNTIFS(J1:J108,$BK60,$BE1:$BE108,"OK")</f>
        <v>0</v>
      </c>
      <c r="BN60" s="112" cm="1">
        <f t="array" ref="BN60">COUNTIFS(K1:K108,$BK60,$BE1:$BE108,"OK")+COUNTIFS(L1:L108,$BK60,$BE1:$BE108,"OK")</f>
        <v>0</v>
      </c>
      <c r="BO60" s="112" cm="1">
        <f t="array" ref="BO60">COUNTIFS(M1:M108,$BK60,$BE1:$BE108,"OK")</f>
        <v>0</v>
      </c>
      <c r="BP60" s="112" cm="1">
        <f t="array" ref="BP60">BQ60-BR60</f>
        <v>0</v>
      </c>
      <c r="BQ60" s="112" cm="1">
        <f t="array" ref="BQ60">SUMIFS(BG1:BG108,$BE1:$BE108,"OK",BF1:BF108,$BK60)+SUMIFS(BH1:BH108,$BE1:$BE108,"OK",BI1:BI108,$BK60)</f>
        <v>0</v>
      </c>
      <c r="BR60" s="112" cm="1">
        <f t="array" ref="BR60">SUMIFS(BH1:BH108,$BE1:$BE108,"OK",BF1:BF108,$BK60)+SUMIFS(BG1:BG108,$BE1:$BE108,"OK",BI1:BI108,$BK60)</f>
        <v>0</v>
      </c>
      <c r="BS60" s="113" cm="1">
        <f t="array" ref="BS60">BM60*3+BN60*1+BP60/100+BQ60/10000</f>
        <v>0</v>
      </c>
      <c r="BT60" s="107" cm="1">
        <f t="array" ref="BT60">IF(BL60=0,0,_xlfn.XLOOKUP(BS60,BV57:BV60,BW57:BW60))</f>
        <v>0</v>
      </c>
      <c r="BU60" s="99"/>
      <c r="BV60" s="113" cm="1">
        <f t="array" ref="BV60">LARGE(BS57:BS60,4)</f>
        <v>0</v>
      </c>
      <c r="BW60" s="112" cm="1">
        <f t="array" ref="BW60">BX60/$BW$1</f>
        <v>0</v>
      </c>
      <c r="BX60" s="114">
        <v>0</v>
      </c>
      <c r="BY60" s="108" t="str" cm="1">
        <f t="array" ref="BY60">IF(OR(BZ60="-",CC60="-"),"-","OK")</f>
        <v>-</v>
      </c>
      <c r="BZ60" s="109" t="str" cm="1">
        <f t="array" ref="BZ60">IF(_xlfn.XLOOKUP($E60,$AY1:$AY108,$AZ1:$AZ108,"-",0)=BZ55,$E60,"-")</f>
        <v>-</v>
      </c>
      <c r="CA60" s="110" cm="1">
        <f t="array" ref="CA60">$F60</f>
        <v>1</v>
      </c>
      <c r="CB60" s="110" cm="1">
        <f t="array" ref="CB60">$G60</f>
        <v>2</v>
      </c>
      <c r="CC60" s="109" t="str" cm="1">
        <f t="array" ref="CC60">IF(_xlfn.XLOOKUP($H60,$AY1:$AY108,$AZ1:$AZ108,"-",0)=BZ55,$H60,"-")</f>
        <v>-</v>
      </c>
      <c r="CD60" s="74"/>
      <c r="CE60" s="79" t="str" cm="1">
        <f t="array" ref="CE60">BK60</f>
        <v>Egipto</v>
      </c>
      <c r="CF60" s="111" cm="1">
        <f t="array" ref="CF60">COUNTIFS($BY1:$BY108,"OK",$CC1:$CC108,CE60)+COUNTIFS($BY1:$BY108,"OK",$BZ1:$BZ108,CE60)</f>
        <v>0</v>
      </c>
      <c r="CG60" s="112" cm="1">
        <f t="array" ref="CG60">COUNTIFS(P1:P108,$BK60,$BY1:$BY108,"OK")</f>
        <v>0</v>
      </c>
      <c r="CH60" s="112" cm="1">
        <f t="array" ref="CH60">COUNTIFS(K1:K108,$BK60,$BY1:$BY108,"OK")+COUNTIFS(L1:L108,$BK60,$BY1:$BY108,"OK")</f>
        <v>0</v>
      </c>
      <c r="CI60" s="112" cm="1">
        <f t="array" ref="CI60">COUNTIFS(M1:M108,$CE60,$BY1:$BY108,"OK")</f>
        <v>0</v>
      </c>
      <c r="CJ60" s="112" cm="1">
        <f t="array" ref="CJ60">CK60-CL60</f>
        <v>0</v>
      </c>
      <c r="CK60" s="112" cm="1">
        <f t="array" ref="CK60">SUMIFS(CA1:CA108,$BY1:$BY108,"OK",BZ1:BZ108,$BK60)+SUMIFS(CB1:CB108,$BY1:$BY108,"OK",CC1:CC108,$BK60)</f>
        <v>0</v>
      </c>
      <c r="CL60" s="112" cm="1">
        <f t="array" ref="CL60">SUMIFS(CB1:CB108,$BY1:$BY108,"OK",BZ1:BZ108,$BK60)+SUMIFS(CA1:CA108,$BY1:$BY108,"OK",CC1:CC108,$BK60)</f>
        <v>0</v>
      </c>
      <c r="CM60" s="113" cm="1">
        <f t="array" ref="CM60">CG60*3+CH60*1+CJ60/100+CK60/10000</f>
        <v>0</v>
      </c>
      <c r="CN60" s="107" cm="1">
        <f t="array" ref="CN60">IF(CF60=0,0,_xlfn.XLOOKUP(CM60,CP57:CP60,CQ57:CQ60))</f>
        <v>0</v>
      </c>
      <c r="CO60" s="99"/>
      <c r="CP60" s="113" cm="1">
        <f t="array" ref="CP60">LARGE(CM57:CM60,4)</f>
        <v>0</v>
      </c>
      <c r="CQ60" s="112" cm="1">
        <f t="array" ref="CQ60">CR60/$BW$1</f>
        <v>0</v>
      </c>
      <c r="CR60" s="114">
        <v>0</v>
      </c>
      <c r="CS60" s="74"/>
      <c r="CT60" s="74"/>
      <c r="CU60" s="74"/>
      <c r="CV60" s="74"/>
      <c r="CW60" s="74"/>
      <c r="CX60" s="172"/>
    </row>
    <row r="61" spans="1:102" ht="14.25" customHeight="1">
      <c r="A61" s="85" t="s">
        <v>189</v>
      </c>
      <c r="B61" s="86">
        <v>46200</v>
      </c>
      <c r="C61" s="87"/>
      <c r="D61" s="88"/>
      <c r="E61" s="85" t="s">
        <v>95</v>
      </c>
      <c r="F61" s="89">
        <v>0</v>
      </c>
      <c r="G61" s="89">
        <v>2</v>
      </c>
      <c r="H61" s="90" t="s">
        <v>55</v>
      </c>
      <c r="I61" s="106"/>
      <c r="J61" s="74" t="str" cm="1">
        <f t="array" ref="J61">IF(OR(ISBLANK(F61),ISBLANK(G61)),"",IF(F61&gt;G61,E61,IF(G61&gt;F61,H61,"")))</f>
        <v>Belgica</v>
      </c>
      <c r="K61" s="74" t="str" cm="1">
        <f t="array" ref="K61">IF(OR(ISBLANK(F61),ISBLANK(G61)),"",IF(F61=G61,E61,""))</f>
        <v/>
      </c>
      <c r="L61" s="74" t="str" cm="1">
        <f t="array" ref="L61">IF(OR(ISBLANK(F61),ISBLANK(G61)),"",IF(F61=G61,H61,""))</f>
        <v/>
      </c>
      <c r="M61" s="74" t="str" cm="1">
        <f t="array" ref="M61">IF(OR(ISBLANK(F61),ISBLANK(G61)),"",IF(F61&lt;G61,E61,IF(G61&lt;F61,H61,"")))</f>
        <v>Nueva Zelanda</v>
      </c>
      <c r="N61" s="74"/>
      <c r="O61" s="74"/>
      <c r="P61" s="74"/>
      <c r="Q61" s="74"/>
      <c r="R61" s="74"/>
      <c r="S61" s="74"/>
      <c r="T61" s="74"/>
      <c r="U61" s="74"/>
      <c r="V61" s="74"/>
      <c r="W61" s="74"/>
      <c r="X61" s="74"/>
      <c r="Y61" s="138"/>
      <c r="Z61" s="138"/>
      <c r="AA61" s="138"/>
      <c r="AB61" s="138"/>
      <c r="AC61" s="138"/>
      <c r="AD61" s="138"/>
      <c r="AE61" s="138"/>
      <c r="AF61" s="138"/>
      <c r="AG61" s="138"/>
      <c r="AH61" s="138"/>
      <c r="AI61" s="74"/>
      <c r="AJ61" s="74"/>
      <c r="AK61" s="74"/>
      <c r="AL61" s="139" t="s">
        <v>128</v>
      </c>
      <c r="AM61" s="74" t="str" cm="1">
        <f t="array" ref="AM61">IF(SUM(AA57:AA60)=12,"si","no")</f>
        <v>si</v>
      </c>
      <c r="AN61" s="74"/>
      <c r="AO61" s="74"/>
      <c r="AP61" s="74"/>
      <c r="AQ61" s="74"/>
      <c r="AR61" s="74"/>
      <c r="AS61" s="74"/>
      <c r="AT61" s="74"/>
      <c r="AU61" s="138"/>
      <c r="AV61" s="138"/>
      <c r="AW61" s="74"/>
      <c r="AX61" s="74"/>
      <c r="AY61" s="74"/>
      <c r="AZ61" s="74"/>
      <c r="BA61" s="74"/>
      <c r="BB61" s="74"/>
      <c r="BC61" s="74"/>
      <c r="BD61" s="74"/>
      <c r="BE61" s="108" t="str" cm="1">
        <f t="array" ref="BE61">IF(OR(BF61="-",BI61="-",BF55=0),"-","OK")</f>
        <v>-</v>
      </c>
      <c r="BF61" s="109" t="str" cm="1">
        <f t="array" ref="BF61">IF(_xlfn.XLOOKUP($E61,$AY1:$AY108,$AZ1:$AZ108,"-",0)=BF55,$E61,"-")</f>
        <v>Nueva Zelanda</v>
      </c>
      <c r="BG61" s="110" cm="1">
        <f t="array" ref="BG61">$F61</f>
        <v>0</v>
      </c>
      <c r="BH61" s="110" cm="1">
        <f t="array" ref="BH61">$G61</f>
        <v>2</v>
      </c>
      <c r="BI61" s="109" t="str" cm="1">
        <f t="array" ref="BI61">IF(_xlfn.XLOOKUP($H61,$AY1:$AY108,$AZ1:$AZ108,"-",0)=BF55,$H61,"-")</f>
        <v>-</v>
      </c>
      <c r="BJ61" s="74"/>
      <c r="BK61" s="74"/>
      <c r="BL61" s="74"/>
      <c r="BM61" s="74"/>
      <c r="BN61" s="74"/>
      <c r="BO61" s="74"/>
      <c r="BP61" s="74"/>
      <c r="BQ61" s="74"/>
      <c r="BR61" s="74"/>
      <c r="BS61" s="74"/>
      <c r="BT61" s="74"/>
      <c r="BU61" s="74"/>
      <c r="BV61" s="74"/>
      <c r="BW61" s="74"/>
      <c r="BX61" s="74"/>
      <c r="BY61" s="108" t="str" cm="1">
        <f t="array" ref="BY61">IF(OR(BZ61="-",CC61="-"),"-","OK")</f>
        <v>-</v>
      </c>
      <c r="BZ61" s="109" t="str" cm="1">
        <f t="array" ref="BZ61">IF(_xlfn.XLOOKUP($E61,$AY1:$AY108,$AZ1:$AZ108,"-",0)=BZ55,$E61,"-")</f>
        <v>-</v>
      </c>
      <c r="CA61" s="110" cm="1">
        <f t="array" ref="CA61">$F61</f>
        <v>0</v>
      </c>
      <c r="CB61" s="110" cm="1">
        <f t="array" ref="CB61">$G61</f>
        <v>2</v>
      </c>
      <c r="CC61" s="109" t="str" cm="1">
        <f t="array" ref="CC61">IF(_xlfn.XLOOKUP($H61,$AY1:$AY108,$AZ1:$AZ108,"-",0)=BZ55,$H61,"-")</f>
        <v>Belgica</v>
      </c>
      <c r="CD61" s="74"/>
      <c r="CE61" s="74"/>
      <c r="CF61" s="74"/>
      <c r="CG61" s="74"/>
      <c r="CH61" s="74"/>
      <c r="CI61" s="74"/>
      <c r="CJ61" s="74"/>
      <c r="CK61" s="74"/>
      <c r="CL61" s="74"/>
      <c r="CM61" s="74"/>
      <c r="CN61" s="74"/>
      <c r="CO61" s="74"/>
      <c r="CP61" s="74"/>
      <c r="CQ61" s="74"/>
      <c r="CR61" s="74"/>
      <c r="CS61" s="74"/>
      <c r="CT61" s="74"/>
      <c r="CU61" s="74"/>
      <c r="CV61" s="74"/>
      <c r="CW61" s="74"/>
      <c r="CX61" s="172"/>
    </row>
    <row r="62" spans="1:102" ht="14.25" customHeight="1">
      <c r="A62" s="85" t="s">
        <v>190</v>
      </c>
      <c r="B62" s="86">
        <v>46200</v>
      </c>
      <c r="C62" s="87"/>
      <c r="D62" s="88"/>
      <c r="E62" s="85" t="s">
        <v>75</v>
      </c>
      <c r="F62" s="89">
        <v>2</v>
      </c>
      <c r="G62" s="89">
        <v>1</v>
      </c>
      <c r="H62" s="90" t="s">
        <v>86</v>
      </c>
      <c r="I62" s="106"/>
      <c r="J62" s="74" t="str" cm="1">
        <f t="array" ref="J62">IF(OR(ISBLANK(F62),ISBLANK(G62)),"",IF(F62&gt;G62,E62,IF(G62&gt;F62,H62,"")))</f>
        <v>Egipto</v>
      </c>
      <c r="K62" s="74" t="str" cm="1">
        <f t="array" ref="K62">IF(OR(ISBLANK(F62),ISBLANK(G62)),"",IF(F62=G62,E62,""))</f>
        <v/>
      </c>
      <c r="L62" s="74" t="str" cm="1">
        <f t="array" ref="L62">IF(OR(ISBLANK(F62),ISBLANK(G62)),"",IF(F62=G62,H62,""))</f>
        <v/>
      </c>
      <c r="M62" s="74" t="str" cm="1">
        <f t="array" ref="M62">IF(OR(ISBLANK(F62),ISBLANK(G62)),"",IF(F62&lt;G62,E62,IF(G62&lt;F62,H62,"")))</f>
        <v>Iran</v>
      </c>
      <c r="N62" s="74"/>
      <c r="O62" s="74"/>
      <c r="P62" s="74"/>
      <c r="Q62" s="74"/>
      <c r="R62" s="74"/>
      <c r="S62" s="74"/>
      <c r="T62" s="74"/>
      <c r="U62" s="74"/>
      <c r="V62" s="74"/>
      <c r="W62" s="74"/>
      <c r="X62" s="74"/>
      <c r="Y62" s="140" t="s">
        <v>130</v>
      </c>
      <c r="Z62" s="74"/>
      <c r="AA62" s="74"/>
      <c r="AB62" s="74"/>
      <c r="AC62" s="74"/>
      <c r="AD62" s="74"/>
      <c r="AE62" s="74"/>
      <c r="AF62" s="74"/>
      <c r="AG62" s="74"/>
      <c r="AH62" s="74"/>
      <c r="AI62" s="74"/>
      <c r="AJ62" s="74"/>
      <c r="AK62" s="74"/>
      <c r="AL62" s="74"/>
      <c r="AM62" s="74"/>
      <c r="AN62" s="74"/>
      <c r="AO62" s="74"/>
      <c r="AP62" s="74"/>
      <c r="AQ62" s="74"/>
      <c r="AR62" s="114" cm="1">
        <f t="array" ref="AR62">IF(AND(AM61="si",OR(AR57=1,AR58=1,AR59=1)),1,0)</f>
        <v>0</v>
      </c>
      <c r="AS62" s="74"/>
      <c r="AT62" s="74"/>
      <c r="AU62" s="74"/>
      <c r="AV62" s="74"/>
      <c r="AW62" s="74"/>
      <c r="AX62" s="74"/>
      <c r="AY62" s="74"/>
      <c r="AZ62" s="74"/>
      <c r="BA62" s="74"/>
      <c r="BB62" s="74"/>
      <c r="BC62" s="74"/>
      <c r="BD62" s="74"/>
      <c r="BE62" s="108" t="str" cm="1">
        <f t="array" ref="BE62">IF(OR(BF62="-",BI62="-",BF55=0),"-","OK")</f>
        <v>-</v>
      </c>
      <c r="BF62" s="109" t="str" cm="1">
        <f t="array" ref="BF62">IF(_xlfn.XLOOKUP($E62,$AY1:$AY108,$AZ1:$AZ108,"-",0)=BF55,$E62,"-")</f>
        <v>-</v>
      </c>
      <c r="BG62" s="110" cm="1">
        <f t="array" ref="BG62">$F62</f>
        <v>2</v>
      </c>
      <c r="BH62" s="110" cm="1">
        <f t="array" ref="BH62">$G62</f>
        <v>1</v>
      </c>
      <c r="BI62" s="109" t="str" cm="1">
        <f t="array" ref="BI62">IF(_xlfn.XLOOKUP($H62,$AY1:$AY108,$AZ1:$AZ108,"-",0)=BF55,$H62,"-")</f>
        <v>Iran</v>
      </c>
      <c r="BJ62" s="74"/>
      <c r="BK62" s="74"/>
      <c r="BL62" s="74"/>
      <c r="BM62" s="74"/>
      <c r="BN62" s="74"/>
      <c r="BO62" s="74"/>
      <c r="BP62" s="74"/>
      <c r="BQ62" s="74"/>
      <c r="BR62" s="74"/>
      <c r="BS62" s="74"/>
      <c r="BT62" s="74"/>
      <c r="BU62" s="74"/>
      <c r="BV62" s="74"/>
      <c r="BW62" s="74"/>
      <c r="BX62" s="74"/>
      <c r="BY62" s="108" t="str" cm="1">
        <f t="array" ref="BY62">IF(OR(BZ62="-",CC62="-"),"-","OK")</f>
        <v>-</v>
      </c>
      <c r="BZ62" s="109" t="str" cm="1">
        <f t="array" ref="BZ62">IF(_xlfn.XLOOKUP($E62,$AY1:$AY108,$AZ1:$AZ108,"-",0)=BZ55,$E62,"-")</f>
        <v>-</v>
      </c>
      <c r="CA62" s="110" cm="1">
        <f t="array" ref="CA62">$F62</f>
        <v>2</v>
      </c>
      <c r="CB62" s="110" cm="1">
        <f t="array" ref="CB62">$G62</f>
        <v>1</v>
      </c>
      <c r="CC62" s="109" t="str" cm="1">
        <f t="array" ref="CC62">IF(_xlfn.XLOOKUP($H62,$AY1:$AY108,$AZ1:$AZ108,"-",0)=BZ55,$H62,"-")</f>
        <v>-</v>
      </c>
      <c r="CD62" s="74"/>
      <c r="CE62" s="74"/>
      <c r="CF62" s="74"/>
      <c r="CG62" s="74"/>
      <c r="CH62" s="74"/>
      <c r="CI62" s="74"/>
      <c r="CJ62" s="74"/>
      <c r="CK62" s="74"/>
      <c r="CL62" s="74"/>
      <c r="CM62" s="74"/>
      <c r="CN62" s="74"/>
      <c r="CO62" s="74"/>
      <c r="CP62" s="74"/>
      <c r="CQ62" s="74"/>
      <c r="CR62" s="74"/>
      <c r="CS62" s="74"/>
      <c r="CT62" s="74"/>
      <c r="CU62" s="74"/>
      <c r="CV62" s="74"/>
      <c r="CW62" s="74"/>
      <c r="CX62" s="172"/>
    </row>
    <row r="63" spans="1:102" ht="14.25" customHeight="1">
      <c r="A63" s="141"/>
      <c r="B63" s="142"/>
      <c r="C63" s="143"/>
      <c r="D63" s="144"/>
      <c r="E63" s="145"/>
      <c r="F63" s="143"/>
      <c r="G63" s="143"/>
      <c r="H63" s="146"/>
      <c r="I63" s="78"/>
      <c r="J63" s="77"/>
      <c r="K63" s="77"/>
      <c r="L63" s="77"/>
      <c r="M63" s="77"/>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78"/>
      <c r="AZ63" s="78"/>
      <c r="BA63" s="78"/>
      <c r="BB63" s="78"/>
      <c r="BC63" s="78"/>
      <c r="BD63" s="78"/>
      <c r="BE63" s="77"/>
      <c r="BF63" s="144"/>
      <c r="BG63" s="144"/>
      <c r="BH63" s="144"/>
      <c r="BI63" s="144"/>
      <c r="BJ63" s="78"/>
      <c r="BK63" s="78"/>
      <c r="BL63" s="78"/>
      <c r="BM63" s="78"/>
      <c r="BN63" s="78"/>
      <c r="BO63" s="78"/>
      <c r="BP63" s="78"/>
      <c r="BQ63" s="78"/>
      <c r="BR63" s="78"/>
      <c r="BS63" s="78"/>
      <c r="BT63" s="78"/>
      <c r="BU63" s="78"/>
      <c r="BV63" s="78"/>
      <c r="BW63" s="78"/>
      <c r="BX63" s="78"/>
      <c r="BY63" s="78"/>
      <c r="BZ63" s="144"/>
      <c r="CA63" s="144"/>
      <c r="CB63" s="144"/>
      <c r="CC63" s="144"/>
      <c r="CD63" s="78"/>
      <c r="CE63" s="78"/>
      <c r="CF63" s="78"/>
      <c r="CG63" s="78"/>
      <c r="CH63" s="78"/>
      <c r="CI63" s="78"/>
      <c r="CJ63" s="78"/>
      <c r="CK63" s="78"/>
      <c r="CL63" s="78"/>
      <c r="CM63" s="78"/>
      <c r="CN63" s="78"/>
      <c r="CO63" s="78"/>
      <c r="CP63" s="78"/>
      <c r="CQ63" s="78"/>
      <c r="CR63" s="78"/>
      <c r="CS63" s="78"/>
      <c r="CT63" s="78"/>
      <c r="CU63" s="78"/>
      <c r="CV63" s="78"/>
      <c r="CW63" s="77"/>
      <c r="CX63" s="174"/>
    </row>
    <row r="64" spans="1:102" ht="14.25" customHeight="1">
      <c r="A64" s="150"/>
      <c r="B64" s="144"/>
      <c r="C64" s="144"/>
      <c r="D64" s="144"/>
      <c r="E64" s="144"/>
      <c r="F64" s="144"/>
      <c r="G64" s="144"/>
      <c r="H64" s="144"/>
      <c r="I64" s="138"/>
      <c r="J64" s="138"/>
      <c r="K64" s="138"/>
      <c r="L64" s="138"/>
      <c r="M64" s="138"/>
      <c r="N64" s="138"/>
      <c r="O64" s="138"/>
      <c r="P64" s="138"/>
      <c r="Q64" s="138"/>
      <c r="R64" s="138"/>
      <c r="S64" s="138"/>
      <c r="T64" s="138"/>
      <c r="U64" s="138"/>
      <c r="V64" s="138"/>
      <c r="W64" s="138"/>
      <c r="X64" s="138"/>
      <c r="Y64" s="144"/>
      <c r="Z64" s="144"/>
      <c r="AA64" s="144"/>
      <c r="AB64" s="144"/>
      <c r="AC64" s="144"/>
      <c r="AD64" s="144"/>
      <c r="AE64" s="144"/>
      <c r="AF64" s="144"/>
      <c r="AG64" s="144"/>
      <c r="AH64" s="144"/>
      <c r="AI64" s="138"/>
      <c r="AJ64" s="138"/>
      <c r="AK64" s="138"/>
      <c r="AL64" s="138"/>
      <c r="AM64" s="138"/>
      <c r="AN64" s="138"/>
      <c r="AO64" s="138"/>
      <c r="AP64" s="138"/>
      <c r="AQ64" s="138"/>
      <c r="AR64" s="138"/>
      <c r="AS64" s="138"/>
      <c r="AT64" s="138"/>
      <c r="AU64" s="138"/>
      <c r="AV64" s="138"/>
      <c r="AW64" s="138"/>
      <c r="AX64" s="138"/>
      <c r="AY64" s="138"/>
      <c r="AZ64" s="138"/>
      <c r="BA64" s="138"/>
      <c r="BB64" s="138"/>
      <c r="BC64" s="138"/>
      <c r="BD64" s="138"/>
      <c r="BE64" s="138"/>
      <c r="BF64" s="151" cm="1">
        <f t="array" ref="BF64">IF(BA66&gt;1,AZ66,IF(BA67&gt;1,AZ67,IF(BA68&gt;1,AZ68,IF(BA69&gt;1,AZ69,"-"))))</f>
        <v>7</v>
      </c>
      <c r="BG64" s="138"/>
      <c r="BH64" s="138"/>
      <c r="BI64" s="138"/>
      <c r="BJ64" s="138"/>
      <c r="BK64" s="138"/>
      <c r="BL64" s="138"/>
      <c r="BM64" s="138"/>
      <c r="BN64" s="138"/>
      <c r="BO64" s="138"/>
      <c r="BP64" s="138"/>
      <c r="BQ64" s="138"/>
      <c r="BR64" s="138"/>
      <c r="BS64" s="138"/>
      <c r="BT64" s="138"/>
      <c r="BU64" s="138"/>
      <c r="BV64" s="138"/>
      <c r="BW64" s="152">
        <v>10</v>
      </c>
      <c r="BX64" s="138"/>
      <c r="BY64" s="138"/>
      <c r="BZ64" s="153" cm="1">
        <f t="array" ref="BZ64">IF(BC66&gt;1,BB66,IF(BC67&gt;1,BB67,IF(BC68&gt;1,BB68,IF(BC69&gt;1,BB69,"-"))))</f>
        <v>0</v>
      </c>
      <c r="CA64" s="138"/>
      <c r="CB64" s="138"/>
      <c r="CC64" s="138"/>
      <c r="CD64" s="138"/>
      <c r="CE64" s="138"/>
      <c r="CF64" s="138"/>
      <c r="CG64" s="138"/>
      <c r="CH64" s="138"/>
      <c r="CI64" s="138"/>
      <c r="CJ64" s="138"/>
      <c r="CK64" s="138"/>
      <c r="CL64" s="138"/>
      <c r="CM64" s="138"/>
      <c r="CN64" s="138"/>
      <c r="CO64" s="138"/>
      <c r="CP64" s="138"/>
      <c r="CQ64" s="152">
        <v>10</v>
      </c>
      <c r="CR64" s="138"/>
      <c r="CS64" s="138"/>
      <c r="CT64" s="138"/>
      <c r="CU64" s="138"/>
      <c r="CV64" s="138"/>
      <c r="CW64" s="138"/>
      <c r="CX64" s="175"/>
    </row>
    <row r="65" spans="1:102" ht="14.25" customHeight="1">
      <c r="A65" s="225" t="s">
        <v>101</v>
      </c>
      <c r="B65" s="226" t="s">
        <v>102</v>
      </c>
      <c r="C65" s="226" t="s">
        <v>103</v>
      </c>
      <c r="D65" s="227"/>
      <c r="E65" s="228" t="s">
        <v>191</v>
      </c>
      <c r="F65" s="229"/>
      <c r="G65" s="229"/>
      <c r="H65" s="230"/>
      <c r="I65" s="65"/>
      <c r="J65" s="66" t="s">
        <v>105</v>
      </c>
      <c r="K65" s="66" t="s">
        <v>106</v>
      </c>
      <c r="L65" s="66" t="s">
        <v>106</v>
      </c>
      <c r="M65" s="66" t="s">
        <v>107</v>
      </c>
      <c r="N65" s="65"/>
      <c r="O65" s="67" t="str" cm="1">
        <f t="array" ref="O65">E65</f>
        <v>Grupo H</v>
      </c>
      <c r="P65" s="68" t="s">
        <v>105</v>
      </c>
      <c r="Q65" s="68" t="s">
        <v>106</v>
      </c>
      <c r="R65" s="68" t="s">
        <v>107</v>
      </c>
      <c r="S65" s="68" t="s">
        <v>108</v>
      </c>
      <c r="T65" s="68" t="s">
        <v>109</v>
      </c>
      <c r="U65" s="68" t="s">
        <v>110</v>
      </c>
      <c r="V65" s="68" t="s">
        <v>0</v>
      </c>
      <c r="W65" s="69"/>
      <c r="X65" s="65"/>
      <c r="Y65" s="776" t="s">
        <v>191</v>
      </c>
      <c r="Z65" s="777"/>
      <c r="AA65" s="231" t="s">
        <v>111</v>
      </c>
      <c r="AB65" s="232" t="s">
        <v>105</v>
      </c>
      <c r="AC65" s="232" t="s">
        <v>106</v>
      </c>
      <c r="AD65" s="232" t="s">
        <v>107</v>
      </c>
      <c r="AE65" s="232" t="s">
        <v>108</v>
      </c>
      <c r="AF65" s="232" t="s">
        <v>109</v>
      </c>
      <c r="AG65" s="232" t="s">
        <v>110</v>
      </c>
      <c r="AH65" s="233" t="s">
        <v>0</v>
      </c>
      <c r="AI65" s="234"/>
      <c r="AJ65" s="74"/>
      <c r="AK65" s="74"/>
      <c r="AL65" s="75" t="s">
        <v>0</v>
      </c>
      <c r="AM65" s="75" t="s">
        <v>112</v>
      </c>
      <c r="AN65" s="76"/>
      <c r="AO65" s="76"/>
      <c r="AP65" s="76"/>
      <c r="AQ65" s="76"/>
      <c r="AR65" s="76"/>
      <c r="AS65" s="76"/>
      <c r="AT65" s="76"/>
      <c r="AU65" s="77"/>
      <c r="AV65" s="78"/>
      <c r="AW65" s="74"/>
      <c r="AX65" s="74"/>
      <c r="AY65" s="75" t="s">
        <v>113</v>
      </c>
      <c r="AZ65" s="75" t="s">
        <v>0</v>
      </c>
      <c r="BA65" s="75" t="s">
        <v>114</v>
      </c>
      <c r="BB65" s="76"/>
      <c r="BC65" s="76"/>
      <c r="BD65" s="76"/>
      <c r="BE65" s="74"/>
      <c r="BF65" s="78"/>
      <c r="BG65" s="78"/>
      <c r="BH65" s="78"/>
      <c r="BI65" s="78"/>
      <c r="BJ65" s="74"/>
      <c r="BK65" s="79"/>
      <c r="BL65" s="80" t="s">
        <v>111</v>
      </c>
      <c r="BM65" s="75" t="s">
        <v>105</v>
      </c>
      <c r="BN65" s="75" t="s">
        <v>106</v>
      </c>
      <c r="BO65" s="75" t="s">
        <v>107</v>
      </c>
      <c r="BP65" s="75" t="s">
        <v>108</v>
      </c>
      <c r="BQ65" s="75" t="s">
        <v>109</v>
      </c>
      <c r="BR65" s="75" t="s">
        <v>110</v>
      </c>
      <c r="BS65" s="75" t="s">
        <v>0</v>
      </c>
      <c r="BT65" s="75" t="s">
        <v>115</v>
      </c>
      <c r="BU65" s="76"/>
      <c r="BV65" s="75" t="s">
        <v>116</v>
      </c>
      <c r="BW65" s="75" t="s">
        <v>115</v>
      </c>
      <c r="BX65" s="74"/>
      <c r="BY65" s="74"/>
      <c r="BZ65" s="78"/>
      <c r="CA65" s="78"/>
      <c r="CB65" s="78"/>
      <c r="CC65" s="78"/>
      <c r="CD65" s="74"/>
      <c r="CE65" s="79"/>
      <c r="CF65" s="80" t="s">
        <v>111</v>
      </c>
      <c r="CG65" s="75" t="s">
        <v>105</v>
      </c>
      <c r="CH65" s="75" t="s">
        <v>106</v>
      </c>
      <c r="CI65" s="75" t="s">
        <v>107</v>
      </c>
      <c r="CJ65" s="75" t="s">
        <v>108</v>
      </c>
      <c r="CK65" s="75" t="s">
        <v>109</v>
      </c>
      <c r="CL65" s="75" t="s">
        <v>110</v>
      </c>
      <c r="CM65" s="75" t="s">
        <v>0</v>
      </c>
      <c r="CN65" s="75" t="s">
        <v>115</v>
      </c>
      <c r="CO65" s="76"/>
      <c r="CP65" s="75" t="s">
        <v>116</v>
      </c>
      <c r="CQ65" s="75" t="s">
        <v>115</v>
      </c>
      <c r="CR65" s="74"/>
      <c r="CS65" s="74"/>
      <c r="CT65" s="74"/>
      <c r="CU65" s="74"/>
      <c r="CV65" s="74"/>
      <c r="CW65" s="74"/>
      <c r="CX65" s="172"/>
    </row>
    <row r="66" spans="1:102" ht="14.25" customHeight="1">
      <c r="A66" s="85" t="s">
        <v>192</v>
      </c>
      <c r="B66" s="86">
        <v>46188</v>
      </c>
      <c r="C66" s="87"/>
      <c r="D66" s="88"/>
      <c r="E66" s="85" t="s">
        <v>49</v>
      </c>
      <c r="F66" s="89">
        <v>4</v>
      </c>
      <c r="G66" s="89">
        <v>0</v>
      </c>
      <c r="H66" s="90" t="s">
        <v>92</v>
      </c>
      <c r="I66" s="65"/>
      <c r="J66" s="65" t="str" cm="1">
        <f t="array" ref="J66">IF(OR(ISBLANK(F66),ISBLANK(G66)),"",IF(F66&gt;G66,E66,IF(G66&gt;F66,H66,"")))</f>
        <v>España</v>
      </c>
      <c r="K66" s="65" t="str" cm="1">
        <f t="array" ref="K66">IF(OR(ISBLANK(F66),ISBLANK(G66)),"",IF(F66=G66,E66,""))</f>
        <v/>
      </c>
      <c r="L66" s="65" t="str" cm="1">
        <f t="array" ref="L66">IF(OR(ISBLANK(F66),ISBLANK(G66)),"",IF(F66=G66,H66,""))</f>
        <v/>
      </c>
      <c r="M66" s="65" t="str" cm="1">
        <f t="array" ref="M66">IF(OR(ISBLANK(F66),ISBLANK(G66)),"",IF(F66&lt;G66,E66,IF(G66&lt;F66,H66,"")))</f>
        <v>Cabo Verde</v>
      </c>
      <c r="N66" s="65"/>
      <c r="O66" s="67" t="str" cm="1">
        <f t="array" ref="O66">E66</f>
        <v>España</v>
      </c>
      <c r="P66" s="91" cm="1">
        <f t="array" ref="P66">COUNTIF(J66:J71,"="&amp;$O66)</f>
        <v>2</v>
      </c>
      <c r="Q66" s="91" cm="1">
        <f t="array" ref="Q66">COUNTIF(K66:L71,"="&amp;$O66)</f>
        <v>1</v>
      </c>
      <c r="R66" s="91" cm="1">
        <f t="array" ref="R66">COUNTIF(M66:M71,"="&amp;$O66)</f>
        <v>0</v>
      </c>
      <c r="S66" s="91" cm="1">
        <f t="array" ref="S66">T66-U66</f>
        <v>6</v>
      </c>
      <c r="T66" s="91" cm="1">
        <f t="array" ref="T66">SUMIF(E66:E71,$O66,F66:F71)+SUMIF(H66:H71,$O66,G66:G71)</f>
        <v>7</v>
      </c>
      <c r="U66" s="91" cm="1">
        <f t="array" ref="U66">SUMIF(E66:E71,$O66,G66:G71)+SUMIF(H66:H71,$O66,F66:F71)</f>
        <v>1</v>
      </c>
      <c r="V66" s="92" cm="1">
        <f t="array" ref="V66">P66*3+Q66*1+BT66+CN66+S66/1000+T66/10000+AV66/1000000+ROW()/10000000</f>
        <v>7.3067066000000001</v>
      </c>
      <c r="W66" s="67" t="str" cm="1">
        <f t="array" ref="W66">O66</f>
        <v>España</v>
      </c>
      <c r="X66" s="65"/>
      <c r="Y66" s="93" t="str" cm="1">
        <f t="array" ref="Y66">CONCATENATE("1",RIGHT(E65,1))</f>
        <v>1H</v>
      </c>
      <c r="Z66" s="94" t="str" cm="1">
        <f t="array" ref="Z66">VLOOKUP(AL66,V66:W69,2,FALSE)</f>
        <v>España</v>
      </c>
      <c r="AA66" s="95" cm="1">
        <f t="array" ref="AA66">SUM(AB66:AD66)</f>
        <v>3</v>
      </c>
      <c r="AB66" s="96" cm="1">
        <f t="array" ref="AB66">VLOOKUP($Z66,$O$66:$U$69,COLUMN()-26,FALSE)</f>
        <v>2</v>
      </c>
      <c r="AC66" s="96" cm="1">
        <f t="array" ref="AC66">VLOOKUP($Z66,$O$66:$U$69,COLUMN()-26,FALSE)</f>
        <v>1</v>
      </c>
      <c r="AD66" s="96" cm="1">
        <f t="array" ref="AD66">VLOOKUP($Z66,$O$66:$U$69,COLUMN()-26,FALSE)</f>
        <v>0</v>
      </c>
      <c r="AE66" s="96" cm="1">
        <f t="array" ref="AE66">VLOOKUP($Z66,$O$66:$U$69,COLUMN()-26,FALSE)</f>
        <v>6</v>
      </c>
      <c r="AF66" s="96" cm="1">
        <f t="array" ref="AF66">VLOOKUP($Z66,$O$66:$U$69,COLUMN()-26,FALSE)</f>
        <v>7</v>
      </c>
      <c r="AG66" s="96" cm="1">
        <f t="array" ref="AG66">VLOOKUP($Z66,$O$66:$U$69,COLUMN()-26,FALSE)</f>
        <v>1</v>
      </c>
      <c r="AH66" s="97" cm="1">
        <f t="array" ref="AH66">VLOOKUP($Z66,$O$66:$V$69,COLUMN()-26,FALSE)</f>
        <v>7.3067066000000001</v>
      </c>
      <c r="AI66" s="98"/>
      <c r="AJ66" s="74"/>
      <c r="AK66" s="74"/>
      <c r="AL66" s="99" cm="1">
        <f t="array" ref="AL66">LARGE(V66:V69,1)</f>
        <v>7.3067066000000001</v>
      </c>
      <c r="AM66" s="100" cm="1">
        <f t="array" ref="AM66">(AH66-AL66)*100000000000000000000</f>
        <v>0</v>
      </c>
      <c r="AN66" s="74"/>
      <c r="AO66" s="74"/>
      <c r="AP66" s="101" t="str" cm="1">
        <f t="array" ref="AP66">O66</f>
        <v>España</v>
      </c>
      <c r="AQ66" s="102" cm="1">
        <f t="array" ref="AQ66">P66*3+Q66*1+BT66+CN66+S66/1000+T66/10000</f>
        <v>7.3067000000000002</v>
      </c>
      <c r="AR66" s="102" t="b" cm="1">
        <f t="array" ref="AR66">IF(OR(AQ66=AQ67,AQ66=AQ68,AQ66=AQ69),1)</f>
        <v>0</v>
      </c>
      <c r="AS66" s="103" cm="1">
        <f t="array" ref="AS66">AV66</f>
        <v>0</v>
      </c>
      <c r="AT66" s="103" cm="1">
        <f t="array" ref="AT66">IF(AND(AM70="si",OR(AR66=1,AR67=1,AR68=1)),1,0)</f>
        <v>0</v>
      </c>
      <c r="AU66" s="104" t="str" cm="1">
        <f t="array" ref="AU66">O66</f>
        <v>España</v>
      </c>
      <c r="AV66" s="105"/>
      <c r="AW66" s="106"/>
      <c r="AX66" s="74" t="str" cm="1">
        <f t="array" ref="AX66">Y65</f>
        <v>Grupo H</v>
      </c>
      <c r="AY66" s="76" t="str" cm="1">
        <f t="array" ref="AY66">O66</f>
        <v>España</v>
      </c>
      <c r="AZ66" s="107" cm="1">
        <f t="array" ref="AZ66">P66*3+Q66</f>
        <v>7</v>
      </c>
      <c r="BA66" s="107" cm="1">
        <f t="array" ref="BA66">COUNTIFS($AX$1:AX66,AX66,$AZ$1:AZ66,AZ66)</f>
        <v>1</v>
      </c>
      <c r="BB66" s="107" cm="1">
        <f t="array" ref="BB66">IF(AZ66=BF64,ROW()*0.001,AZ66)</f>
        <v>6.6000000000000003E-2</v>
      </c>
      <c r="BC66" s="107" cm="1">
        <f t="array" ref="BC66">COUNTIFS($AX$1:AZ66,AZ66,$AZ$1:BB66,BB66)</f>
        <v>1</v>
      </c>
      <c r="BD66" s="107"/>
      <c r="BE66" s="108" t="str" cm="1">
        <f t="array" ref="BE66">IF(OR(BF66="-",BI66="-",BF64=0),"-","OK")</f>
        <v>-</v>
      </c>
      <c r="BF66" s="109" t="str" cm="1">
        <f t="array" ref="BF66">IF(_xlfn.XLOOKUP($E66,$AY1:$AY108,$AZ1:$AZ108,"-",0)=BF64,$E66,"-")</f>
        <v>España</v>
      </c>
      <c r="BG66" s="110" cm="1">
        <f t="array" ref="BG66">$F66</f>
        <v>4</v>
      </c>
      <c r="BH66" s="110" cm="1">
        <f t="array" ref="BH66">$G66</f>
        <v>0</v>
      </c>
      <c r="BI66" s="109" t="str" cm="1">
        <f t="array" ref="BI66">IF(_xlfn.XLOOKUP($H66,$AY1:$AY108,$AZ1:$AZ108,"-",0)=BF64,$H66,"-")</f>
        <v>-</v>
      </c>
      <c r="BJ66" s="74"/>
      <c r="BK66" s="79" t="str" cm="1">
        <f t="array" ref="BK66">O66</f>
        <v>España</v>
      </c>
      <c r="BL66" s="111" cm="1">
        <f t="array" ref="BL66">COUNTIFS($BE1:$BE108,"OK",$BI1:$BI108,BK66)+COUNTIFS($BE1:$BE108,"OK",$BF1:$BF108,BK66)</f>
        <v>1</v>
      </c>
      <c r="BM66" s="112" cm="1">
        <f t="array" ref="BM66">COUNTIFS(J1:J108,$BK66,$BE1:$BE108,"OK")</f>
        <v>0</v>
      </c>
      <c r="BN66" s="112" cm="1">
        <f t="array" ref="BN66">COUNTIFS(K1:K108,$BK66,$BE1:$BE108,"OK")+COUNTIFS(L1:L108,$BK66,$BE1:$BE108,"OK")</f>
        <v>1</v>
      </c>
      <c r="BO66" s="112" cm="1">
        <f t="array" ref="BO66">COUNTIFS(M1:M108,$BK66,$BE1:$BE108,"OK")</f>
        <v>0</v>
      </c>
      <c r="BP66" s="112" cm="1">
        <f t="array" ref="BP66">BQ66-BR66</f>
        <v>0</v>
      </c>
      <c r="BQ66" s="112" cm="1">
        <f t="array" ref="BQ66">SUMIFS(BG1:BG108,$BE1:$BE108,"OK",BF1:BF108,$BK66)+SUMIFS(BH1:BH108,$BE1:$BE108,"OK",BI1:BI108,$BK66)</f>
        <v>1</v>
      </c>
      <c r="BR66" s="112" cm="1">
        <f t="array" ref="BR66">SUMIFS(BH1:BH108,$BE1:$BE108,"OK",BF1:BF108,$BK66)+SUMIFS(BG1:BG108,$BE1:$BE108,"OK",BI1:BI108,$BK66)</f>
        <v>1</v>
      </c>
      <c r="BS66" s="113" cm="1">
        <f t="array" ref="BS66">BM66*3+BN66*1+BP66/100+BQ66/10000</f>
        <v>1.0001</v>
      </c>
      <c r="BT66" s="113" cm="1">
        <f t="array" ref="BT66">IF(BL66=0,0,_xlfn.XLOOKUP(BS66,BV66:BV69,BW66:BW69))</f>
        <v>0.3</v>
      </c>
      <c r="BU66" s="99"/>
      <c r="BV66" s="113" cm="1">
        <f t="array" ref="BV66">LARGE(BS66:BS69,1)</f>
        <v>1.0001</v>
      </c>
      <c r="BW66" s="112" cm="1">
        <f t="array" ref="BW66">BX66/$BW$1</f>
        <v>0.3</v>
      </c>
      <c r="BX66" s="114">
        <v>3</v>
      </c>
      <c r="BY66" s="108" t="str" cm="1">
        <f t="array" ref="BY66">IF(OR(BZ66="-",CC66="-"),"-","OK")</f>
        <v>-</v>
      </c>
      <c r="BZ66" s="109" t="str" cm="1">
        <f t="array" ref="BZ66">IF(_xlfn.XLOOKUP($E66,$AY1:$AY108,$AZ1:$AZ108,"-",0)=BZ64,$E66,"-")</f>
        <v>-</v>
      </c>
      <c r="CA66" s="110" cm="1">
        <f t="array" ref="CA66">$F66</f>
        <v>4</v>
      </c>
      <c r="CB66" s="110" cm="1">
        <f t="array" ref="CB66">$G66</f>
        <v>0</v>
      </c>
      <c r="CC66" s="109" t="str" cm="1">
        <f t="array" ref="CC66">IF(_xlfn.XLOOKUP($H66,$AY1:$AY108,$AZ1:$AZ108,"-",0)=BZ64,$H66,"-")</f>
        <v>Cabo Verde</v>
      </c>
      <c r="CD66" s="74"/>
      <c r="CE66" s="79" t="str" cm="1">
        <f t="array" ref="CE66">BK66</f>
        <v>España</v>
      </c>
      <c r="CF66" s="111" cm="1">
        <f t="array" ref="CF66">COUNTIFS($BY1:$BY108,"OK",$CC1:$CC108,CE66)+COUNTIFS($BY1:$BY108,"OK",$BZ1:$BZ108,CE66)</f>
        <v>0</v>
      </c>
      <c r="CG66" s="112" cm="1">
        <f t="array" ref="CG66">COUNTIFS(P1:P108,$BK66,$BY1:$BY108,"OK")</f>
        <v>0</v>
      </c>
      <c r="CH66" s="112" cm="1">
        <f t="array" ref="CH66">COUNTIFS(K1:K108,$BK66,$BY1:$BY108,"OK")+COUNTIFS(L1:L108,$BK66,$BY1:$BY108,"OK")</f>
        <v>0</v>
      </c>
      <c r="CI66" s="112" cm="1">
        <f t="array" ref="CI66">COUNTIFS(M1:M108,$CE66,$BY1:$BY108,"OK")</f>
        <v>0</v>
      </c>
      <c r="CJ66" s="112" cm="1">
        <f t="array" ref="CJ66">CK66-CL66</f>
        <v>0</v>
      </c>
      <c r="CK66" s="112" cm="1">
        <f t="array" ref="CK66">SUMIFS(CA1:CA108,$BY1:$BY108,"OK",BZ1:BZ108,$BK66)+SUMIFS(CB1:CB108,$BY1:$BY108,"OK",CC1:CC108,$BK66)</f>
        <v>0</v>
      </c>
      <c r="CL66" s="112" cm="1">
        <f t="array" ref="CL66">SUMIFS(CB1:CB108,$BY1:$BY108,"OK",BZ1:BZ108,$BK66)+SUMIFS(CA1:CA108,$BY1:$BY108,"OK",CC1:CC108,$BK66)</f>
        <v>0</v>
      </c>
      <c r="CM66" s="113" cm="1">
        <f t="array" ref="CM66">CG66*3+CH66*1+CJ66/100+CK66/10000</f>
        <v>0</v>
      </c>
      <c r="CN66" s="235" cm="1">
        <f t="array" ref="CN66">IF(CF66=0,0,_xlfn.XLOOKUP(CM66,CP66:CP69,CQ66:CQ69))</f>
        <v>0</v>
      </c>
      <c r="CO66" s="99"/>
      <c r="CP66" s="113" cm="1">
        <f t="array" ref="CP66">LARGE(CM66:CM69,1)</f>
        <v>0</v>
      </c>
      <c r="CQ66" s="112" cm="1">
        <f t="array" ref="CQ66">CR66/$BW$1</f>
        <v>0.3</v>
      </c>
      <c r="CR66" s="114">
        <v>3</v>
      </c>
      <c r="CS66" s="74"/>
      <c r="CT66" s="74"/>
      <c r="CU66" s="74"/>
      <c r="CV66" s="74"/>
      <c r="CW66" s="74"/>
      <c r="CX66" s="172"/>
    </row>
    <row r="67" spans="1:102" ht="14.25" customHeight="1">
      <c r="A67" s="85" t="s">
        <v>194</v>
      </c>
      <c r="B67" s="86">
        <v>46188</v>
      </c>
      <c r="C67" s="87"/>
      <c r="D67" s="88"/>
      <c r="E67" s="85" t="s">
        <v>83</v>
      </c>
      <c r="F67" s="89">
        <v>1</v>
      </c>
      <c r="G67" s="89">
        <v>2</v>
      </c>
      <c r="H67" s="90" t="s">
        <v>58</v>
      </c>
      <c r="I67" s="65"/>
      <c r="J67" s="65" t="str" cm="1">
        <f t="array" ref="J67">IF(OR(ISBLANK(F67),ISBLANK(G67)),"",IF(F67&gt;G67,E67,IF(G67&gt;F67,H67,"")))</f>
        <v>Uruguay</v>
      </c>
      <c r="K67" s="65" t="str" cm="1">
        <f t="array" ref="K67">IF(OR(ISBLANK(F67),ISBLANK(G67)),"",IF(F67=G67,E67,""))</f>
        <v/>
      </c>
      <c r="L67" s="65" t="str" cm="1">
        <f t="array" ref="L67">IF(OR(ISBLANK(F67),ISBLANK(G67)),"",IF(F67=G67,H67,""))</f>
        <v/>
      </c>
      <c r="M67" s="65" t="str" cm="1">
        <f t="array" ref="M67">IF(OR(ISBLANK(F67),ISBLANK(G67)),"",IF(F67&lt;G67,E67,IF(G67&lt;F67,H67,"")))</f>
        <v>Arabia Saudita</v>
      </c>
      <c r="N67" s="65"/>
      <c r="O67" s="67" t="str" cm="1">
        <f t="array" ref="O67">H66</f>
        <v>Cabo Verde</v>
      </c>
      <c r="P67" s="91" cm="1">
        <f t="array" ref="P67">COUNTIF(J66:J71,"="&amp;$O67)</f>
        <v>0</v>
      </c>
      <c r="Q67" s="91" cm="1">
        <f t="array" ref="Q67">COUNTIF(K66:L71,"="&amp;$O67)</f>
        <v>0</v>
      </c>
      <c r="R67" s="91" cm="1">
        <f t="array" ref="R67">COUNTIF(M66:M71,"="&amp;$O67)</f>
        <v>3</v>
      </c>
      <c r="S67" s="91" cm="1">
        <f t="array" ref="S67">T67-U67</f>
        <v>-8</v>
      </c>
      <c r="T67" s="91" cm="1">
        <f t="array" ref="T67">SUMIF(E66:E71,$O67,F66:F71)+SUMIF(H66:H71,$O67,G66:G71)</f>
        <v>0</v>
      </c>
      <c r="U67" s="91" cm="1">
        <f t="array" ref="U67">SUMIF(E66:E71,$O67,G66:G71)+SUMIF(H66:H71,$O67,F66:F71)</f>
        <v>8</v>
      </c>
      <c r="V67" s="92" cm="1">
        <f t="array" ref="V67">P67*3+Q67*1+BT67+CN67+S67/1000+T67/10000+AV67/1000000+ROW()/10000000</f>
        <v>-7.9933000000000001E-3</v>
      </c>
      <c r="W67" s="67" t="str" cm="1">
        <f t="array" ref="W67">O67</f>
        <v>Cabo Verde</v>
      </c>
      <c r="X67" s="65"/>
      <c r="Y67" s="117" t="str" cm="1">
        <f t="array" ref="Y67">CONCATENATE("2",RIGHT(E65,1))</f>
        <v>2H</v>
      </c>
      <c r="Z67" s="118" t="str" cm="1">
        <f t="array" ref="Z67">VLOOKUP(AL67,V66:W69,2,FALSE)</f>
        <v>Uruguay</v>
      </c>
      <c r="AA67" s="119" cm="1">
        <f t="array" ref="AA67">SUM(AB67:AD67)</f>
        <v>3</v>
      </c>
      <c r="AB67" s="120" cm="1">
        <f t="array" ref="AB67">VLOOKUP($Z67,$O$66:$U$69,COLUMN()-26,FALSE)</f>
        <v>2</v>
      </c>
      <c r="AC67" s="120" cm="1">
        <f t="array" ref="AC67">VLOOKUP($Z67,$O$66:$U$69,COLUMN()-26,FALSE)</f>
        <v>1</v>
      </c>
      <c r="AD67" s="120" cm="1">
        <f t="array" ref="AD67">VLOOKUP($Z67,$O$66:$U$69,COLUMN()-26,FALSE)</f>
        <v>0</v>
      </c>
      <c r="AE67" s="120" cm="1">
        <f t="array" ref="AE67">VLOOKUP($Z67,$O$66:$U$69,COLUMN()-26,FALSE)</f>
        <v>3</v>
      </c>
      <c r="AF67" s="120" cm="1">
        <f t="array" ref="AF67">VLOOKUP($Z67,$O$66:$U$69,COLUMN()-26,FALSE)</f>
        <v>5</v>
      </c>
      <c r="AG67" s="120" cm="1">
        <f t="array" ref="AG67">VLOOKUP($Z67,$O$66:$U$69,COLUMN()-26,FALSE)</f>
        <v>2</v>
      </c>
      <c r="AH67" s="121" cm="1">
        <f t="array" ref="AH67">VLOOKUP($Z67,$O$66:$V$69,COLUMN()-26,FALSE)</f>
        <v>7.3035068999999995</v>
      </c>
      <c r="AI67" s="98"/>
      <c r="AJ67" s="74"/>
      <c r="AK67" s="74"/>
      <c r="AL67" s="99" cm="1">
        <f t="array" ref="AL67">LARGE(V66:V69,2)</f>
        <v>7.3035068999999995</v>
      </c>
      <c r="AM67" s="100" cm="1">
        <f t="array" ref="AM67">(AH67-AL67)*100000000000000000000</f>
        <v>0</v>
      </c>
      <c r="AN67" s="74"/>
      <c r="AO67" s="74"/>
      <c r="AP67" s="101" t="str" cm="1">
        <f t="array" ref="AP67">O67</f>
        <v>Cabo Verde</v>
      </c>
      <c r="AQ67" s="102" cm="1">
        <f t="array" ref="AQ67">P67*3+Q67*1+BT67+CN67+S67/1000+T67/10000</f>
        <v>-8.0000000000000002E-3</v>
      </c>
      <c r="AR67" s="102" t="b" cm="1">
        <f t="array" ref="AR67">IF(OR(AQ67=AQ68,AQ67=AQ69),1)</f>
        <v>0</v>
      </c>
      <c r="AS67" s="103" cm="1">
        <f t="array" ref="AS67">AV67</f>
        <v>0</v>
      </c>
      <c r="AT67" s="103" cm="1">
        <f t="array" ref="AT67">IF(AND(AM70="si",OR(AR66=1,AR67=1,AR68=1)),1,0)</f>
        <v>0</v>
      </c>
      <c r="AU67" s="122" t="str" cm="1">
        <f t="array" ref="AU67">O67</f>
        <v>Cabo Verde</v>
      </c>
      <c r="AV67" s="101"/>
      <c r="AW67" s="106"/>
      <c r="AX67" s="74" t="str" cm="1">
        <f t="array" ref="AX67">Y65</f>
        <v>Grupo H</v>
      </c>
      <c r="AY67" s="76" t="str" cm="1">
        <f t="array" ref="AY67">O67</f>
        <v>Cabo Verde</v>
      </c>
      <c r="AZ67" s="107" cm="1">
        <f t="array" ref="AZ67">P67*3+Q67</f>
        <v>0</v>
      </c>
      <c r="BA67" s="107" cm="1">
        <f t="array" ref="BA67">COUNTIFS($AX$1:AX67,AX67,$AZ$1:AZ67,AZ67)</f>
        <v>1</v>
      </c>
      <c r="BB67" s="107" cm="1">
        <f t="array" ref="BB67">IF(AZ67=BF64,ROW()*0.001,AZ67)</f>
        <v>0</v>
      </c>
      <c r="BC67" s="107" cm="1">
        <f t="array" ref="BC67">COUNTIFS($AX$1:AZ67,AZ67,$AZ$1:BB67,BB67)</f>
        <v>6</v>
      </c>
      <c r="BD67" s="107"/>
      <c r="BE67" s="108" t="str" cm="1">
        <f t="array" ref="BE67">IF(OR(BF67="-",BI67="-",BF64=0),"-","OK")</f>
        <v>-</v>
      </c>
      <c r="BF67" s="109" t="str" cm="1">
        <f t="array" ref="BF67">IF(_xlfn.XLOOKUP($E67,$AY1:$AY108,$AZ1:$AZ108,"-",0)=BF64,$E67,"-")</f>
        <v>-</v>
      </c>
      <c r="BG67" s="110" cm="1">
        <f t="array" ref="BG67">$F67</f>
        <v>1</v>
      </c>
      <c r="BH67" s="110" cm="1">
        <f t="array" ref="BH67">$G67</f>
        <v>2</v>
      </c>
      <c r="BI67" s="109" t="str" cm="1">
        <f t="array" ref="BI67">IF(_xlfn.XLOOKUP($H67,$AY1:$AY108,$AZ1:$AZ108,"-",0)=BF64,$H67,"-")</f>
        <v>Uruguay</v>
      </c>
      <c r="BJ67" s="74"/>
      <c r="BK67" s="79" t="str" cm="1">
        <f t="array" ref="BK67">O67</f>
        <v>Cabo Verde</v>
      </c>
      <c r="BL67" s="111" cm="1">
        <f t="array" ref="BL67">COUNTIFS($BE1:$BE108,"OK",$BI1:$BI108,BK67)+COUNTIFS($BE1:$BE108,"OK",$BF1:$BF108,BK67)</f>
        <v>0</v>
      </c>
      <c r="BM67" s="112" cm="1">
        <f t="array" ref="BM67">COUNTIFS(J1:J108,$BK67,$BE1:$BE108,"OK")</f>
        <v>0</v>
      </c>
      <c r="BN67" s="112" cm="1">
        <f t="array" ref="BN67">COUNTIFS(K1:K108,$BK67,$BE1:$BE108,"OK")+COUNTIFS(L1:L108,$BK67,$BE1:$BE108,"OK")</f>
        <v>0</v>
      </c>
      <c r="BO67" s="112" cm="1">
        <f t="array" ref="BO67">COUNTIFS(M1:M108,$BK67,$BE1:$BE108,"OK")</f>
        <v>0</v>
      </c>
      <c r="BP67" s="112" cm="1">
        <f t="array" ref="BP67">BQ67-BR67</f>
        <v>0</v>
      </c>
      <c r="BQ67" s="112" cm="1">
        <f t="array" ref="BQ67">SUMIFS(BG1:BG108,$BE1:$BE108,"OK",BF1:BF108,$BK67)+SUMIFS(BH1:BH108,$BE1:$BE108,"OK",BI1:BI108,$BK67)</f>
        <v>0</v>
      </c>
      <c r="BR67" s="112" cm="1">
        <f t="array" ref="BR67">SUMIFS(BH1:BH108,$BE1:$BE108,"OK",BF1:BF108,$BK67)+SUMIFS(BG1:BG108,$BE1:$BE108,"OK",BI1:BI108,$BK67)</f>
        <v>0</v>
      </c>
      <c r="BS67" s="113" cm="1">
        <f t="array" ref="BS67">BM67*3+BN67*1+BP67/100+BQ67/10000</f>
        <v>0</v>
      </c>
      <c r="BT67" s="107" cm="1">
        <f t="array" ref="BT67">IF(BL67=0,0,_xlfn.XLOOKUP(BS67,BV66:BV69,BW66:BW69))</f>
        <v>0</v>
      </c>
      <c r="BU67" s="99"/>
      <c r="BV67" s="113" cm="1">
        <f t="array" ref="BV67">LARGE(BS66:BS69,2)</f>
        <v>1.0001</v>
      </c>
      <c r="BW67" s="112" cm="1">
        <f t="array" ref="BW67">BX67/$BW$1</f>
        <v>0.2</v>
      </c>
      <c r="BX67" s="114">
        <v>2</v>
      </c>
      <c r="BY67" s="108" t="str" cm="1">
        <f t="array" ref="BY67">IF(OR(BZ67="-",CC67="-"),"-","OK")</f>
        <v>-</v>
      </c>
      <c r="BZ67" s="109" t="str" cm="1">
        <f t="array" ref="BZ67">IF(_xlfn.XLOOKUP($E67,$AY1:$AY108,$AZ1:$AZ108,"-",0)=BZ64,$E67,"-")</f>
        <v>-</v>
      </c>
      <c r="CA67" s="110" cm="1">
        <f t="array" ref="CA67">$F67</f>
        <v>1</v>
      </c>
      <c r="CB67" s="110" cm="1">
        <f t="array" ref="CB67">$G67</f>
        <v>2</v>
      </c>
      <c r="CC67" s="109" t="str" cm="1">
        <f t="array" ref="CC67">IF(_xlfn.XLOOKUP($H67,$AY1:$AY108,$AZ1:$AZ108,"-",0)=BZ64,$H67,"-")</f>
        <v>-</v>
      </c>
      <c r="CD67" s="74"/>
      <c r="CE67" s="79" t="str" cm="1">
        <f t="array" ref="CE67">BK67</f>
        <v>Cabo Verde</v>
      </c>
      <c r="CF67" s="111" cm="1">
        <f t="array" ref="CF67">COUNTIFS($BY1:$BY108,"OK",$CC1:$CC108,CE67)+COUNTIFS($BY1:$BY108,"OK",$BZ1:$BZ108,CE67)</f>
        <v>0</v>
      </c>
      <c r="CG67" s="112" cm="1">
        <f t="array" ref="CG67">COUNTIFS(P1:P108,$BK67,$BY1:$BY108,"OK")</f>
        <v>0</v>
      </c>
      <c r="CH67" s="112" cm="1">
        <f t="array" ref="CH67">COUNTIFS(K1:K108,$BK67,$BY1:$BY108,"OK")+COUNTIFS(L1:L108,$BK67,$BY1:$BY108,"OK")</f>
        <v>0</v>
      </c>
      <c r="CI67" s="112" cm="1">
        <f t="array" ref="CI67">COUNTIFS(M1:M108,$CE67,$BY1:$BY108,"OK")</f>
        <v>0</v>
      </c>
      <c r="CJ67" s="112" cm="1">
        <f t="array" ref="CJ67">CK67-CL67</f>
        <v>0</v>
      </c>
      <c r="CK67" s="112" cm="1">
        <f t="array" ref="CK67">SUMIFS(CA1:CA108,$BY1:$BY108,"OK",BZ1:BZ108,$BK67)+SUMIFS(CB1:CB108,$BY1:$BY108,"OK",CC1:CC108,$BK67)</f>
        <v>0</v>
      </c>
      <c r="CL67" s="112" cm="1">
        <f t="array" ref="CL67">SUMIFS(CB1:CB108,$BY1:$BY108,"OK",BZ1:BZ108,$BK67)+SUMIFS(CA1:CA108,$BY1:$BY108,"OK",CC1:CC108,$BK67)</f>
        <v>0</v>
      </c>
      <c r="CM67" s="113" cm="1">
        <f t="array" ref="CM67">CG67*3+CH67*1+CJ67/100+CK67/10000</f>
        <v>0</v>
      </c>
      <c r="CN67" s="107" cm="1">
        <f t="array" ref="CN67">IF(CF67=0,0,_xlfn.XLOOKUP(CM67,CP66:CP69,CQ66:CQ69))</f>
        <v>0</v>
      </c>
      <c r="CO67" s="99"/>
      <c r="CP67" s="113" cm="1">
        <f t="array" ref="CP67">LARGE(CM66:CM69,2)</f>
        <v>0</v>
      </c>
      <c r="CQ67" s="112" cm="1">
        <f t="array" ref="CQ67">CR67/$BW$1</f>
        <v>0.2</v>
      </c>
      <c r="CR67" s="114">
        <v>2</v>
      </c>
      <c r="CS67" s="74"/>
      <c r="CT67" s="74"/>
      <c r="CU67" s="74"/>
      <c r="CV67" s="74"/>
      <c r="CW67" s="74"/>
      <c r="CX67" s="172"/>
    </row>
    <row r="68" spans="1:102" ht="14.25" customHeight="1">
      <c r="A68" s="85" t="s">
        <v>196</v>
      </c>
      <c r="B68" s="86">
        <v>46194</v>
      </c>
      <c r="C68" s="87"/>
      <c r="D68" s="88"/>
      <c r="E68" s="85" t="s">
        <v>49</v>
      </c>
      <c r="F68" s="89">
        <v>2</v>
      </c>
      <c r="G68" s="89">
        <v>0</v>
      </c>
      <c r="H68" s="90" t="s">
        <v>83</v>
      </c>
      <c r="I68" s="65"/>
      <c r="J68" s="65" t="str" cm="1">
        <f t="array" ref="J68">IF(OR(ISBLANK(F68),ISBLANK(G68)),"",IF(F68&gt;G68,E68,IF(G68&gt;F68,H68,"")))</f>
        <v>España</v>
      </c>
      <c r="K68" s="65" t="str" cm="1">
        <f t="array" ref="K68">IF(OR(ISBLANK(F68),ISBLANK(G68)),"",IF(F68=G68,E68,""))</f>
        <v/>
      </c>
      <c r="L68" s="65" t="str" cm="1">
        <f t="array" ref="L68">IF(OR(ISBLANK(F68),ISBLANK(G68)),"",IF(F68=G68,H68,""))</f>
        <v/>
      </c>
      <c r="M68" s="65" t="str" cm="1">
        <f t="array" ref="M68">IF(OR(ISBLANK(F68),ISBLANK(G68)),"",IF(F68&lt;G68,E68,IF(G68&lt;F68,H68,"")))</f>
        <v>Arabia Saudita</v>
      </c>
      <c r="N68" s="65"/>
      <c r="O68" s="67" t="str" cm="1">
        <f t="array" ref="O68">E67</f>
        <v>Arabia Saudita</v>
      </c>
      <c r="P68" s="91" cm="1">
        <f t="array" ref="P68">COUNTIF(J66:J71,"="&amp;$O68)</f>
        <v>1</v>
      </c>
      <c r="Q68" s="91" cm="1">
        <f t="array" ref="Q68">COUNTIF(K66:L71,"="&amp;$O68)</f>
        <v>0</v>
      </c>
      <c r="R68" s="91" cm="1">
        <f t="array" ref="R68">COUNTIF(M66:M71,"="&amp;$O68)</f>
        <v>2</v>
      </c>
      <c r="S68" s="91" cm="1">
        <f t="array" ref="S68">T68-U68</f>
        <v>-1</v>
      </c>
      <c r="T68" s="91" cm="1">
        <f t="array" ref="T68">SUMIF(E66:E71,$O68,F66:F71)+SUMIF(H66:H71,$O68,G66:G71)</f>
        <v>3</v>
      </c>
      <c r="U68" s="91" cm="1">
        <f t="array" ref="U68">SUMIF(E66:E71,$O68,G66:G71)+SUMIF(H66:H71,$O68,F66:F71)</f>
        <v>4</v>
      </c>
      <c r="V68" s="92" cm="1">
        <f t="array" ref="V68">P68*3+Q68*1+BT68+CN68+S68/1000+T68/10000+AV68/1000000+ROW()/10000000</f>
        <v>2.9993068000000003</v>
      </c>
      <c r="W68" s="67" t="str" cm="1">
        <f t="array" ref="W68">O68</f>
        <v>Arabia Saudita</v>
      </c>
      <c r="X68" s="65"/>
      <c r="Y68" s="125" t="str" cm="1">
        <f t="array" ref="Y68">CONCATENATE("3",RIGHT(E65,1))</f>
        <v>3H</v>
      </c>
      <c r="Z68" s="126" t="str" cm="1">
        <f t="array" ref="Z68">VLOOKUP(AL68,V66:W69,2,FALSE)</f>
        <v>Arabia Saudita</v>
      </c>
      <c r="AA68" s="127" cm="1">
        <f t="array" ref="AA68">SUM(AB68:AD68)</f>
        <v>3</v>
      </c>
      <c r="AB68" s="128" cm="1">
        <f t="array" ref="AB68">VLOOKUP($Z68,$O$66:$U$69,COLUMN()-26,FALSE)</f>
        <v>1</v>
      </c>
      <c r="AC68" s="128" cm="1">
        <f t="array" ref="AC68">VLOOKUP($Z68,$O$66:$U$69,COLUMN()-26,FALSE)</f>
        <v>0</v>
      </c>
      <c r="AD68" s="128" cm="1">
        <f t="array" ref="AD68">VLOOKUP($Z68,$O$66:$U$69,COLUMN()-26,FALSE)</f>
        <v>2</v>
      </c>
      <c r="AE68" s="128" cm="1">
        <f t="array" ref="AE68">VLOOKUP($Z68,$O$66:$U$69,COLUMN()-26,FALSE)</f>
        <v>-1</v>
      </c>
      <c r="AF68" s="128" cm="1">
        <f t="array" ref="AF68">VLOOKUP($Z68,$O$66:$U$69,COLUMN()-26,FALSE)</f>
        <v>3</v>
      </c>
      <c r="AG68" s="128" cm="1">
        <f t="array" ref="AG68">VLOOKUP($Z68,$O$66:$U$69,COLUMN()-26,FALSE)</f>
        <v>4</v>
      </c>
      <c r="AH68" s="129" cm="1">
        <f t="array" ref="AH68">VLOOKUP($Z68,$O$66:$V$69,COLUMN()-26,FALSE)</f>
        <v>2.9993068000000003</v>
      </c>
      <c r="AI68" s="130" cm="1">
        <f t="array" ref="AI68">(COUNTIFS($CV$2:$CV$13,Z68,$CX$2:$CX$13,"IN")+COUNTIFS($CV$2:$CV$13,Z68,$CW$2:$CW$13,"IN"))*IF(SUM(AA66:AA69)=12,1,0)</f>
        <v>0</v>
      </c>
      <c r="AJ68" s="74"/>
      <c r="AK68" s="74"/>
      <c r="AL68" s="99" cm="1">
        <f t="array" ref="AL68">LARGE(V66:V69,3)</f>
        <v>2.9993068000000003</v>
      </c>
      <c r="AM68" s="100" cm="1">
        <f t="array" ref="AM68">(AH68-AL68)*100000000000000000000</f>
        <v>0</v>
      </c>
      <c r="AN68" s="74"/>
      <c r="AO68" s="74"/>
      <c r="AP68" s="101" t="str" cm="1">
        <f t="array" ref="AP68">O68</f>
        <v>Arabia Saudita</v>
      </c>
      <c r="AQ68" s="102" cm="1">
        <f t="array" ref="AQ68">P68*3+Q68*1+BT68+CN68+S68/1000+T68/10000</f>
        <v>2.9993000000000003</v>
      </c>
      <c r="AR68" s="102" t="b" cm="1">
        <f t="array" ref="AR68">IF(OR(AQ68=AQ69),1)</f>
        <v>0</v>
      </c>
      <c r="AS68" s="103" cm="1">
        <f t="array" ref="AS68">AV68</f>
        <v>0</v>
      </c>
      <c r="AT68" s="103" cm="1">
        <f t="array" ref="AT68">IF(AND(AM70="si",OR(AR66=1,AR67=1,AR68=1)),1,0)</f>
        <v>0</v>
      </c>
      <c r="AU68" s="122" t="str" cm="1">
        <f t="array" ref="AU68">O68</f>
        <v>Arabia Saudita</v>
      </c>
      <c r="AV68" s="101"/>
      <c r="AW68" s="106"/>
      <c r="AX68" s="74" t="str" cm="1">
        <f t="array" ref="AX68">Y65</f>
        <v>Grupo H</v>
      </c>
      <c r="AY68" s="76" t="str" cm="1">
        <f t="array" ref="AY68">O68</f>
        <v>Arabia Saudita</v>
      </c>
      <c r="AZ68" s="107" cm="1">
        <f t="array" ref="AZ68">P68*3+Q68</f>
        <v>3</v>
      </c>
      <c r="BA68" s="107" cm="1">
        <f t="array" ref="BA68">COUNTIFS($AX$1:AX68,AX68,$AZ$1:AZ68,AZ68)</f>
        <v>1</v>
      </c>
      <c r="BB68" s="107" cm="1">
        <f t="array" ref="BB68">IF(AZ68=BF64,ROW()*0.001,AZ68)</f>
        <v>3</v>
      </c>
      <c r="BC68" s="107" cm="1">
        <f t="array" ref="BC68">COUNTIFS($AX$1:AZ68,AZ68,$AZ$1:BB68,BB68)</f>
        <v>2</v>
      </c>
      <c r="BD68" s="107"/>
      <c r="BE68" s="108" t="str" cm="1">
        <f t="array" ref="BE68">IF(OR(BF68="-",BI68="-",BF64=0),"-","OK")</f>
        <v>-</v>
      </c>
      <c r="BF68" s="109" t="str" cm="1">
        <f t="array" ref="BF68">IF(_xlfn.XLOOKUP($E68,$AY1:$AY108,$AZ1:$AZ108,"-",0)=BF64,$E68,"-")</f>
        <v>España</v>
      </c>
      <c r="BG68" s="110" cm="1">
        <f t="array" ref="BG68">$F68</f>
        <v>2</v>
      </c>
      <c r="BH68" s="110" cm="1">
        <f t="array" ref="BH68">$G68</f>
        <v>0</v>
      </c>
      <c r="BI68" s="109" t="str" cm="1">
        <f t="array" ref="BI68">IF(_xlfn.XLOOKUP($H68,$AY1:$AY108,$AZ1:$AZ108,"-",0)=BF64,$H68,"-")</f>
        <v>-</v>
      </c>
      <c r="BJ68" s="74"/>
      <c r="BK68" s="79" t="str" cm="1">
        <f t="array" ref="BK68">O68</f>
        <v>Arabia Saudita</v>
      </c>
      <c r="BL68" s="111" cm="1">
        <f t="array" ref="BL68">COUNTIFS($BE1:$BE108,"OK",$BI1:$BI108,BK68)+COUNTIFS($BE1:$BE108,"OK",$BF1:$BF108,BK68)</f>
        <v>0</v>
      </c>
      <c r="BM68" s="112" cm="1">
        <f t="array" ref="BM68">COUNTIFS(J1:J108,$BK68,$BE1:$BE108,"OK")</f>
        <v>0</v>
      </c>
      <c r="BN68" s="112" cm="1">
        <f t="array" ref="BN68">COUNTIFS(K1:K108,$BK68,$BE1:$BE108,"OK")+COUNTIFS(L1:L108,$BK68,$BE1:$BE108,"OK")</f>
        <v>0</v>
      </c>
      <c r="BO68" s="112" cm="1">
        <f t="array" ref="BO68">COUNTIFS(M1:M108,$BK68,$BE1:$BE108,"OK")</f>
        <v>0</v>
      </c>
      <c r="BP68" s="112" cm="1">
        <f t="array" ref="BP68">BQ68-BR68</f>
        <v>0</v>
      </c>
      <c r="BQ68" s="112" cm="1">
        <f t="array" ref="BQ68">SUMIFS(BG1:BG108,$BE1:$BE108,"OK",BF1:BF108,$BK68)+SUMIFS(BH1:BH108,$BE1:$BE108,"OK",BI1:BI108,$BK68)</f>
        <v>0</v>
      </c>
      <c r="BR68" s="112" cm="1">
        <f t="array" ref="BR68">SUMIFS(BH1:BH108,$BE1:$BE108,"OK",BF1:BF108,$BK68)+SUMIFS(BG1:BG108,$BE1:$BE108,"OK",BI1:BI108,$BK68)</f>
        <v>0</v>
      </c>
      <c r="BS68" s="113" cm="1">
        <f t="array" ref="BS68">BM68*3+BN68*1+BP68/100+BQ68/10000</f>
        <v>0</v>
      </c>
      <c r="BT68" s="107" cm="1">
        <f t="array" ref="BT68">IF(BL68=0,0,_xlfn.XLOOKUP(BS68,BV66:BV69,BW66:BW69))</f>
        <v>0</v>
      </c>
      <c r="BU68" s="99"/>
      <c r="BV68" s="113" cm="1">
        <f t="array" ref="BV68">LARGE(BS66:BS69,3)</f>
        <v>0</v>
      </c>
      <c r="BW68" s="112" cm="1">
        <f t="array" ref="BW68">BX68/$BW$1</f>
        <v>0.1</v>
      </c>
      <c r="BX68" s="114">
        <v>1</v>
      </c>
      <c r="BY68" s="108" t="str" cm="1">
        <f t="array" ref="BY68">IF(OR(BZ68="-",CC68="-"),"-","OK")</f>
        <v>-</v>
      </c>
      <c r="BZ68" s="109" t="str" cm="1">
        <f t="array" ref="BZ68">IF(_xlfn.XLOOKUP($E68,$AY1:$AY108,$AZ1:$AZ108,"-",0)=BZ64,$E68,"-")</f>
        <v>-</v>
      </c>
      <c r="CA68" s="110" cm="1">
        <f t="array" ref="CA68">$F68</f>
        <v>2</v>
      </c>
      <c r="CB68" s="110" cm="1">
        <f t="array" ref="CB68">$G68</f>
        <v>0</v>
      </c>
      <c r="CC68" s="109" t="str" cm="1">
        <f t="array" ref="CC68">IF(_xlfn.XLOOKUP($H68,$AY1:$AY108,$AZ1:$AZ108,"-",0)=BZ64,$H68,"-")</f>
        <v>-</v>
      </c>
      <c r="CD68" s="74"/>
      <c r="CE68" s="79" t="str" cm="1">
        <f t="array" ref="CE68">BK68</f>
        <v>Arabia Saudita</v>
      </c>
      <c r="CF68" s="111" cm="1">
        <f t="array" ref="CF68">COUNTIFS($BY1:$BY108,"OK",$CC1:$CC108,CE68)+COUNTIFS($BY1:$BY108,"OK",$BZ1:$BZ108,CE68)</f>
        <v>0</v>
      </c>
      <c r="CG68" s="112" cm="1">
        <f t="array" ref="CG68">COUNTIFS(P1:P108,$BK68,$BY1:$BY108,"OK")</f>
        <v>0</v>
      </c>
      <c r="CH68" s="112" cm="1">
        <f t="array" ref="CH68">COUNTIFS(K1:K108,$BK68,$BY1:$BY108,"OK")+COUNTIFS(L1:L108,$BK68,$BY1:$BY108,"OK")</f>
        <v>0</v>
      </c>
      <c r="CI68" s="112" cm="1">
        <f t="array" ref="CI68">COUNTIFS(M1:M108,$CE68,$BY1:$BY108,"OK")</f>
        <v>0</v>
      </c>
      <c r="CJ68" s="112" cm="1">
        <f t="array" ref="CJ68">CK68-CL68</f>
        <v>0</v>
      </c>
      <c r="CK68" s="112" cm="1">
        <f t="array" ref="CK68">SUMIFS(CA1:CA108,$BY1:$BY108,"OK",BZ1:BZ108,$BK68)+SUMIFS(CB1:CB108,$BY1:$BY108,"OK",CC1:CC108,$BK68)</f>
        <v>0</v>
      </c>
      <c r="CL68" s="112" cm="1">
        <f t="array" ref="CL68">SUMIFS(CB1:CB108,$BY1:$BY108,"OK",BZ1:BZ108,$BK68)+SUMIFS(CA1:CA108,$BY1:$BY108,"OK",CC1:CC108,$BK68)</f>
        <v>0</v>
      </c>
      <c r="CM68" s="113" cm="1">
        <f t="array" ref="CM68">CG68*3+CH68*1+CJ68/100+CK68/10000</f>
        <v>0</v>
      </c>
      <c r="CN68" s="107" cm="1">
        <f t="array" ref="CN68">IF(CF68=0,0,_xlfn.XLOOKUP(CM68,CP66:CP69,CQ66:CQ69))</f>
        <v>0</v>
      </c>
      <c r="CO68" s="99"/>
      <c r="CP68" s="113" cm="1">
        <f t="array" ref="CP68">LARGE(CM66:CM69,3)</f>
        <v>0</v>
      </c>
      <c r="CQ68" s="112" cm="1">
        <f t="array" ref="CQ68">CR68/$BW$1</f>
        <v>0.1</v>
      </c>
      <c r="CR68" s="114">
        <v>1</v>
      </c>
      <c r="CS68" s="74"/>
      <c r="CT68" s="74"/>
      <c r="CU68" s="74"/>
      <c r="CV68" s="74"/>
      <c r="CW68" s="74"/>
      <c r="CX68" s="172"/>
    </row>
    <row r="69" spans="1:102" ht="14.25" customHeight="1">
      <c r="A69" s="85" t="s">
        <v>198</v>
      </c>
      <c r="B69" s="86">
        <v>46194</v>
      </c>
      <c r="C69" s="87"/>
      <c r="D69" s="88"/>
      <c r="E69" s="85" t="s">
        <v>58</v>
      </c>
      <c r="F69" s="89">
        <v>2</v>
      </c>
      <c r="G69" s="89">
        <v>0</v>
      </c>
      <c r="H69" s="90" t="s">
        <v>92</v>
      </c>
      <c r="I69" s="65"/>
      <c r="J69" s="65" t="str" cm="1">
        <f t="array" ref="J69">IF(OR(ISBLANK(F69),ISBLANK(G69)),"",IF(F69&gt;G69,E69,IF(G69&gt;F69,H69,"")))</f>
        <v>Uruguay</v>
      </c>
      <c r="K69" s="65" t="str" cm="1">
        <f t="array" ref="K69">IF(OR(ISBLANK(F69),ISBLANK(G69)),"",IF(F69=G69,E69,""))</f>
        <v/>
      </c>
      <c r="L69" s="65" t="str" cm="1">
        <f t="array" ref="L69">IF(OR(ISBLANK(F69),ISBLANK(G69)),"",IF(F69=G69,H69,""))</f>
        <v/>
      </c>
      <c r="M69" s="65" t="str" cm="1">
        <f t="array" ref="M69">IF(OR(ISBLANK(F69),ISBLANK(G69)),"",IF(F69&lt;G69,E69,IF(G69&lt;F69,H69,"")))</f>
        <v>Cabo Verde</v>
      </c>
      <c r="N69" s="65"/>
      <c r="O69" s="67" t="str" cm="1">
        <f t="array" ref="O69">H67</f>
        <v>Uruguay</v>
      </c>
      <c r="P69" s="91" cm="1">
        <f t="array" ref="P69">COUNTIF(J66:J71,"="&amp;$O69)</f>
        <v>2</v>
      </c>
      <c r="Q69" s="91" cm="1">
        <f t="array" ref="Q69">COUNTIF(K66:L71,"="&amp;$O69)</f>
        <v>1</v>
      </c>
      <c r="R69" s="91" cm="1">
        <f t="array" ref="R69">COUNTIF(M66:M71,"="&amp;$O69)</f>
        <v>0</v>
      </c>
      <c r="S69" s="91" cm="1">
        <f t="array" ref="S69">T69-U69</f>
        <v>3</v>
      </c>
      <c r="T69" s="91" cm="1">
        <f t="array" ref="T69">SUMIF(E66:E71,$O69,F66:F71)+SUMIF(H66:H71,$O69,G66:G71)</f>
        <v>5</v>
      </c>
      <c r="U69" s="91" cm="1">
        <f t="array" ref="U69">SUMIF(E66:E71,$O69,G66:G71)+SUMIF(H66:H71,$O69,F66:F71)</f>
        <v>2</v>
      </c>
      <c r="V69" s="92" cm="1">
        <f t="array" ref="V69">P69*3+Q69*1+BT69+CN69+S69/1000+T69/10000+AV69/1000000+ROW()/10000000</f>
        <v>7.3035068999999995</v>
      </c>
      <c r="W69" s="67" t="str" cm="1">
        <f t="array" ref="W69">O69</f>
        <v>Uruguay</v>
      </c>
      <c r="X69" s="65"/>
      <c r="Y69" s="131" t="str" cm="1">
        <f t="array" ref="Y69">CONCATENATE("4",RIGHT(E65,1))</f>
        <v>4H</v>
      </c>
      <c r="Z69" s="132" t="str" cm="1">
        <f t="array" ref="Z69">VLOOKUP(AL69,V66:W69,2,FALSE)</f>
        <v>Cabo Verde</v>
      </c>
      <c r="AA69" s="133" cm="1">
        <f t="array" ref="AA69">SUM(AB69:AD69)</f>
        <v>3</v>
      </c>
      <c r="AB69" s="134" cm="1">
        <f t="array" ref="AB69">VLOOKUP($Z69,$O$66:$U$69,COLUMN()-26,FALSE)</f>
        <v>0</v>
      </c>
      <c r="AC69" s="134" cm="1">
        <f t="array" ref="AC69">VLOOKUP($Z69,$O$66:$U$69,COLUMN()-26,FALSE)</f>
        <v>0</v>
      </c>
      <c r="AD69" s="134" cm="1">
        <f t="array" ref="AD69">VLOOKUP($Z69,$O$66:$U$69,COLUMN()-26,FALSE)</f>
        <v>3</v>
      </c>
      <c r="AE69" s="134" cm="1">
        <f t="array" ref="AE69">VLOOKUP($Z69,$O$66:$U$69,COLUMN()-26,FALSE)</f>
        <v>-8</v>
      </c>
      <c r="AF69" s="134" cm="1">
        <f t="array" ref="AF69">VLOOKUP($Z69,$O$66:$U$69,COLUMN()-26,FALSE)</f>
        <v>0</v>
      </c>
      <c r="AG69" s="134" cm="1">
        <f t="array" ref="AG69">VLOOKUP($Z69,$O$66:$U$69,COLUMN()-26,FALSE)</f>
        <v>8</v>
      </c>
      <c r="AH69" s="135" cm="1">
        <f t="array" ref="AH69">VLOOKUP($Z69,$O$66:$V$69,COLUMN()-26,FALSE)</f>
        <v>-7.9933000000000001E-3</v>
      </c>
      <c r="AI69" s="130"/>
      <c r="AJ69" s="74"/>
      <c r="AK69" s="74"/>
      <c r="AL69" s="99" cm="1">
        <f t="array" ref="AL69">LARGE(V66:V69,4)</f>
        <v>-7.9933000000000001E-3</v>
      </c>
      <c r="AM69" s="100" cm="1">
        <f t="array" ref="AM69">(AH69-AL69)*100000000000000000000</f>
        <v>0</v>
      </c>
      <c r="AN69" s="74"/>
      <c r="AO69" s="74"/>
      <c r="AP69" s="101" t="str" cm="1">
        <f t="array" ref="AP69">O69</f>
        <v>Uruguay</v>
      </c>
      <c r="AQ69" s="102" cm="1">
        <f t="array" ref="AQ69">P69*3+Q69*1+BT69+CN69+S69/1000+T69/10000</f>
        <v>7.3034999999999997</v>
      </c>
      <c r="AR69" s="65"/>
      <c r="AS69" s="103" cm="1">
        <f t="array" ref="AS69">AV69</f>
        <v>0</v>
      </c>
      <c r="AT69" s="103" cm="1">
        <f t="array" ref="AT69">IF(AND(AM70="si",OR(AR66=1,AR67=1,AR68=1)),1,0)</f>
        <v>0</v>
      </c>
      <c r="AU69" s="136" t="str" cm="1">
        <f t="array" ref="AU69">O69</f>
        <v>Uruguay</v>
      </c>
      <c r="AV69" s="137"/>
      <c r="AW69" s="106"/>
      <c r="AX69" s="74" t="str" cm="1">
        <f t="array" ref="AX69">Y65</f>
        <v>Grupo H</v>
      </c>
      <c r="AY69" s="76" t="str" cm="1">
        <f t="array" ref="AY69">O69</f>
        <v>Uruguay</v>
      </c>
      <c r="AZ69" s="107" cm="1">
        <f t="array" ref="AZ69">P69*3+Q69</f>
        <v>7</v>
      </c>
      <c r="BA69" s="107" cm="1">
        <f t="array" ref="BA69">COUNTIFS($AX$1:AX69,AX69,$AZ$1:AZ69,AZ69)</f>
        <v>2</v>
      </c>
      <c r="BB69" s="107" cm="1">
        <f t="array" ref="BB69">IF(AZ69=BF64,ROW()*0.001,AZ69)</f>
        <v>6.9000000000000006E-2</v>
      </c>
      <c r="BC69" s="107" cm="1">
        <f t="array" ref="BC69">COUNTIFS($AX$1:AZ69,AZ69,$AZ$1:BB69,BB69)</f>
        <v>1</v>
      </c>
      <c r="BD69" s="107"/>
      <c r="BE69" s="108" t="str" cm="1">
        <f t="array" ref="BE69">IF(OR(BF69="-",BI69="-",BF64=0),"-","OK")</f>
        <v>-</v>
      </c>
      <c r="BF69" s="109" t="str" cm="1">
        <f t="array" ref="BF69">IF(_xlfn.XLOOKUP($E69,$AY1:$AY108,$AZ1:$AZ108,"-",0)=BF64,$E69,"-")</f>
        <v>Uruguay</v>
      </c>
      <c r="BG69" s="110" cm="1">
        <f t="array" ref="BG69">$F69</f>
        <v>2</v>
      </c>
      <c r="BH69" s="110" cm="1">
        <f t="array" ref="BH69">$G69</f>
        <v>0</v>
      </c>
      <c r="BI69" s="109" t="str" cm="1">
        <f t="array" ref="BI69">IF(_xlfn.XLOOKUP($H69,$AY1:$AY108,$AZ1:$AZ108,"-",0)=BF64,$H69,"-")</f>
        <v>-</v>
      </c>
      <c r="BJ69" s="74"/>
      <c r="BK69" s="79" t="str" cm="1">
        <f t="array" ref="BK69">O69</f>
        <v>Uruguay</v>
      </c>
      <c r="BL69" s="111" cm="1">
        <f t="array" ref="BL69">COUNTIFS($BE1:$BE108,"OK",$BI1:$BI108,BK69)+COUNTIFS($BE1:$BE108,"OK",$BF1:$BF108,BK69)</f>
        <v>1</v>
      </c>
      <c r="BM69" s="112" cm="1">
        <f t="array" ref="BM69">COUNTIFS(J1:J108,$BK69,$BE1:$BE108,"OK")</f>
        <v>0</v>
      </c>
      <c r="BN69" s="112" cm="1">
        <f t="array" ref="BN69">COUNTIFS(K1:K108,$BK69,$BE1:$BE108,"OK")+COUNTIFS(L1:L108,$BK69,$BE1:$BE108,"OK")</f>
        <v>1</v>
      </c>
      <c r="BO69" s="112" cm="1">
        <f t="array" ref="BO69">COUNTIFS(M1:M108,$BK69,$BE1:$BE108,"OK")</f>
        <v>0</v>
      </c>
      <c r="BP69" s="112" cm="1">
        <f t="array" ref="BP69">BQ69-BR69</f>
        <v>0</v>
      </c>
      <c r="BQ69" s="112" cm="1">
        <f t="array" ref="BQ69">SUMIFS(BG1:BG108,$BE1:$BE108,"OK",BF1:BF108,$BK69)+SUMIFS(BH1:BH108,$BE1:$BE108,"OK",BI1:BI108,$BK69)</f>
        <v>1</v>
      </c>
      <c r="BR69" s="112" cm="1">
        <f t="array" ref="BR69">SUMIFS(BH1:BH108,$BE1:$BE108,"OK",BF1:BF108,$BK69)+SUMIFS(BG1:BG108,$BE1:$BE108,"OK",BI1:BI108,$BK69)</f>
        <v>1</v>
      </c>
      <c r="BS69" s="113" cm="1">
        <f t="array" ref="BS69">BM69*3+BN69*1+BP69/100+BQ69/10000</f>
        <v>1.0001</v>
      </c>
      <c r="BT69" s="113" cm="1">
        <f t="array" ref="BT69">IF(BL69=0,0,_xlfn.XLOOKUP(BS69,BV66:BV69,BW66:BW69))</f>
        <v>0.3</v>
      </c>
      <c r="BU69" s="99"/>
      <c r="BV69" s="113" cm="1">
        <f t="array" ref="BV69">LARGE(BS66:BS69,4)</f>
        <v>0</v>
      </c>
      <c r="BW69" s="112" cm="1">
        <f t="array" ref="BW69">BX69/$BW$1</f>
        <v>0</v>
      </c>
      <c r="BX69" s="114">
        <v>0</v>
      </c>
      <c r="BY69" s="108" t="str" cm="1">
        <f t="array" ref="BY69">IF(OR(BZ69="-",CC69="-"),"-","OK")</f>
        <v>-</v>
      </c>
      <c r="BZ69" s="109" t="str" cm="1">
        <f t="array" ref="BZ69">IF(_xlfn.XLOOKUP($E69,$AY1:$AY108,$AZ1:$AZ108,"-",0)=BZ64,$E69,"-")</f>
        <v>-</v>
      </c>
      <c r="CA69" s="110" cm="1">
        <f t="array" ref="CA69">$F69</f>
        <v>2</v>
      </c>
      <c r="CB69" s="110" cm="1">
        <f t="array" ref="CB69">$G69</f>
        <v>0</v>
      </c>
      <c r="CC69" s="109" t="str" cm="1">
        <f t="array" ref="CC69">IF(_xlfn.XLOOKUP($H69,$AY1:$AY108,$AZ1:$AZ108,"-",0)=BZ64,$H69,"-")</f>
        <v>Cabo Verde</v>
      </c>
      <c r="CD69" s="74"/>
      <c r="CE69" s="79" t="str" cm="1">
        <f t="array" ref="CE69">BK69</f>
        <v>Uruguay</v>
      </c>
      <c r="CF69" s="111" cm="1">
        <f t="array" ref="CF69">COUNTIFS($BY1:$BY108,"OK",$CC1:$CC108,CE69)+COUNTIFS($BY1:$BY108,"OK",$BZ1:$BZ108,CE69)</f>
        <v>0</v>
      </c>
      <c r="CG69" s="112" cm="1">
        <f t="array" ref="CG69">COUNTIFS(P1:P108,$BK69,$BY1:$BY108,"OK")</f>
        <v>0</v>
      </c>
      <c r="CH69" s="112" cm="1">
        <f t="array" ref="CH69">COUNTIFS(K1:K108,$BK69,$BY1:$BY108,"OK")+COUNTIFS(L1:L108,$BK69,$BY1:$BY108,"OK")</f>
        <v>0</v>
      </c>
      <c r="CI69" s="112" cm="1">
        <f t="array" ref="CI69">COUNTIFS(M1:M108,$CE69,$BY1:$BY108,"OK")</f>
        <v>0</v>
      </c>
      <c r="CJ69" s="112" cm="1">
        <f t="array" ref="CJ69">CK69-CL69</f>
        <v>0</v>
      </c>
      <c r="CK69" s="112" cm="1">
        <f t="array" ref="CK69">SUMIFS(CA1:CA108,$BY1:$BY108,"OK",BZ1:BZ108,$BK69)+SUMIFS(CB1:CB108,$BY1:$BY108,"OK",CC1:CC108,$BK69)</f>
        <v>0</v>
      </c>
      <c r="CL69" s="112" cm="1">
        <f t="array" ref="CL69">SUMIFS(CB1:CB108,$BY1:$BY108,"OK",BZ1:BZ108,$BK69)+SUMIFS(CA1:CA108,$BY1:$BY108,"OK",CC1:CC108,$BK69)</f>
        <v>0</v>
      </c>
      <c r="CM69" s="113" cm="1">
        <f t="array" ref="CM69">CG69*3+CH69*1+CJ69/100+CK69/10000</f>
        <v>0</v>
      </c>
      <c r="CN69" s="235" cm="1">
        <f t="array" ref="CN69">IF(CF69=0,0,_xlfn.XLOOKUP(CM69,CP66:CP69,CQ66:CQ69))</f>
        <v>0</v>
      </c>
      <c r="CO69" s="99"/>
      <c r="CP69" s="113" cm="1">
        <f t="array" ref="CP69">LARGE(CM66:CM69,4)</f>
        <v>0</v>
      </c>
      <c r="CQ69" s="112" cm="1">
        <f t="array" ref="CQ69">CR69/$BW$1</f>
        <v>0</v>
      </c>
      <c r="CR69" s="114">
        <v>0</v>
      </c>
      <c r="CS69" s="74"/>
      <c r="CT69" s="74"/>
      <c r="CU69" s="74"/>
      <c r="CV69" s="74"/>
      <c r="CW69" s="74"/>
      <c r="CX69" s="172"/>
    </row>
    <row r="70" spans="1:102" ht="14.25" customHeight="1">
      <c r="A70" s="85" t="s">
        <v>199</v>
      </c>
      <c r="B70" s="86">
        <v>46199</v>
      </c>
      <c r="C70" s="87"/>
      <c r="D70" s="88"/>
      <c r="E70" s="85" t="s">
        <v>58</v>
      </c>
      <c r="F70" s="89">
        <v>1</v>
      </c>
      <c r="G70" s="89">
        <v>1</v>
      </c>
      <c r="H70" s="90" t="s">
        <v>49</v>
      </c>
      <c r="I70" s="106"/>
      <c r="J70" s="74" t="str" cm="1">
        <f t="array" ref="J70">IF(OR(ISBLANK(F70),ISBLANK(G70)),"",IF(F70&gt;G70,E70,IF(G70&gt;F70,H70,"")))</f>
        <v/>
      </c>
      <c r="K70" s="74" t="str" cm="1">
        <f t="array" ref="K70">IF(OR(ISBLANK(F70),ISBLANK(G70)),"",IF(F70=G70,E70,""))</f>
        <v>Uruguay</v>
      </c>
      <c r="L70" s="74" t="str" cm="1">
        <f t="array" ref="L70">IF(OR(ISBLANK(F70),ISBLANK(G70)),"",IF(F70=G70,H70,""))</f>
        <v>España</v>
      </c>
      <c r="M70" s="74" t="str" cm="1">
        <f t="array" ref="M70">IF(OR(ISBLANK(F70),ISBLANK(G70)),"",IF(F70&lt;G70,E70,IF(G70&lt;F70,H70,"")))</f>
        <v/>
      </c>
      <c r="N70" s="74"/>
      <c r="O70" s="74"/>
      <c r="P70" s="74"/>
      <c r="Q70" s="74"/>
      <c r="R70" s="74"/>
      <c r="S70" s="74"/>
      <c r="T70" s="74"/>
      <c r="U70" s="74"/>
      <c r="V70" s="74"/>
      <c r="W70" s="74"/>
      <c r="X70" s="74"/>
      <c r="Y70" s="138"/>
      <c r="Z70" s="138"/>
      <c r="AA70" s="138"/>
      <c r="AB70" s="138"/>
      <c r="AC70" s="138"/>
      <c r="AD70" s="138"/>
      <c r="AE70" s="138"/>
      <c r="AF70" s="138"/>
      <c r="AG70" s="138"/>
      <c r="AH70" s="138"/>
      <c r="AI70" s="74"/>
      <c r="AJ70" s="74"/>
      <c r="AK70" s="74"/>
      <c r="AL70" s="139" t="s">
        <v>128</v>
      </c>
      <c r="AM70" s="74" t="str" cm="1">
        <f t="array" ref="AM70">IF(SUM(AA66:AA69)=12,"si","no")</f>
        <v>si</v>
      </c>
      <c r="AN70" s="74"/>
      <c r="AO70" s="74"/>
      <c r="AP70" s="74"/>
      <c r="AQ70" s="74"/>
      <c r="AR70" s="74"/>
      <c r="AS70" s="74"/>
      <c r="AT70" s="74"/>
      <c r="AU70" s="138"/>
      <c r="AV70" s="138"/>
      <c r="AW70" s="74"/>
      <c r="AX70" s="74"/>
      <c r="AY70" s="74"/>
      <c r="AZ70" s="74"/>
      <c r="BA70" s="74"/>
      <c r="BB70" s="74"/>
      <c r="BC70" s="74"/>
      <c r="BD70" s="74"/>
      <c r="BE70" s="108" t="str" cm="1">
        <f t="array" ref="BE70">IF(OR(BF70="-",BI70="-",BF64=0),"-","OK")</f>
        <v>OK</v>
      </c>
      <c r="BF70" s="109" t="str" cm="1">
        <f t="array" ref="BF70">IF(_xlfn.XLOOKUP($E70,$AY1:$AY108,$AZ1:$AZ108,"-",0)=BF64,$E70,"-")</f>
        <v>Uruguay</v>
      </c>
      <c r="BG70" s="110" cm="1">
        <f t="array" ref="BG70">$F70</f>
        <v>1</v>
      </c>
      <c r="BH70" s="110" cm="1">
        <f t="array" ref="BH70">$G70</f>
        <v>1</v>
      </c>
      <c r="BI70" s="109" t="str" cm="1">
        <f t="array" ref="BI70">IF(_xlfn.XLOOKUP($H70,$AY1:$AY108,$AZ1:$AZ108,"-",0)=BF64,$H70,"-")</f>
        <v>España</v>
      </c>
      <c r="BJ70" s="74"/>
      <c r="BK70" s="74"/>
      <c r="BL70" s="74"/>
      <c r="BM70" s="74"/>
      <c r="BN70" s="74"/>
      <c r="BO70" s="74"/>
      <c r="BP70" s="74"/>
      <c r="BQ70" s="74"/>
      <c r="BR70" s="74"/>
      <c r="BS70" s="74"/>
      <c r="BT70" s="74"/>
      <c r="BU70" s="74"/>
      <c r="BV70" s="74"/>
      <c r="BW70" s="74"/>
      <c r="BX70" s="74"/>
      <c r="BY70" s="108" t="str" cm="1">
        <f t="array" ref="BY70">IF(OR(BZ70="-",CC70="-"),"-","OK")</f>
        <v>-</v>
      </c>
      <c r="BZ70" s="109" t="str" cm="1">
        <f t="array" ref="BZ70">IF(_xlfn.XLOOKUP($E70,$AY1:$AY108,$AZ1:$AZ108,"-",0)=BZ64,$E70,"-")</f>
        <v>-</v>
      </c>
      <c r="CA70" s="110" cm="1">
        <f t="array" ref="CA70">$F70</f>
        <v>1</v>
      </c>
      <c r="CB70" s="110" cm="1">
        <f t="array" ref="CB70">$G70</f>
        <v>1</v>
      </c>
      <c r="CC70" s="109" t="str" cm="1">
        <f t="array" ref="CC70">IF(_xlfn.XLOOKUP($H70,$AY1:$AY108,$AZ1:$AZ108,"-",0)=BZ64,$H70,"-")</f>
        <v>-</v>
      </c>
      <c r="CD70" s="74"/>
      <c r="CE70" s="74"/>
      <c r="CF70" s="74"/>
      <c r="CG70" s="74"/>
      <c r="CH70" s="74"/>
      <c r="CI70" s="74"/>
      <c r="CJ70" s="74"/>
      <c r="CK70" s="74"/>
      <c r="CL70" s="74"/>
      <c r="CM70" s="74"/>
      <c r="CN70" s="74"/>
      <c r="CO70" s="74"/>
      <c r="CP70" s="74"/>
      <c r="CQ70" s="74"/>
      <c r="CR70" s="74"/>
      <c r="CS70" s="74"/>
      <c r="CT70" s="74"/>
      <c r="CU70" s="74"/>
      <c r="CV70" s="74"/>
      <c r="CW70" s="74"/>
      <c r="CX70" s="172"/>
    </row>
    <row r="71" spans="1:102" ht="14.25" customHeight="1">
      <c r="A71" s="85" t="s">
        <v>200</v>
      </c>
      <c r="B71" s="86">
        <v>46199</v>
      </c>
      <c r="C71" s="87"/>
      <c r="D71" s="88"/>
      <c r="E71" s="85" t="s">
        <v>92</v>
      </c>
      <c r="F71" s="89">
        <v>0</v>
      </c>
      <c r="G71" s="89">
        <v>2</v>
      </c>
      <c r="H71" s="90" t="s">
        <v>83</v>
      </c>
      <c r="I71" s="106"/>
      <c r="J71" s="74" t="str" cm="1">
        <f t="array" ref="J71">IF(OR(ISBLANK(F71),ISBLANK(G71)),"",IF(F71&gt;G71,E71,IF(G71&gt;F71,H71,"")))</f>
        <v>Arabia Saudita</v>
      </c>
      <c r="K71" s="74" t="str" cm="1">
        <f t="array" ref="K71">IF(OR(ISBLANK(F71),ISBLANK(G71)),"",IF(F71=G71,E71,""))</f>
        <v/>
      </c>
      <c r="L71" s="74" t="str" cm="1">
        <f t="array" ref="L71">IF(OR(ISBLANK(F71),ISBLANK(G71)),"",IF(F71=G71,H71,""))</f>
        <v/>
      </c>
      <c r="M71" s="74" t="str" cm="1">
        <f t="array" ref="M71">IF(OR(ISBLANK(F71),ISBLANK(G71)),"",IF(F71&lt;G71,E71,IF(G71&lt;F71,H71,"")))</f>
        <v>Cabo Verde</v>
      </c>
      <c r="N71" s="74"/>
      <c r="O71" s="74"/>
      <c r="P71" s="74"/>
      <c r="Q71" s="74"/>
      <c r="R71" s="74"/>
      <c r="S71" s="74"/>
      <c r="T71" s="74"/>
      <c r="U71" s="74"/>
      <c r="V71" s="74"/>
      <c r="W71" s="74"/>
      <c r="X71" s="74"/>
      <c r="Y71" s="140" t="s">
        <v>130</v>
      </c>
      <c r="Z71" s="74"/>
      <c r="AA71" s="74"/>
      <c r="AB71" s="74"/>
      <c r="AC71" s="74"/>
      <c r="AD71" s="74"/>
      <c r="AE71" s="74"/>
      <c r="AF71" s="74"/>
      <c r="AG71" s="74"/>
      <c r="AH71" s="74"/>
      <c r="AI71" s="74"/>
      <c r="AJ71" s="74"/>
      <c r="AK71" s="74"/>
      <c r="AL71" s="74"/>
      <c r="AM71" s="74"/>
      <c r="AN71" s="74"/>
      <c r="AO71" s="74"/>
      <c r="AP71" s="74"/>
      <c r="AQ71" s="74"/>
      <c r="AR71" s="114" cm="1">
        <f t="array" ref="AR71">IF(AND(AM70="si",OR(AR66=1,AR67=1,AR68=1)),1,0)</f>
        <v>0</v>
      </c>
      <c r="AS71" s="74"/>
      <c r="AT71" s="74"/>
      <c r="AU71" s="74"/>
      <c r="AV71" s="74"/>
      <c r="AW71" s="74"/>
      <c r="AX71" s="74"/>
      <c r="AY71" s="74"/>
      <c r="AZ71" s="74"/>
      <c r="BA71" s="74"/>
      <c r="BB71" s="74"/>
      <c r="BC71" s="74"/>
      <c r="BD71" s="74"/>
      <c r="BE71" s="108" t="str" cm="1">
        <f t="array" ref="BE71">IF(OR(BF71="-",BI71="-",BF64=0),"-","OK")</f>
        <v>-</v>
      </c>
      <c r="BF71" s="109" t="str" cm="1">
        <f t="array" ref="BF71">IF(_xlfn.XLOOKUP($E71,$AY1:$AY108,$AZ1:$AZ108,"-",0)=BF64,$E71,"-")</f>
        <v>-</v>
      </c>
      <c r="BG71" s="110" cm="1">
        <f t="array" ref="BG71">$F71</f>
        <v>0</v>
      </c>
      <c r="BH71" s="110" cm="1">
        <f t="array" ref="BH71">$G71</f>
        <v>2</v>
      </c>
      <c r="BI71" s="109" t="str" cm="1">
        <f t="array" ref="BI71">IF(_xlfn.XLOOKUP($H71,$AY1:$AY108,$AZ1:$AZ108,"-",0)=BF64,$H71,"-")</f>
        <v>-</v>
      </c>
      <c r="BJ71" s="74"/>
      <c r="BK71" s="74"/>
      <c r="BL71" s="74"/>
      <c r="BM71" s="74"/>
      <c r="BN71" s="74"/>
      <c r="BO71" s="74"/>
      <c r="BP71" s="74"/>
      <c r="BQ71" s="74"/>
      <c r="BR71" s="74"/>
      <c r="BS71" s="74"/>
      <c r="BT71" s="74"/>
      <c r="BU71" s="74"/>
      <c r="BV71" s="74"/>
      <c r="BW71" s="74"/>
      <c r="BX71" s="74"/>
      <c r="BY71" s="108" t="str" cm="1">
        <f t="array" ref="BY71">IF(OR(BZ71="-",CC71="-"),"-","OK")</f>
        <v>-</v>
      </c>
      <c r="BZ71" s="109" t="str" cm="1">
        <f t="array" ref="BZ71">IF(_xlfn.XLOOKUP($E71,$AY1:$AY108,$AZ1:$AZ108,"-",0)=BZ64,$E71,"-")</f>
        <v>Cabo Verde</v>
      </c>
      <c r="CA71" s="110" cm="1">
        <f t="array" ref="CA71">$F71</f>
        <v>0</v>
      </c>
      <c r="CB71" s="110" cm="1">
        <f t="array" ref="CB71">$G71</f>
        <v>2</v>
      </c>
      <c r="CC71" s="109" t="str" cm="1">
        <f t="array" ref="CC71">IF(_xlfn.XLOOKUP($H71,$AY1:$AY108,$AZ1:$AZ108,"-",0)=BZ64,$H71,"-")</f>
        <v>-</v>
      </c>
      <c r="CD71" s="74"/>
      <c r="CE71" s="74"/>
      <c r="CF71" s="74"/>
      <c r="CG71" s="74"/>
      <c r="CH71" s="74"/>
      <c r="CI71" s="74"/>
      <c r="CJ71" s="74"/>
      <c r="CK71" s="74"/>
      <c r="CL71" s="74"/>
      <c r="CM71" s="74"/>
      <c r="CN71" s="74"/>
      <c r="CO71" s="74"/>
      <c r="CP71" s="74"/>
      <c r="CQ71" s="74"/>
      <c r="CR71" s="74"/>
      <c r="CS71" s="74"/>
      <c r="CT71" s="74"/>
      <c r="CU71" s="74"/>
      <c r="CV71" s="74"/>
      <c r="CW71" s="74"/>
      <c r="CX71" s="172"/>
    </row>
    <row r="72" spans="1:102" ht="14.25" customHeight="1">
      <c r="A72" s="141"/>
      <c r="B72" s="142"/>
      <c r="C72" s="143"/>
      <c r="D72" s="144"/>
      <c r="E72" s="145"/>
      <c r="F72" s="143"/>
      <c r="G72" s="143"/>
      <c r="H72" s="146"/>
      <c r="I72" s="78"/>
      <c r="J72" s="77"/>
      <c r="K72" s="77"/>
      <c r="L72" s="77"/>
      <c r="M72" s="77"/>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78"/>
      <c r="AZ72" s="78"/>
      <c r="BA72" s="78"/>
      <c r="BB72" s="78"/>
      <c r="BC72" s="78"/>
      <c r="BD72" s="78"/>
      <c r="BE72" s="77"/>
      <c r="BF72" s="144"/>
      <c r="BG72" s="144"/>
      <c r="BH72" s="144"/>
      <c r="BI72" s="144"/>
      <c r="BJ72" s="78"/>
      <c r="BK72" s="78"/>
      <c r="BL72" s="78"/>
      <c r="BM72" s="78"/>
      <c r="BN72" s="78"/>
      <c r="BO72" s="78"/>
      <c r="BP72" s="78"/>
      <c r="BQ72" s="78"/>
      <c r="BR72" s="78"/>
      <c r="BS72" s="78"/>
      <c r="BT72" s="78"/>
      <c r="BU72" s="78"/>
      <c r="BV72" s="78"/>
      <c r="BW72" s="78"/>
      <c r="BX72" s="78"/>
      <c r="BY72" s="78"/>
      <c r="BZ72" s="144"/>
      <c r="CA72" s="144"/>
      <c r="CB72" s="144"/>
      <c r="CC72" s="144"/>
      <c r="CD72" s="78"/>
      <c r="CE72" s="78"/>
      <c r="CF72" s="78"/>
      <c r="CG72" s="78"/>
      <c r="CH72" s="78"/>
      <c r="CI72" s="78"/>
      <c r="CJ72" s="78"/>
      <c r="CK72" s="78"/>
      <c r="CL72" s="78"/>
      <c r="CM72" s="78"/>
      <c r="CN72" s="78"/>
      <c r="CO72" s="78"/>
      <c r="CP72" s="78"/>
      <c r="CQ72" s="78"/>
      <c r="CR72" s="78"/>
      <c r="CS72" s="78"/>
      <c r="CT72" s="78"/>
      <c r="CU72" s="78"/>
      <c r="CV72" s="78"/>
      <c r="CW72" s="77"/>
      <c r="CX72" s="174"/>
    </row>
    <row r="73" spans="1:102" ht="14.25" customHeight="1">
      <c r="A73" s="150"/>
      <c r="B73" s="144"/>
      <c r="C73" s="144"/>
      <c r="D73" s="144"/>
      <c r="E73" s="144"/>
      <c r="F73" s="144"/>
      <c r="G73" s="144"/>
      <c r="H73" s="144"/>
      <c r="I73" s="138"/>
      <c r="J73" s="138"/>
      <c r="K73" s="138"/>
      <c r="L73" s="138"/>
      <c r="M73" s="138"/>
      <c r="N73" s="138"/>
      <c r="O73" s="138"/>
      <c r="P73" s="138"/>
      <c r="Q73" s="138"/>
      <c r="R73" s="138"/>
      <c r="S73" s="138"/>
      <c r="T73" s="138"/>
      <c r="U73" s="138"/>
      <c r="V73" s="138"/>
      <c r="W73" s="138"/>
      <c r="X73" s="138"/>
      <c r="Y73" s="144"/>
      <c r="Z73" s="144"/>
      <c r="AA73" s="144"/>
      <c r="AB73" s="144"/>
      <c r="AC73" s="144"/>
      <c r="AD73" s="144"/>
      <c r="AE73" s="144"/>
      <c r="AF73" s="144"/>
      <c r="AG73" s="144"/>
      <c r="AH73" s="144"/>
      <c r="AI73" s="138"/>
      <c r="AJ73" s="138"/>
      <c r="AK73" s="138"/>
      <c r="AL73" s="138"/>
      <c r="AM73" s="138"/>
      <c r="AN73" s="138"/>
      <c r="AO73" s="138"/>
      <c r="AP73" s="138"/>
      <c r="AQ73" s="138"/>
      <c r="AR73" s="138"/>
      <c r="AS73" s="138"/>
      <c r="AT73" s="138"/>
      <c r="AU73" s="138"/>
      <c r="AV73" s="138"/>
      <c r="AW73" s="138"/>
      <c r="AX73" s="138"/>
      <c r="AY73" s="138"/>
      <c r="AZ73" s="138"/>
      <c r="BA73" s="138"/>
      <c r="BB73" s="138"/>
      <c r="BC73" s="138"/>
      <c r="BD73" s="138"/>
      <c r="BE73" s="138"/>
      <c r="BF73" s="151" cm="1">
        <f t="array" ref="BF73">IF(BA75&gt;1,AZ75,IF(BA76&gt;1,AZ76,IF(BA77&gt;1,AZ77,IF(BA78&gt;1,AZ78,"-"))))</f>
        <v>4</v>
      </c>
      <c r="BG73" s="138"/>
      <c r="BH73" s="138"/>
      <c r="BI73" s="138"/>
      <c r="BJ73" s="138"/>
      <c r="BK73" s="138"/>
      <c r="BL73" s="138"/>
      <c r="BM73" s="138"/>
      <c r="BN73" s="138"/>
      <c r="BO73" s="138"/>
      <c r="BP73" s="138"/>
      <c r="BQ73" s="138"/>
      <c r="BR73" s="138"/>
      <c r="BS73" s="138"/>
      <c r="BT73" s="138"/>
      <c r="BU73" s="138"/>
      <c r="BV73" s="138"/>
      <c r="BW73" s="152">
        <v>10</v>
      </c>
      <c r="BX73" s="138"/>
      <c r="BY73" s="138"/>
      <c r="BZ73" s="153" cm="1">
        <f t="array" ref="BZ73">IF(BC75&gt;1,BB75,IF(BC76&gt;1,BB76,IF(BC77&gt;1,BB77,IF(BC78&gt;1,BB78,"-"))))</f>
        <v>9</v>
      </c>
      <c r="CA73" s="138"/>
      <c r="CB73" s="138"/>
      <c r="CC73" s="138"/>
      <c r="CD73" s="138"/>
      <c r="CE73" s="138"/>
      <c r="CF73" s="138"/>
      <c r="CG73" s="138"/>
      <c r="CH73" s="138"/>
      <c r="CI73" s="138"/>
      <c r="CJ73" s="138"/>
      <c r="CK73" s="138"/>
      <c r="CL73" s="138"/>
      <c r="CM73" s="138"/>
      <c r="CN73" s="138"/>
      <c r="CO73" s="138"/>
      <c r="CP73" s="138"/>
      <c r="CQ73" s="152">
        <v>10</v>
      </c>
      <c r="CR73" s="138"/>
      <c r="CS73" s="138"/>
      <c r="CT73" s="138"/>
      <c r="CU73" s="138"/>
      <c r="CV73" s="138"/>
      <c r="CW73" s="138"/>
      <c r="CX73" s="175"/>
    </row>
    <row r="74" spans="1:102" ht="14.25" customHeight="1">
      <c r="A74" s="236" t="s">
        <v>101</v>
      </c>
      <c r="B74" s="237" t="s">
        <v>102</v>
      </c>
      <c r="C74" s="237" t="s">
        <v>103</v>
      </c>
      <c r="D74" s="238"/>
      <c r="E74" s="239" t="s">
        <v>201</v>
      </c>
      <c r="F74" s="240"/>
      <c r="G74" s="240"/>
      <c r="H74" s="241"/>
      <c r="I74" s="65"/>
      <c r="J74" s="66" t="s">
        <v>105</v>
      </c>
      <c r="K74" s="66" t="s">
        <v>106</v>
      </c>
      <c r="L74" s="66" t="s">
        <v>106</v>
      </c>
      <c r="M74" s="66" t="s">
        <v>107</v>
      </c>
      <c r="N74" s="65"/>
      <c r="O74" s="67" t="str" cm="1">
        <f t="array" ref="O74">E74</f>
        <v>Grupo I</v>
      </c>
      <c r="P74" s="68" t="s">
        <v>105</v>
      </c>
      <c r="Q74" s="68" t="s">
        <v>106</v>
      </c>
      <c r="R74" s="68" t="s">
        <v>107</v>
      </c>
      <c r="S74" s="68" t="s">
        <v>108</v>
      </c>
      <c r="T74" s="68" t="s">
        <v>109</v>
      </c>
      <c r="U74" s="68" t="s">
        <v>110</v>
      </c>
      <c r="V74" s="68" t="s">
        <v>0</v>
      </c>
      <c r="W74" s="69"/>
      <c r="X74" s="65"/>
      <c r="Y74" s="778" t="s">
        <v>201</v>
      </c>
      <c r="Z74" s="779"/>
      <c r="AA74" s="242" t="s">
        <v>111</v>
      </c>
      <c r="AB74" s="243" t="s">
        <v>105</v>
      </c>
      <c r="AC74" s="243" t="s">
        <v>106</v>
      </c>
      <c r="AD74" s="243" t="s">
        <v>107</v>
      </c>
      <c r="AE74" s="243" t="s">
        <v>108</v>
      </c>
      <c r="AF74" s="243" t="s">
        <v>109</v>
      </c>
      <c r="AG74" s="243" t="s">
        <v>110</v>
      </c>
      <c r="AH74" s="244" t="s">
        <v>0</v>
      </c>
      <c r="AI74" s="234"/>
      <c r="AJ74" s="74"/>
      <c r="AK74" s="74"/>
      <c r="AL74" s="75" t="s">
        <v>0</v>
      </c>
      <c r="AM74" s="75" t="s">
        <v>112</v>
      </c>
      <c r="AN74" s="76"/>
      <c r="AO74" s="76"/>
      <c r="AP74" s="76"/>
      <c r="AQ74" s="76"/>
      <c r="AR74" s="76"/>
      <c r="AS74" s="76"/>
      <c r="AT74" s="76"/>
      <c r="AU74" s="77"/>
      <c r="AV74" s="78"/>
      <c r="AW74" s="74"/>
      <c r="AX74" s="74"/>
      <c r="AY74" s="75" t="s">
        <v>113</v>
      </c>
      <c r="AZ74" s="75" t="s">
        <v>0</v>
      </c>
      <c r="BA74" s="75" t="s">
        <v>114</v>
      </c>
      <c r="BB74" s="76"/>
      <c r="BC74" s="76"/>
      <c r="BD74" s="76"/>
      <c r="BE74" s="74"/>
      <c r="BF74" s="78"/>
      <c r="BG74" s="78"/>
      <c r="BH74" s="78"/>
      <c r="BI74" s="78"/>
      <c r="BJ74" s="74"/>
      <c r="BK74" s="79"/>
      <c r="BL74" s="80" t="s">
        <v>111</v>
      </c>
      <c r="BM74" s="75" t="s">
        <v>105</v>
      </c>
      <c r="BN74" s="75" t="s">
        <v>106</v>
      </c>
      <c r="BO74" s="75" t="s">
        <v>107</v>
      </c>
      <c r="BP74" s="75" t="s">
        <v>108</v>
      </c>
      <c r="BQ74" s="75" t="s">
        <v>109</v>
      </c>
      <c r="BR74" s="75" t="s">
        <v>110</v>
      </c>
      <c r="BS74" s="75" t="s">
        <v>0</v>
      </c>
      <c r="BT74" s="75" t="s">
        <v>115</v>
      </c>
      <c r="BU74" s="76"/>
      <c r="BV74" s="75" t="s">
        <v>116</v>
      </c>
      <c r="BW74" s="75" t="s">
        <v>115</v>
      </c>
      <c r="BX74" s="74"/>
      <c r="BY74" s="74"/>
      <c r="BZ74" s="78"/>
      <c r="CA74" s="78"/>
      <c r="CB74" s="78"/>
      <c r="CC74" s="78"/>
      <c r="CD74" s="74"/>
      <c r="CE74" s="79"/>
      <c r="CF74" s="80" t="s">
        <v>111</v>
      </c>
      <c r="CG74" s="75" t="s">
        <v>105</v>
      </c>
      <c r="CH74" s="75" t="s">
        <v>106</v>
      </c>
      <c r="CI74" s="75" t="s">
        <v>107</v>
      </c>
      <c r="CJ74" s="75" t="s">
        <v>108</v>
      </c>
      <c r="CK74" s="75" t="s">
        <v>109</v>
      </c>
      <c r="CL74" s="75" t="s">
        <v>110</v>
      </c>
      <c r="CM74" s="75" t="s">
        <v>0</v>
      </c>
      <c r="CN74" s="75" t="s">
        <v>115</v>
      </c>
      <c r="CO74" s="76"/>
      <c r="CP74" s="75" t="s">
        <v>116</v>
      </c>
      <c r="CQ74" s="75" t="s">
        <v>115</v>
      </c>
      <c r="CR74" s="74"/>
      <c r="CS74" s="74"/>
      <c r="CT74" s="74"/>
      <c r="CU74" s="74"/>
      <c r="CV74" s="74"/>
      <c r="CW74" s="74"/>
      <c r="CX74" s="172"/>
    </row>
    <row r="75" spans="1:102" ht="14.25" customHeight="1">
      <c r="A75" s="85" t="s">
        <v>202</v>
      </c>
      <c r="B75" s="86">
        <v>46189</v>
      </c>
      <c r="C75" s="87"/>
      <c r="D75" s="88"/>
      <c r="E75" s="85" t="s">
        <v>48</v>
      </c>
      <c r="F75" s="89">
        <v>2</v>
      </c>
      <c r="G75" s="89">
        <v>1</v>
      </c>
      <c r="H75" s="90" t="s">
        <v>61</v>
      </c>
      <c r="I75" s="65"/>
      <c r="J75" s="65" t="str" cm="1">
        <f t="array" ref="J75">IF(OR(ISBLANK(F75),ISBLANK(G75)),"",IF(F75&gt;G75,E75,IF(G75&gt;F75,H75,"")))</f>
        <v>Francia</v>
      </c>
      <c r="K75" s="65" t="str" cm="1">
        <f t="array" ref="K75">IF(OR(ISBLANK(F75),ISBLANK(G75)),"",IF(F75=G75,E75,""))</f>
        <v/>
      </c>
      <c r="L75" s="65" t="str" cm="1">
        <f t="array" ref="L75">IF(OR(ISBLANK(F75),ISBLANK(G75)),"",IF(F75=G75,H75,""))</f>
        <v/>
      </c>
      <c r="M75" s="65" t="str" cm="1">
        <f t="array" ref="M75">IF(OR(ISBLANK(F75),ISBLANK(G75)),"",IF(F75&lt;G75,E75,IF(G75&lt;F75,H75,"")))</f>
        <v>Senegal</v>
      </c>
      <c r="N75" s="65"/>
      <c r="O75" s="67" t="str" cm="1">
        <f t="array" ref="O75">E75</f>
        <v>Francia</v>
      </c>
      <c r="P75" s="91" cm="1">
        <f t="array" ref="P75">COUNTIF(J75:J80,"="&amp;$O75)</f>
        <v>3</v>
      </c>
      <c r="Q75" s="91" cm="1">
        <f t="array" ref="Q75">COUNTIF(K75:L80,"="&amp;$O75)</f>
        <v>0</v>
      </c>
      <c r="R75" s="91" cm="1">
        <f t="array" ref="R75">COUNTIF(M75:M80,"="&amp;$O75)</f>
        <v>0</v>
      </c>
      <c r="S75" s="91" cm="1">
        <f t="array" ref="S75">T75-U75</f>
        <v>5</v>
      </c>
      <c r="T75" s="91" cm="1">
        <f t="array" ref="T75">SUMIF(E75:E80,$O75,F75:F80)+SUMIF(H75:H80,$O75,G75:G80)</f>
        <v>7</v>
      </c>
      <c r="U75" s="91" cm="1">
        <f t="array" ref="U75">SUMIF(E75:E80,$O75,G75:G80)+SUMIF(H75:H80,$O75,F75:F80)</f>
        <v>2</v>
      </c>
      <c r="V75" s="92" cm="1">
        <f t="array" ref="V75">P75*3+Q75*1+BT75+CN75+S75/1000+T75/10000+AV75/1000000+ROW()/10000000</f>
        <v>9.0057075000000015</v>
      </c>
      <c r="W75" s="67" t="str" cm="1">
        <f t="array" ref="W75">O75</f>
        <v>Francia</v>
      </c>
      <c r="X75" s="65"/>
      <c r="Y75" s="93" t="str" cm="1">
        <f t="array" ref="Y75">CONCATENATE("1",RIGHT(E74,1))</f>
        <v>1I</v>
      </c>
      <c r="Z75" s="94" t="str" cm="1">
        <f t="array" ref="Z75">VLOOKUP(AL75,V75:W78,2,FALSE)</f>
        <v>Francia</v>
      </c>
      <c r="AA75" s="95" cm="1">
        <f t="array" ref="AA75">SUM(AB75:AD75)</f>
        <v>3</v>
      </c>
      <c r="AB75" s="96" cm="1">
        <f t="array" ref="AB75">_xlfn.XLOOKUP($Z75,$O1:$O108,P1:P108,"Error",0)</f>
        <v>3</v>
      </c>
      <c r="AC75" s="96" cm="1">
        <f t="array" ref="AC75">_xlfn.XLOOKUP($Z75,$O1:$O108,Q1:Q108,"Error",0)</f>
        <v>0</v>
      </c>
      <c r="AD75" s="96" cm="1">
        <f t="array" ref="AD75">_xlfn.XLOOKUP($Z75,$O1:$O108,R1:R108,"Error",0)</f>
        <v>0</v>
      </c>
      <c r="AE75" s="96" cm="1">
        <f t="array" ref="AE75">_xlfn.XLOOKUP($Z75,$O1:$O108,S1:S108,"Error",0)</f>
        <v>5</v>
      </c>
      <c r="AF75" s="96" cm="1">
        <f t="array" ref="AF75">_xlfn.XLOOKUP($Z75,$O1:$O108,T1:T108,"Error",0)</f>
        <v>7</v>
      </c>
      <c r="AG75" s="96" cm="1">
        <f t="array" ref="AG75">_xlfn.XLOOKUP($Z75,$O1:$O108,U1:U108,"Error",0)</f>
        <v>2</v>
      </c>
      <c r="AH75" s="97" cm="1">
        <f t="array" ref="AH75">_xlfn.XLOOKUP($Z75,$O1:$O108,V1:V108,"Error",0)</f>
        <v>9.0057075000000015</v>
      </c>
      <c r="AI75" s="98"/>
      <c r="AJ75" s="74"/>
      <c r="AK75" s="74"/>
      <c r="AL75" s="99" cm="1">
        <f t="array" ref="AL75">LARGE(V75:V78,1)</f>
        <v>9.0057075000000015</v>
      </c>
      <c r="AM75" s="100" cm="1">
        <f t="array" ref="AM75">(AH75-AL75)*100000000000000000000</f>
        <v>0</v>
      </c>
      <c r="AN75" s="74"/>
      <c r="AO75" s="74"/>
      <c r="AP75" s="101" t="str" cm="1">
        <f t="array" ref="AP75">O75</f>
        <v>Francia</v>
      </c>
      <c r="AQ75" s="102" cm="1">
        <f t="array" ref="AQ75">P75*3+Q75*1+BT75+CN75+S75/1000+T75/10000</f>
        <v>9.0057000000000009</v>
      </c>
      <c r="AR75" s="102" t="b" cm="1">
        <f t="array" ref="AR75">IF(OR(AQ75=AQ76,AQ75=AQ77,AQ75=AQ78),1)</f>
        <v>0</v>
      </c>
      <c r="AS75" s="103" cm="1">
        <f t="array" ref="AS75">AV75</f>
        <v>0</v>
      </c>
      <c r="AT75" s="103" cm="1">
        <f t="array" ref="AT75">IF(AND(AM79="si",OR(AR75=1,AR76=1,AR77=1)),1,0)</f>
        <v>1</v>
      </c>
      <c r="AU75" s="104" t="str" cm="1">
        <f t="array" ref="AU75">O75</f>
        <v>Francia</v>
      </c>
      <c r="AV75" s="105"/>
      <c r="AW75" s="106"/>
      <c r="AX75" s="74" t="str" cm="1">
        <f t="array" ref="AX75">Y74</f>
        <v>Grupo I</v>
      </c>
      <c r="AY75" s="76" t="str" cm="1">
        <f t="array" ref="AY75">O75</f>
        <v>Francia</v>
      </c>
      <c r="AZ75" s="107" cm="1">
        <f t="array" ref="AZ75">P75*3+Q75</f>
        <v>9</v>
      </c>
      <c r="BA75" s="107" cm="1">
        <f t="array" ref="BA75">COUNTIFS($AX$1:AX75,AX75,$AZ$1:AZ75,AZ75)</f>
        <v>1</v>
      </c>
      <c r="BB75" s="107" cm="1">
        <f t="array" ref="BB75">IF(AZ75=BF73,ROW()*0.001,AZ75)</f>
        <v>9</v>
      </c>
      <c r="BC75" s="107" cm="1">
        <f t="array" ref="BC75">COUNTIFS($AX$1:AZ75,AZ75,$AZ$1:BB75,BB75)</f>
        <v>6</v>
      </c>
      <c r="BD75" s="107"/>
      <c r="BE75" s="108" t="str" cm="1">
        <f t="array" ref="BE75">IF(OR(BF75="-",BI75="-",BF73=0),"-","OK")</f>
        <v>-</v>
      </c>
      <c r="BF75" s="109" t="str" cm="1">
        <f t="array" ref="BF75">IF(_xlfn.XLOOKUP($E75,$AY1:$AY108,$AZ1:$AZ108,"-",0)=BF73,$E75,"-")</f>
        <v>-</v>
      </c>
      <c r="BG75" s="110" cm="1">
        <f t="array" ref="BG75">$F75</f>
        <v>2</v>
      </c>
      <c r="BH75" s="110" cm="1">
        <f t="array" ref="BH75">$G75</f>
        <v>1</v>
      </c>
      <c r="BI75" s="109" t="str" cm="1">
        <f t="array" ref="BI75">IF(_xlfn.XLOOKUP($H75,$AY1:$AY108,$AZ1:$AZ108,"-",0)=BF73,$H75,"-")</f>
        <v>Senegal</v>
      </c>
      <c r="BJ75" s="74"/>
      <c r="BK75" s="79" t="str" cm="1">
        <f t="array" ref="BK75">O75</f>
        <v>Francia</v>
      </c>
      <c r="BL75" s="111" cm="1">
        <f t="array" ref="BL75">COUNTIFS($BE1:$BE108,"OK",$BI1:$BI108,BK75)+COUNTIFS($BE1:$BE108,"OK",$BF1:$BF108,BK75)</f>
        <v>0</v>
      </c>
      <c r="BM75" s="112" cm="1">
        <f t="array" ref="BM75">COUNTIFS(J1:J108,$BK75,$BE1:$BE108,"OK")</f>
        <v>0</v>
      </c>
      <c r="BN75" s="112" cm="1">
        <f t="array" ref="BN75">COUNTIFS(K1:K108,$BK75,$BE1:$BE108,"OK")+COUNTIFS(L1:L108,$BK75,$BE1:$BE108,"OK")</f>
        <v>0</v>
      </c>
      <c r="BO75" s="112" cm="1">
        <f t="array" ref="BO75">COUNTIFS(M1:M108,$BK75,$BE1:$BE108,"OK")</f>
        <v>0</v>
      </c>
      <c r="BP75" s="112" cm="1">
        <f t="array" ref="BP75">BQ75-BR75</f>
        <v>0</v>
      </c>
      <c r="BQ75" s="112" cm="1">
        <f t="array" ref="BQ75">SUMIFS(BG1:BG108,$BE1:$BE108,"OK",BF1:BF108,$BK75)+SUMIFS(BH1:BH108,$BE1:$BE108,"OK",BI1:BI108,$BK75)</f>
        <v>0</v>
      </c>
      <c r="BR75" s="112" cm="1">
        <f t="array" ref="BR75">SUMIFS(BH1:BH108,$BE1:$BE108,"OK",BF1:BF108,$BK75)+SUMIFS(BG1:BG108,$BE1:$BE108,"OK",BI1:BI108,$BK75)</f>
        <v>0</v>
      </c>
      <c r="BS75" s="113" cm="1">
        <f t="array" ref="BS75">BM75*3+BN75*1+BP75/100+BQ75/10000</f>
        <v>0</v>
      </c>
      <c r="BT75" s="107" cm="1">
        <f t="array" ref="BT75">IF(BL75=0,0,_xlfn.XLOOKUP(BS75,BV75:BV78,BW75:BW78))</f>
        <v>0</v>
      </c>
      <c r="BU75" s="99"/>
      <c r="BV75" s="113" cm="1">
        <f t="array" ref="BV75">LARGE(BS75:BS78,1)</f>
        <v>1.0002</v>
      </c>
      <c r="BW75" s="112" cm="1">
        <f t="array" ref="BW75">BX75/$BW$1</f>
        <v>0.3</v>
      </c>
      <c r="BX75" s="114">
        <v>3</v>
      </c>
      <c r="BY75" s="108" t="str" cm="1">
        <f t="array" ref="BY75">IF(OR(BZ75="-",CC75="-"),"-","OK")</f>
        <v>-</v>
      </c>
      <c r="BZ75" s="109" t="str" cm="1">
        <f t="array" ref="BZ75">IF(_xlfn.XLOOKUP($E75,$AY1:$AY108,$AZ1:$AZ108,"-",0)=BZ73,$E75,"-")</f>
        <v>Francia</v>
      </c>
      <c r="CA75" s="110" cm="1">
        <f t="array" ref="CA75">$F75</f>
        <v>2</v>
      </c>
      <c r="CB75" s="110" cm="1">
        <f t="array" ref="CB75">$G75</f>
        <v>1</v>
      </c>
      <c r="CC75" s="109" t="str" cm="1">
        <f t="array" ref="CC75">IF(_xlfn.XLOOKUP($H75,$AY1:$AY108,$AZ1:$AZ108,"-",0)=BZ73,$H75,"-")</f>
        <v>-</v>
      </c>
      <c r="CD75" s="74"/>
      <c r="CE75" s="79" t="str" cm="1">
        <f t="array" ref="CE75">BK75</f>
        <v>Francia</v>
      </c>
      <c r="CF75" s="111" cm="1">
        <f t="array" ref="CF75">COUNTIFS($BY1:$BY108,"OK",$CC1:$CC108,CE75)+COUNTIFS($BY1:$BY108,"OK",$BZ1:$BZ108,CE75)</f>
        <v>0</v>
      </c>
      <c r="CG75" s="112" cm="1">
        <f t="array" ref="CG75">COUNTIFS(P1:P108,$BK75,$BY1:$BY108,"OK")</f>
        <v>0</v>
      </c>
      <c r="CH75" s="112" cm="1">
        <f t="array" ref="CH75">COUNTIFS(K1:K108,$BK75,$BY1:$BY108,"OK")+COUNTIFS(L1:L108,$BK75,$BY1:$BY108,"OK")</f>
        <v>0</v>
      </c>
      <c r="CI75" s="112" cm="1">
        <f t="array" ref="CI75">COUNTIFS(M1:M108,$CE75,$BY1:$BY108,"OK")</f>
        <v>0</v>
      </c>
      <c r="CJ75" s="112" cm="1">
        <f t="array" ref="CJ75">CK75-CL75</f>
        <v>0</v>
      </c>
      <c r="CK75" s="112" cm="1">
        <f t="array" ref="CK75">SUMIFS(CA1:CA108,$BY1:$BY108,"OK",BZ1:BZ108,$BK75)+SUMIFS(CB1:CB108,$BY1:$BY108,"OK",CC1:CC108,$BK75)</f>
        <v>0</v>
      </c>
      <c r="CL75" s="112" cm="1">
        <f t="array" ref="CL75">SUMIFS(CB1:CB108,$BY1:$BY108,"OK",BZ1:BZ108,$BK75)+SUMIFS(CA1:CA108,$BY1:$BY108,"OK",CC1:CC108,$BK75)</f>
        <v>0</v>
      </c>
      <c r="CM75" s="113" cm="1">
        <f t="array" ref="CM75">CG75*3+CH75*1+CJ75/100+CK75/10000</f>
        <v>0</v>
      </c>
      <c r="CN75" s="107" cm="1">
        <f t="array" ref="CN75">IF(CF75=0,0,_xlfn.XLOOKUP(CM75,CP75:CP78,CQ75:CQ78))</f>
        <v>0</v>
      </c>
      <c r="CO75" s="99"/>
      <c r="CP75" s="113" cm="1">
        <f t="array" ref="CP75">LARGE(CM75:CM78,1)</f>
        <v>0</v>
      </c>
      <c r="CQ75" s="112" cm="1">
        <f t="array" ref="CQ75">CR75/$BW$1</f>
        <v>0.3</v>
      </c>
      <c r="CR75" s="114">
        <v>3</v>
      </c>
      <c r="CS75" s="74"/>
      <c r="CT75" s="74"/>
      <c r="CU75" s="74"/>
      <c r="CV75" s="74"/>
      <c r="CW75" s="74"/>
      <c r="CX75" s="172"/>
    </row>
    <row r="76" spans="1:102" ht="14.25" customHeight="1">
      <c r="A76" s="85" t="s">
        <v>204</v>
      </c>
      <c r="B76" s="86">
        <v>46189</v>
      </c>
      <c r="C76" s="87"/>
      <c r="D76" s="88"/>
      <c r="E76" s="85" t="s">
        <v>90</v>
      </c>
      <c r="F76" s="89">
        <v>0</v>
      </c>
      <c r="G76" s="89">
        <v>2</v>
      </c>
      <c r="H76" s="90" t="s">
        <v>69</v>
      </c>
      <c r="I76" s="65"/>
      <c r="J76" s="65" t="str" cm="1">
        <f t="array" ref="J76">IF(OR(ISBLANK(F76),ISBLANK(G76)),"",IF(F76&gt;G76,E76,IF(G76&gt;F76,H76,"")))</f>
        <v>Noruega</v>
      </c>
      <c r="K76" s="65" t="str" cm="1">
        <f t="array" ref="K76">IF(OR(ISBLANK(F76),ISBLANK(G76)),"",IF(F76=G76,E76,""))</f>
        <v/>
      </c>
      <c r="L76" s="65" t="str" cm="1">
        <f t="array" ref="L76">IF(OR(ISBLANK(F76),ISBLANK(G76)),"",IF(F76=G76,H76,""))</f>
        <v/>
      </c>
      <c r="M76" s="65" t="str" cm="1">
        <f t="array" ref="M76">IF(OR(ISBLANK(F76),ISBLANK(G76)),"",IF(F76&lt;G76,E76,IF(G76&lt;F76,H76,"")))</f>
        <v>Irak</v>
      </c>
      <c r="N76" s="65"/>
      <c r="O76" s="67" t="str" cm="1">
        <f t="array" ref="O76">H75</f>
        <v>Senegal</v>
      </c>
      <c r="P76" s="91" cm="1">
        <f t="array" ref="P76">COUNTIF(J75:J80,"="&amp;$O76)</f>
        <v>1</v>
      </c>
      <c r="Q76" s="91" cm="1">
        <f t="array" ref="Q76">COUNTIF(K75:L80,"="&amp;$O76)</f>
        <v>1</v>
      </c>
      <c r="R76" s="91" cm="1">
        <f t="array" ref="R76">COUNTIF(M75:M80,"="&amp;$O76)</f>
        <v>1</v>
      </c>
      <c r="S76" s="91" cm="1">
        <f t="array" ref="S76">T76-U76</f>
        <v>1</v>
      </c>
      <c r="T76" s="91" cm="1">
        <f t="array" ref="T76">SUMIF(E75:E80,$O76,F75:F80)+SUMIF(H75:H80,$O76,G75:G80)</f>
        <v>5</v>
      </c>
      <c r="U76" s="91" cm="1">
        <f t="array" ref="U76">SUMIF(E75:E80,$O76,G75:G80)+SUMIF(H75:H80,$O76,F75:F80)</f>
        <v>4</v>
      </c>
      <c r="V76" s="92" cm="1">
        <f t="array" ref="V76">P76*3+Q76*1+BT76+CN76+S76/1000+T76/10000+AV76/1000000+ROW()/10000000</f>
        <v>4.3015075999999999</v>
      </c>
      <c r="W76" s="67" t="str" cm="1">
        <f t="array" ref="W76">O76</f>
        <v>Senegal</v>
      </c>
      <c r="X76" s="65"/>
      <c r="Y76" s="117" t="str" cm="1">
        <f t="array" ref="Y76">CONCATENATE("2",RIGHT(E74,1))</f>
        <v>2I</v>
      </c>
      <c r="Z76" s="118" t="str" cm="1">
        <f t="array" ref="Z76">VLOOKUP(AL76,V75:W78,2,FALSE)</f>
        <v>Noruega</v>
      </c>
      <c r="AA76" s="119" cm="1">
        <f t="array" ref="AA76">SUM(AB76:AD76)</f>
        <v>3</v>
      </c>
      <c r="AB76" s="120" cm="1">
        <f t="array" ref="AB76">_xlfn.XLOOKUP($Z76,$O1:$O108,P1:P108,"Error",0)</f>
        <v>1</v>
      </c>
      <c r="AC76" s="120" cm="1">
        <f t="array" ref="AC76">_xlfn.XLOOKUP($Z76,$O1:$O108,Q1:Q108,"Error",0)</f>
        <v>1</v>
      </c>
      <c r="AD76" s="120" cm="1">
        <f t="array" ref="AD76">_xlfn.XLOOKUP($Z76,$O1:$O108,R1:R108,"Error",0)</f>
        <v>1</v>
      </c>
      <c r="AE76" s="120" cm="1">
        <f t="array" ref="AE76">_xlfn.XLOOKUP($Z76,$O1:$O108,S1:S108,"Error",0)</f>
        <v>1</v>
      </c>
      <c r="AF76" s="120" cm="1">
        <f t="array" ref="AF76">_xlfn.XLOOKUP($Z76,$O1:$O108,T1:T108,"Error",0)</f>
        <v>5</v>
      </c>
      <c r="AG76" s="120" cm="1">
        <f t="array" ref="AG76">_xlfn.XLOOKUP($Z76,$O1:$O108,U1:U108,"Error",0)</f>
        <v>4</v>
      </c>
      <c r="AH76" s="121" cm="1">
        <f t="array" ref="AH76">_xlfn.XLOOKUP($Z76,$O1:$O108,V1:V108,"Error",0)</f>
        <v>4.3015077999999995</v>
      </c>
      <c r="AI76" s="98"/>
      <c r="AJ76" s="74"/>
      <c r="AK76" s="74"/>
      <c r="AL76" s="99" cm="1">
        <f t="array" ref="AL76">LARGE(V75:V78,2)</f>
        <v>4.3015077999999995</v>
      </c>
      <c r="AM76" s="100" cm="1">
        <f t="array" ref="AM76">(AH76-AL76)*100000000000000000000</f>
        <v>0</v>
      </c>
      <c r="AN76" s="74"/>
      <c r="AO76" s="74"/>
      <c r="AP76" s="101" t="str" cm="1">
        <f t="array" ref="AP76">O76</f>
        <v>Senegal</v>
      </c>
      <c r="AQ76" s="102" cm="1">
        <f t="array" ref="AQ76">P76*3+Q76*1+BT76+CN76+S76/1000+T76/10000</f>
        <v>4.3014999999999999</v>
      </c>
      <c r="AR76" s="102" cm="1">
        <f t="array" ref="AR76">IF(OR(AQ76=AQ77,AQ76=AQ78),1)</f>
        <v>1</v>
      </c>
      <c r="AS76" s="103" cm="1">
        <f t="array" ref="AS76">AV76</f>
        <v>0</v>
      </c>
      <c r="AT76" s="103" cm="1">
        <f t="array" ref="AT76">IF(AND(AM79="si",OR(AR75=1,AR76=1,AR77=1)),1,0)</f>
        <v>1</v>
      </c>
      <c r="AU76" s="122" t="str" cm="1">
        <f t="array" ref="AU76">O76</f>
        <v>Senegal</v>
      </c>
      <c r="AV76" s="101"/>
      <c r="AW76" s="106"/>
      <c r="AX76" s="74" t="str" cm="1">
        <f t="array" ref="AX76">Y74</f>
        <v>Grupo I</v>
      </c>
      <c r="AY76" s="76" t="str" cm="1">
        <f t="array" ref="AY76">O76</f>
        <v>Senegal</v>
      </c>
      <c r="AZ76" s="107" cm="1">
        <f t="array" ref="AZ76">P76*3+Q76</f>
        <v>4</v>
      </c>
      <c r="BA76" s="107" cm="1">
        <f t="array" ref="BA76">COUNTIFS($AX$1:AX76,AX76,$AZ$1:AZ76,AZ76)</f>
        <v>1</v>
      </c>
      <c r="BB76" s="107" cm="1">
        <f t="array" ref="BB76">IF(AZ76=BF73,ROW()*0.001,AZ76)</f>
        <v>7.5999999999999998E-2</v>
      </c>
      <c r="BC76" s="107" cm="1">
        <f t="array" ref="BC76">COUNTIFS($AX$1:AZ76,AZ76,$AZ$1:BB76,BB76)</f>
        <v>1</v>
      </c>
      <c r="BD76" s="107"/>
      <c r="BE76" s="108" t="str" cm="1">
        <f t="array" ref="BE76">IF(OR(BF76="-",BI76="-",BF73=0),"-","OK")</f>
        <v>-</v>
      </c>
      <c r="BF76" s="109" t="str" cm="1">
        <f t="array" ref="BF76">IF(_xlfn.XLOOKUP($E76,$AY1:$AY108,$AZ1:$AZ108,"-",0)=BF73,$E76,"-")</f>
        <v>-</v>
      </c>
      <c r="BG76" s="110" cm="1">
        <f t="array" ref="BG76">$F76</f>
        <v>0</v>
      </c>
      <c r="BH76" s="110" cm="1">
        <f t="array" ref="BH76">$G76</f>
        <v>2</v>
      </c>
      <c r="BI76" s="109" t="str" cm="1">
        <f t="array" ref="BI76">IF(_xlfn.XLOOKUP($H76,$AY1:$AY108,$AZ1:$AZ108,"-",0)=BF73,$H76,"-")</f>
        <v>Noruega</v>
      </c>
      <c r="BJ76" s="74"/>
      <c r="BK76" s="79" t="str" cm="1">
        <f t="array" ref="BK76">O76</f>
        <v>Senegal</v>
      </c>
      <c r="BL76" s="111" cm="1">
        <f t="array" ref="BL76">COUNTIFS($BE1:$BE108,"OK",$BI1:$BI108,BK76)+COUNTIFS($BE1:$BE108,"OK",$BF1:$BF108,BK76)</f>
        <v>1</v>
      </c>
      <c r="BM76" s="112" cm="1">
        <f t="array" ref="BM76">COUNTIFS(J1:J108,$BK76,$BE1:$BE108,"OK")</f>
        <v>0</v>
      </c>
      <c r="BN76" s="112" cm="1">
        <f t="array" ref="BN76">COUNTIFS(K1:K108,$BK76,$BE1:$BE108,"OK")+COUNTIFS(L1:L108,$BK76,$BE1:$BE108,"OK")</f>
        <v>1</v>
      </c>
      <c r="BO76" s="112" cm="1">
        <f t="array" ref="BO76">COUNTIFS(M1:M108,$BK76,$BE1:$BE108,"OK")</f>
        <v>0</v>
      </c>
      <c r="BP76" s="112" cm="1">
        <f t="array" ref="BP76">BQ76-BR76</f>
        <v>0</v>
      </c>
      <c r="BQ76" s="112" cm="1">
        <f t="array" ref="BQ76">SUMIFS(BG1:BG108,$BE1:$BE108,"OK",BF1:BF108,$BK76)+SUMIFS(BH1:BH108,$BE1:$BE108,"OK",BI1:BI108,$BK76)</f>
        <v>2</v>
      </c>
      <c r="BR76" s="112" cm="1">
        <f t="array" ref="BR76">SUMIFS(BH1:BH108,$BE1:$BE108,"OK",BF1:BF108,$BK76)+SUMIFS(BG1:BG108,$BE1:$BE108,"OK",BI1:BI108,$BK76)</f>
        <v>2</v>
      </c>
      <c r="BS76" s="113" cm="1">
        <f t="array" ref="BS76">BM76*3+BN76*1+BP76/100+BQ76/10000</f>
        <v>1.0002</v>
      </c>
      <c r="BT76" s="107" cm="1">
        <f t="array" ref="BT76">IF(BL76=0,0,_xlfn.XLOOKUP(BS76,BV75:BV78,BW75:BW78))</f>
        <v>0.3</v>
      </c>
      <c r="BU76" s="99"/>
      <c r="BV76" s="113" cm="1">
        <f t="array" ref="BV76">LARGE(BS75:BS78,2)</f>
        <v>1.0002</v>
      </c>
      <c r="BW76" s="112" cm="1">
        <f t="array" ref="BW76">BX76/$BW$1</f>
        <v>0.2</v>
      </c>
      <c r="BX76" s="114">
        <v>2</v>
      </c>
      <c r="BY76" s="108" t="str" cm="1">
        <f t="array" ref="BY76">IF(OR(BZ76="-",CC76="-"),"-","OK")</f>
        <v>-</v>
      </c>
      <c r="BZ76" s="109" t="str" cm="1">
        <f t="array" ref="BZ76">IF(_xlfn.XLOOKUP($E76,$AY1:$AY108,$AZ1:$AZ108,"-",0)=BZ73,$E76,"-")</f>
        <v>-</v>
      </c>
      <c r="CA76" s="110" cm="1">
        <f t="array" ref="CA76">$F76</f>
        <v>0</v>
      </c>
      <c r="CB76" s="110" cm="1">
        <f t="array" ref="CB76">$G76</f>
        <v>2</v>
      </c>
      <c r="CC76" s="109" t="str" cm="1">
        <f t="array" ref="CC76">IF(_xlfn.XLOOKUP($H76,$AY1:$AY108,$AZ1:$AZ108,"-",0)=BZ73,$H76,"-")</f>
        <v>-</v>
      </c>
      <c r="CD76" s="74"/>
      <c r="CE76" s="79" t="str" cm="1">
        <f t="array" ref="CE76">BK76</f>
        <v>Senegal</v>
      </c>
      <c r="CF76" s="111" cm="1">
        <f t="array" ref="CF76">COUNTIFS($BY1:$BY108,"OK",$CC1:$CC108,CE76)+COUNTIFS($BY1:$BY108,"OK",$BZ1:$BZ108,CE76)</f>
        <v>0</v>
      </c>
      <c r="CG76" s="112" cm="1">
        <f t="array" ref="CG76">COUNTIFS(P1:P108,$BK76,$BY1:$BY108,"OK")</f>
        <v>0</v>
      </c>
      <c r="CH76" s="112" cm="1">
        <f t="array" ref="CH76">COUNTIFS(K1:K108,$BK76,$BY1:$BY108,"OK")+COUNTIFS(L1:L108,$BK76,$BY1:$BY108,"OK")</f>
        <v>0</v>
      </c>
      <c r="CI76" s="112" cm="1">
        <f t="array" ref="CI76">COUNTIFS(M1:M108,$CE76,$BY1:$BY108,"OK")</f>
        <v>0</v>
      </c>
      <c r="CJ76" s="112" cm="1">
        <f t="array" ref="CJ76">CK76-CL76</f>
        <v>0</v>
      </c>
      <c r="CK76" s="112" cm="1">
        <f t="array" ref="CK76">SUMIFS(CA1:CA108,$BY1:$BY108,"OK",BZ1:BZ108,$BK76)+SUMIFS(CB1:CB108,$BY1:$BY108,"OK",CC1:CC108,$BK76)</f>
        <v>0</v>
      </c>
      <c r="CL76" s="112" cm="1">
        <f t="array" ref="CL76">SUMIFS(CB1:CB108,$BY1:$BY108,"OK",BZ1:BZ108,$BK76)+SUMIFS(CA1:CA108,$BY1:$BY108,"OK",CC1:CC108,$BK76)</f>
        <v>0</v>
      </c>
      <c r="CM76" s="113" cm="1">
        <f t="array" ref="CM76">CG76*3+CH76*1+CJ76/100+CK76/10000</f>
        <v>0</v>
      </c>
      <c r="CN76" s="107" cm="1">
        <f t="array" ref="CN76">IF(CF76=0,0,_xlfn.XLOOKUP(CM76,CP75:CP78,CQ75:CQ78))</f>
        <v>0</v>
      </c>
      <c r="CO76" s="99"/>
      <c r="CP76" s="113" cm="1">
        <f t="array" ref="CP76">LARGE(CM75:CM78,2)</f>
        <v>0</v>
      </c>
      <c r="CQ76" s="112" cm="1">
        <f t="array" ref="CQ76">CR76/$BW$1</f>
        <v>0.2</v>
      </c>
      <c r="CR76" s="114">
        <v>2</v>
      </c>
      <c r="CS76" s="74"/>
      <c r="CT76" s="74"/>
      <c r="CU76" s="74"/>
      <c r="CV76" s="74"/>
      <c r="CW76" s="74"/>
      <c r="CX76" s="172"/>
    </row>
    <row r="77" spans="1:102" ht="14.25" customHeight="1">
      <c r="A77" s="85" t="s">
        <v>206</v>
      </c>
      <c r="B77" s="86">
        <v>46195</v>
      </c>
      <c r="C77" s="87"/>
      <c r="D77" s="88"/>
      <c r="E77" s="85" t="s">
        <v>48</v>
      </c>
      <c r="F77" s="89">
        <v>3</v>
      </c>
      <c r="G77" s="89">
        <v>0</v>
      </c>
      <c r="H77" s="90" t="s">
        <v>90</v>
      </c>
      <c r="I77" s="65"/>
      <c r="J77" s="65" t="str" cm="1">
        <f t="array" ref="J77">IF(OR(ISBLANK(F77),ISBLANK(G77)),"",IF(F77&gt;G77,E77,IF(G77&gt;F77,H77,"")))</f>
        <v>Francia</v>
      </c>
      <c r="K77" s="65" t="str" cm="1">
        <f t="array" ref="K77">IF(OR(ISBLANK(F77),ISBLANK(G77)),"",IF(F77=G77,E77,""))</f>
        <v/>
      </c>
      <c r="L77" s="65" t="str" cm="1">
        <f t="array" ref="L77">IF(OR(ISBLANK(F77),ISBLANK(G77)),"",IF(F77=G77,H77,""))</f>
        <v/>
      </c>
      <c r="M77" s="65" t="str" cm="1">
        <f t="array" ref="M77">IF(OR(ISBLANK(F77),ISBLANK(G77)),"",IF(F77&lt;G77,E77,IF(G77&lt;F77,H77,"")))</f>
        <v>Irak</v>
      </c>
      <c r="N77" s="65"/>
      <c r="O77" s="67" t="str" cm="1">
        <f t="array" ref="O77">E76</f>
        <v>Irak</v>
      </c>
      <c r="P77" s="91" cm="1">
        <f t="array" ref="P77">COUNTIF(J75:J80,"="&amp;$O77)</f>
        <v>0</v>
      </c>
      <c r="Q77" s="91" cm="1">
        <f t="array" ref="Q77">COUNTIF(K75:L80,"="&amp;$O77)</f>
        <v>0</v>
      </c>
      <c r="R77" s="91" cm="1">
        <f t="array" ref="R77">COUNTIF(M75:M80,"="&amp;$O77)</f>
        <v>3</v>
      </c>
      <c r="S77" s="91" cm="1">
        <f t="array" ref="S77">T77-U77</f>
        <v>-7</v>
      </c>
      <c r="T77" s="91" cm="1">
        <f t="array" ref="T77">SUMIF(E75:E80,$O77,F75:F80)+SUMIF(H75:H80,$O77,G75:G80)</f>
        <v>0</v>
      </c>
      <c r="U77" s="91" cm="1">
        <f t="array" ref="U77">SUMIF(E75:E80,$O77,G75:G80)+SUMIF(H75:H80,$O77,F75:F80)</f>
        <v>7</v>
      </c>
      <c r="V77" s="92" cm="1">
        <f t="array" ref="V77">P77*3+Q77*1+BT77+CN77+S77/1000+T77/10000+AV77/1000000+ROW()/10000000</f>
        <v>-6.9922999999999999E-3</v>
      </c>
      <c r="W77" s="67" t="str" cm="1">
        <f t="array" ref="W77">O77</f>
        <v>Irak</v>
      </c>
      <c r="X77" s="65"/>
      <c r="Y77" s="125" t="str" cm="1">
        <f t="array" ref="Y77">CONCATENATE("3",RIGHT(E74,1))</f>
        <v>3I</v>
      </c>
      <c r="Z77" s="126" t="str" cm="1">
        <f t="array" ref="Z77">VLOOKUP(AL77,V75:W78,2,FALSE)</f>
        <v>Senegal</v>
      </c>
      <c r="AA77" s="127" cm="1">
        <f t="array" ref="AA77">SUM(AB77:AD77)</f>
        <v>3</v>
      </c>
      <c r="AB77" s="128" cm="1">
        <f t="array" ref="AB77">_xlfn.XLOOKUP($Z77,$O1:$O108,P1:P108,"Error",0)</f>
        <v>1</v>
      </c>
      <c r="AC77" s="128" cm="1">
        <f t="array" ref="AC77">_xlfn.XLOOKUP($Z77,$O1:$O108,Q1:Q108,"Error",0)</f>
        <v>1</v>
      </c>
      <c r="AD77" s="128" cm="1">
        <f t="array" ref="AD77">_xlfn.XLOOKUP($Z77,$O1:$O108,R1:R108,"Error",0)</f>
        <v>1</v>
      </c>
      <c r="AE77" s="128" cm="1">
        <f t="array" ref="AE77">_xlfn.XLOOKUP($Z77,$O1:$O108,S1:S108,"Error",0)</f>
        <v>1</v>
      </c>
      <c r="AF77" s="128" cm="1">
        <f t="array" ref="AF77">_xlfn.XLOOKUP($Z77,$O1:$O108,T1:T108,"Error",0)</f>
        <v>5</v>
      </c>
      <c r="AG77" s="128" cm="1">
        <f t="array" ref="AG77">_xlfn.XLOOKUP($Z77,$O1:$O108,U1:U108,"Error",0)</f>
        <v>4</v>
      </c>
      <c r="AH77" s="129" cm="1">
        <f t="array" ref="AH77">_xlfn.XLOOKUP($Z77,$O1:$O108,V1:V108,"Error",0)</f>
        <v>4.3015075999999999</v>
      </c>
      <c r="AI77" s="130" cm="1">
        <f t="array" ref="AI77">(COUNTIFS($CV$2:$CV$13,Z77,$CX$2:$CX$13,"IN")+COUNTIFS($CV$2:$CV$13,Z77,$CW$2:$CW$13,"IN"))*IF(SUM(AA75:AA78)=12,1,0)</f>
        <v>1</v>
      </c>
      <c r="AJ77" s="74"/>
      <c r="AK77" s="74"/>
      <c r="AL77" s="99" cm="1">
        <f t="array" ref="AL77">LARGE(V75:V78,3)</f>
        <v>4.3015075999999999</v>
      </c>
      <c r="AM77" s="100" cm="1">
        <f t="array" ref="AM77">(AH77-AL77)*100000000000000000000</f>
        <v>0</v>
      </c>
      <c r="AN77" s="74"/>
      <c r="AO77" s="74"/>
      <c r="AP77" s="101" t="str" cm="1">
        <f t="array" ref="AP77">O77</f>
        <v>Irak</v>
      </c>
      <c r="AQ77" s="102" cm="1">
        <f t="array" ref="AQ77">P77*3+Q77*1+BT77+CN77+S77/1000+T77/10000</f>
        <v>-7.0000000000000001E-3</v>
      </c>
      <c r="AR77" s="102" t="b" cm="1">
        <f t="array" ref="AR77">IF(OR(AQ77=AQ78),1)</f>
        <v>0</v>
      </c>
      <c r="AS77" s="103" cm="1">
        <f t="array" ref="AS77">AV77</f>
        <v>0</v>
      </c>
      <c r="AT77" s="103" cm="1">
        <f t="array" ref="AT77">IF(AND(AM79="si",OR(AR75=1,AR76=1,AR77=1)),1,0)</f>
        <v>1</v>
      </c>
      <c r="AU77" s="122" t="str" cm="1">
        <f t="array" ref="AU77">O77</f>
        <v>Irak</v>
      </c>
      <c r="AV77" s="101"/>
      <c r="AW77" s="106"/>
      <c r="AX77" s="74" t="str" cm="1">
        <f t="array" ref="AX77">Y74</f>
        <v>Grupo I</v>
      </c>
      <c r="AY77" s="76" t="str" cm="1">
        <f t="array" ref="AY77">O77</f>
        <v>Irak</v>
      </c>
      <c r="AZ77" s="107" cm="1">
        <f t="array" ref="AZ77">P77*3+Q77</f>
        <v>0</v>
      </c>
      <c r="BA77" s="107" cm="1">
        <f t="array" ref="BA77">COUNTIFS($AX$1:AX77,AX77,$AZ$1:AZ77,AZ77)</f>
        <v>1</v>
      </c>
      <c r="BB77" s="107" cm="1">
        <f t="array" ref="BB77">IF(AZ77=BF73,ROW()*0.001,AZ77)</f>
        <v>0</v>
      </c>
      <c r="BC77" s="107" cm="1">
        <f t="array" ref="BC77">COUNTIFS($AX$1:AZ77,AZ77,$AZ$1:BB77,BB77)</f>
        <v>7</v>
      </c>
      <c r="BD77" s="107"/>
      <c r="BE77" s="108" t="str" cm="1">
        <f t="array" ref="BE77">IF(OR(BF77="-",BI77="-",BF73=0),"-","OK")</f>
        <v>-</v>
      </c>
      <c r="BF77" s="109" t="str" cm="1">
        <f t="array" ref="BF77">IF(_xlfn.XLOOKUP($E77,$AY1:$AY108,$AZ1:$AZ108,"-",0)=BF73,$E77,"-")</f>
        <v>-</v>
      </c>
      <c r="BG77" s="110" cm="1">
        <f t="array" ref="BG77">$F77</f>
        <v>3</v>
      </c>
      <c r="BH77" s="110" cm="1">
        <f t="array" ref="BH77">$G77</f>
        <v>0</v>
      </c>
      <c r="BI77" s="109" t="str" cm="1">
        <f t="array" ref="BI77">IF(_xlfn.XLOOKUP($H77,$AY1:$AY108,$AZ1:$AZ108,"-",0)=BF73,$H77,"-")</f>
        <v>-</v>
      </c>
      <c r="BJ77" s="74"/>
      <c r="BK77" s="79" t="str" cm="1">
        <f t="array" ref="BK77">O77</f>
        <v>Irak</v>
      </c>
      <c r="BL77" s="111" cm="1">
        <f t="array" ref="BL77">COUNTIFS($BE1:$BE108,"OK",$BI1:$BI108,BK77)+COUNTIFS($BE1:$BE108,"OK",$BF1:$BF108,BK77)</f>
        <v>0</v>
      </c>
      <c r="BM77" s="112" cm="1">
        <f t="array" ref="BM77">COUNTIFS(J1:J108,$BK77,$BE1:$BE108,"OK")</f>
        <v>0</v>
      </c>
      <c r="BN77" s="112" cm="1">
        <f t="array" ref="BN77">COUNTIFS(K1:K108,$BK77,$BE1:$BE108,"OK")+COUNTIFS(L1:L108,$BK77,$BE1:$BE108,"OK")</f>
        <v>0</v>
      </c>
      <c r="BO77" s="112" cm="1">
        <f t="array" ref="BO77">COUNTIFS(M1:M108,$BK77,$BE1:$BE108,"OK")</f>
        <v>0</v>
      </c>
      <c r="BP77" s="112" cm="1">
        <f t="array" ref="BP77">BQ77-BR77</f>
        <v>0</v>
      </c>
      <c r="BQ77" s="112" cm="1">
        <f t="array" ref="BQ77">SUMIFS(BG1:BG108,$BE1:$BE108,"OK",BF1:BF108,$BK77)+SUMIFS(BH1:BH108,$BE1:$BE108,"OK",BI1:BI108,$BK77)</f>
        <v>0</v>
      </c>
      <c r="BR77" s="112" cm="1">
        <f t="array" ref="BR77">SUMIFS(BH1:BH108,$BE1:$BE108,"OK",BF1:BF108,$BK77)+SUMIFS(BG1:BG108,$BE1:$BE108,"OK",BI1:BI108,$BK77)</f>
        <v>0</v>
      </c>
      <c r="BS77" s="113" cm="1">
        <f t="array" ref="BS77">BM77*3+BN77*1+BP77/100+BQ77/10000</f>
        <v>0</v>
      </c>
      <c r="BT77" s="107" cm="1">
        <f t="array" ref="BT77">IF(BL77=0,0,_xlfn.XLOOKUP(BS77,BV75:BV78,BW75:BW78))</f>
        <v>0</v>
      </c>
      <c r="BU77" s="99"/>
      <c r="BV77" s="113" cm="1">
        <f t="array" ref="BV77">LARGE(BS75:BS78,3)</f>
        <v>0</v>
      </c>
      <c r="BW77" s="112" cm="1">
        <f t="array" ref="BW77">BX77/$BW$1</f>
        <v>0.1</v>
      </c>
      <c r="BX77" s="114">
        <v>1</v>
      </c>
      <c r="BY77" s="108" t="str" cm="1">
        <f t="array" ref="BY77">IF(OR(BZ77="-",CC77="-"),"-","OK")</f>
        <v>-</v>
      </c>
      <c r="BZ77" s="109" t="str" cm="1">
        <f t="array" ref="BZ77">IF(_xlfn.XLOOKUP($E77,$AY1:$AY108,$AZ1:$AZ108,"-",0)=BZ73,$E77,"-")</f>
        <v>Francia</v>
      </c>
      <c r="CA77" s="110" cm="1">
        <f t="array" ref="CA77">$F77</f>
        <v>3</v>
      </c>
      <c r="CB77" s="110" cm="1">
        <f t="array" ref="CB77">$G77</f>
        <v>0</v>
      </c>
      <c r="CC77" s="109" t="str" cm="1">
        <f t="array" ref="CC77">IF(_xlfn.XLOOKUP($H77,$AY1:$AY108,$AZ1:$AZ108,"-",0)=BZ73,$H77,"-")</f>
        <v>-</v>
      </c>
      <c r="CD77" s="74"/>
      <c r="CE77" s="79" t="str" cm="1">
        <f t="array" ref="CE77">BK77</f>
        <v>Irak</v>
      </c>
      <c r="CF77" s="111" cm="1">
        <f t="array" ref="CF77">COUNTIFS($BY1:$BY108,"OK",$CC1:$CC108,CE77)+COUNTIFS($BY1:$BY108,"OK",$BZ1:$BZ108,CE77)</f>
        <v>0</v>
      </c>
      <c r="CG77" s="112" cm="1">
        <f t="array" ref="CG77">COUNTIFS(P1:P108,$BK77,$BY1:$BY108,"OK")</f>
        <v>0</v>
      </c>
      <c r="CH77" s="112" cm="1">
        <f t="array" ref="CH77">COUNTIFS(K1:K108,$BK77,$BY1:$BY108,"OK")+COUNTIFS(L1:L108,$BK77,$BY1:$BY108,"OK")</f>
        <v>0</v>
      </c>
      <c r="CI77" s="112" cm="1">
        <f t="array" ref="CI77">COUNTIFS(M1:M108,$CE77,$BY1:$BY108,"OK")</f>
        <v>0</v>
      </c>
      <c r="CJ77" s="112" cm="1">
        <f t="array" ref="CJ77">CK77-CL77</f>
        <v>0</v>
      </c>
      <c r="CK77" s="112" cm="1">
        <f t="array" ref="CK77">SUMIFS(CA1:CA108,$BY1:$BY108,"OK",BZ1:BZ108,$BK77)+SUMIFS(CB1:CB108,$BY1:$BY108,"OK",CC1:CC108,$BK77)</f>
        <v>0</v>
      </c>
      <c r="CL77" s="112" cm="1">
        <f t="array" ref="CL77">SUMIFS(CB1:CB108,$BY1:$BY108,"OK",BZ1:BZ108,$BK77)+SUMIFS(CA1:CA108,$BY1:$BY108,"OK",CC1:CC108,$BK77)</f>
        <v>0</v>
      </c>
      <c r="CM77" s="113" cm="1">
        <f t="array" ref="CM77">CG77*3+CH77*1+CJ77/100+CK77/10000</f>
        <v>0</v>
      </c>
      <c r="CN77" s="107" cm="1">
        <f t="array" ref="CN77">IF(CF77=0,0,_xlfn.XLOOKUP(CM77,CP75:CP78,CQ75:CQ78))</f>
        <v>0</v>
      </c>
      <c r="CO77" s="99"/>
      <c r="CP77" s="113" cm="1">
        <f t="array" ref="CP77">LARGE(CM75:CM78,3)</f>
        <v>0</v>
      </c>
      <c r="CQ77" s="112" cm="1">
        <f t="array" ref="CQ77">CR77/$BW$1</f>
        <v>0.1</v>
      </c>
      <c r="CR77" s="114">
        <v>1</v>
      </c>
      <c r="CS77" s="74"/>
      <c r="CT77" s="74"/>
      <c r="CU77" s="74"/>
      <c r="CV77" s="74"/>
      <c r="CW77" s="74"/>
      <c r="CX77" s="172"/>
    </row>
    <row r="78" spans="1:102" ht="14.25" customHeight="1">
      <c r="A78" s="85" t="s">
        <v>208</v>
      </c>
      <c r="B78" s="86">
        <v>46195</v>
      </c>
      <c r="C78" s="87"/>
      <c r="D78" s="88"/>
      <c r="E78" s="85" t="s">
        <v>69</v>
      </c>
      <c r="F78" s="89">
        <v>2</v>
      </c>
      <c r="G78" s="89">
        <v>2</v>
      </c>
      <c r="H78" s="90" t="s">
        <v>61</v>
      </c>
      <c r="I78" s="65"/>
      <c r="J78" s="65" t="str" cm="1">
        <f t="array" ref="J78">IF(OR(ISBLANK(F78),ISBLANK(G78)),"",IF(F78&gt;G78,E78,IF(G78&gt;F78,H78,"")))</f>
        <v/>
      </c>
      <c r="K78" s="65" t="str" cm="1">
        <f t="array" ref="K78">IF(OR(ISBLANK(F78),ISBLANK(G78)),"",IF(F78=G78,E78,""))</f>
        <v>Noruega</v>
      </c>
      <c r="L78" s="65" t="str" cm="1">
        <f t="array" ref="L78">IF(OR(ISBLANK(F78),ISBLANK(G78)),"",IF(F78=G78,H78,""))</f>
        <v>Senegal</v>
      </c>
      <c r="M78" s="65" t="str" cm="1">
        <f t="array" ref="M78">IF(OR(ISBLANK(F78),ISBLANK(G78)),"",IF(F78&lt;G78,E78,IF(G78&lt;F78,H78,"")))</f>
        <v/>
      </c>
      <c r="N78" s="65"/>
      <c r="O78" s="67" t="str" cm="1">
        <f t="array" ref="O78">H76</f>
        <v>Noruega</v>
      </c>
      <c r="P78" s="91" cm="1">
        <f t="array" ref="P78">COUNTIF(J75:J80,"="&amp;$O78)</f>
        <v>1</v>
      </c>
      <c r="Q78" s="91" cm="1">
        <f t="array" ref="Q78">COUNTIF(K75:L80,"="&amp;$O78)</f>
        <v>1</v>
      </c>
      <c r="R78" s="91" cm="1">
        <f t="array" ref="R78">COUNTIF(M75:M80,"="&amp;$O78)</f>
        <v>1</v>
      </c>
      <c r="S78" s="91" cm="1">
        <f t="array" ref="S78">T78-U78</f>
        <v>1</v>
      </c>
      <c r="T78" s="91" cm="1">
        <f t="array" ref="T78">SUMIF(E75:E80,$O78,F75:F80)+SUMIF(H75:H80,$O78,G75:G80)</f>
        <v>5</v>
      </c>
      <c r="U78" s="91" cm="1">
        <f t="array" ref="U78">SUMIF(E75:E80,$O78,G75:G80)+SUMIF(H75:H80,$O78,F75:F80)</f>
        <v>4</v>
      </c>
      <c r="V78" s="92" cm="1">
        <f t="array" ref="V78">P78*3+Q78*1+BT78+CN78+S78/1000+T78/10000+AV78/1000000+ROW()/10000000</f>
        <v>4.3015077999999995</v>
      </c>
      <c r="W78" s="67" t="str" cm="1">
        <f t="array" ref="W78">O78</f>
        <v>Noruega</v>
      </c>
      <c r="X78" s="65"/>
      <c r="Y78" s="131" t="str" cm="1">
        <f t="array" ref="Y78">CONCATENATE("4",RIGHT(E74,1))</f>
        <v>4I</v>
      </c>
      <c r="Z78" s="132" t="str" cm="1">
        <f t="array" ref="Z78">VLOOKUP(AL78,V75:W78,2,FALSE)</f>
        <v>Irak</v>
      </c>
      <c r="AA78" s="133" cm="1">
        <f t="array" ref="AA78">SUM(AB78:AD78)</f>
        <v>3</v>
      </c>
      <c r="AB78" s="134" cm="1">
        <f t="array" ref="AB78">_xlfn.XLOOKUP($Z78,$O1:$O108,P1:P108,"Error",0)</f>
        <v>0</v>
      </c>
      <c r="AC78" s="134" cm="1">
        <f t="array" ref="AC78">_xlfn.XLOOKUP($Z78,$O1:$O108,Q1:Q108,"Error",0)</f>
        <v>0</v>
      </c>
      <c r="AD78" s="134" cm="1">
        <f t="array" ref="AD78">_xlfn.XLOOKUP($Z78,$O1:$O108,R1:R108,"Error",0)</f>
        <v>3</v>
      </c>
      <c r="AE78" s="134" cm="1">
        <f t="array" ref="AE78">_xlfn.XLOOKUP($Z78,$O1:$O108,S1:S108,"Error",0)</f>
        <v>-7</v>
      </c>
      <c r="AF78" s="134" cm="1">
        <f t="array" ref="AF78">_xlfn.XLOOKUP($Z78,$O1:$O108,T1:T108,"Error",0)</f>
        <v>0</v>
      </c>
      <c r="AG78" s="134" cm="1">
        <f t="array" ref="AG78">_xlfn.XLOOKUP($Z78,$O1:$O108,U1:U108,"Error",0)</f>
        <v>7</v>
      </c>
      <c r="AH78" s="135" cm="1">
        <f t="array" ref="AH78">_xlfn.XLOOKUP($Z78,$O1:$O108,V1:V108,"Error",0)</f>
        <v>-6.9922999999999999E-3</v>
      </c>
      <c r="AI78" s="130"/>
      <c r="AJ78" s="74"/>
      <c r="AK78" s="74"/>
      <c r="AL78" s="99" cm="1">
        <f t="array" ref="AL78">LARGE(V75:V78,4)</f>
        <v>-6.9922999999999999E-3</v>
      </c>
      <c r="AM78" s="100" cm="1">
        <f t="array" ref="AM78">(AH78-AL78)*100000000000000000000</f>
        <v>0</v>
      </c>
      <c r="AN78" s="74"/>
      <c r="AO78" s="74"/>
      <c r="AP78" s="101" t="str" cm="1">
        <f t="array" ref="AP78">O78</f>
        <v>Noruega</v>
      </c>
      <c r="AQ78" s="102" cm="1">
        <f t="array" ref="AQ78">P78*3+Q78*1+BT78+CN78+S78/1000+T78/10000</f>
        <v>4.3014999999999999</v>
      </c>
      <c r="AR78" s="65"/>
      <c r="AS78" s="103" cm="1">
        <f t="array" ref="AS78">AV78</f>
        <v>0</v>
      </c>
      <c r="AT78" s="103" cm="1">
        <f t="array" ref="AT78">IF(AND(AM79="si",OR(AR75=1,AR76=1,AR77=1)),1,0)</f>
        <v>1</v>
      </c>
      <c r="AU78" s="136" t="str" cm="1">
        <f t="array" ref="AU78">O78</f>
        <v>Noruega</v>
      </c>
      <c r="AV78" s="137"/>
      <c r="AW78" s="106"/>
      <c r="AX78" s="74" t="str" cm="1">
        <f t="array" ref="AX78">Y74</f>
        <v>Grupo I</v>
      </c>
      <c r="AY78" s="76" t="str" cm="1">
        <f t="array" ref="AY78">O78</f>
        <v>Noruega</v>
      </c>
      <c r="AZ78" s="107" cm="1">
        <f t="array" ref="AZ78">P78*3+Q78</f>
        <v>4</v>
      </c>
      <c r="BA78" s="107" cm="1">
        <f t="array" ref="BA78">COUNTIFS($AX$1:AX78,AX78,$AZ$1:AZ78,AZ78)</f>
        <v>2</v>
      </c>
      <c r="BB78" s="107" cm="1">
        <f t="array" ref="BB78">IF(AZ78=BF73,ROW()*0.001,AZ78)</f>
        <v>7.8E-2</v>
      </c>
      <c r="BC78" s="107" cm="1">
        <f t="array" ref="BC78">COUNTIFS($AX$1:AZ78,AZ78,$AZ$1:BB78,BB78)</f>
        <v>1</v>
      </c>
      <c r="BD78" s="107"/>
      <c r="BE78" s="108" t="str" cm="1">
        <f t="array" ref="BE78">IF(OR(BF78="-",BI78="-",BF73=0),"-","OK")</f>
        <v>OK</v>
      </c>
      <c r="BF78" s="109" t="str" cm="1">
        <f t="array" ref="BF78">IF(_xlfn.XLOOKUP($E78,$AY1:$AY108,$AZ1:$AZ108,"-",0)=BF73,$E78,"-")</f>
        <v>Noruega</v>
      </c>
      <c r="BG78" s="110" cm="1">
        <f t="array" ref="BG78">$F78</f>
        <v>2</v>
      </c>
      <c r="BH78" s="110" cm="1">
        <f t="array" ref="BH78">$G78</f>
        <v>2</v>
      </c>
      <c r="BI78" s="109" t="str" cm="1">
        <f t="array" ref="BI78">IF(_xlfn.XLOOKUP($H78,$AY1:$AY108,$AZ1:$AZ108,"-",0)=BF73,$H78,"-")</f>
        <v>Senegal</v>
      </c>
      <c r="BJ78" s="74"/>
      <c r="BK78" s="79" t="str" cm="1">
        <f t="array" ref="BK78">O78</f>
        <v>Noruega</v>
      </c>
      <c r="BL78" s="111" cm="1">
        <f t="array" ref="BL78">COUNTIFS($BE1:$BE108,"OK",$BI1:$BI108,BK78)+COUNTIFS($BE1:$BE108,"OK",$BF1:$BF108,BK78)</f>
        <v>1</v>
      </c>
      <c r="BM78" s="112" cm="1">
        <f t="array" ref="BM78">COUNTIFS(J1:J108,$BK78,$BE1:$BE108,"OK")</f>
        <v>0</v>
      </c>
      <c r="BN78" s="112" cm="1">
        <f t="array" ref="BN78">COUNTIFS(K1:K108,$BK78,$BE1:$BE108,"OK")+COUNTIFS(L1:L108,$BK78,$BE1:$BE108,"OK")</f>
        <v>1</v>
      </c>
      <c r="BO78" s="112" cm="1">
        <f t="array" ref="BO78">COUNTIFS(M1:M108,$BK78,$BE1:$BE108,"OK")</f>
        <v>0</v>
      </c>
      <c r="BP78" s="112" cm="1">
        <f t="array" ref="BP78">BQ78-BR78</f>
        <v>0</v>
      </c>
      <c r="BQ78" s="112" cm="1">
        <f t="array" ref="BQ78">SUMIFS(BG1:BG108,$BE1:$BE108,"OK",BF1:BF108,$BK78)+SUMIFS(BH1:BH108,$BE1:$BE108,"OK",BI1:BI108,$BK78)</f>
        <v>2</v>
      </c>
      <c r="BR78" s="112" cm="1">
        <f t="array" ref="BR78">SUMIFS(BH1:BH108,$BE1:$BE108,"OK",BF1:BF108,$BK78)+SUMIFS(BG1:BG108,$BE1:$BE108,"OK",BI1:BI108,$BK78)</f>
        <v>2</v>
      </c>
      <c r="BS78" s="113" cm="1">
        <f t="array" ref="BS78">BM78*3+BN78*1+BP78/100+BQ78/10000</f>
        <v>1.0002</v>
      </c>
      <c r="BT78" s="107" cm="1">
        <f t="array" ref="BT78">IF(BL78=0,0,_xlfn.XLOOKUP(BS78,BV75:BV78,BW75:BW78))</f>
        <v>0.3</v>
      </c>
      <c r="BU78" s="99"/>
      <c r="BV78" s="113" cm="1">
        <f t="array" ref="BV78">LARGE(BS75:BS78,4)</f>
        <v>0</v>
      </c>
      <c r="BW78" s="112" cm="1">
        <f t="array" ref="BW78">BX78/$BW$1</f>
        <v>0</v>
      </c>
      <c r="BX78" s="114">
        <v>0</v>
      </c>
      <c r="BY78" s="108" t="str" cm="1">
        <f t="array" ref="BY78">IF(OR(BZ78="-",CC78="-"),"-","OK")</f>
        <v>-</v>
      </c>
      <c r="BZ78" s="109" t="str" cm="1">
        <f t="array" ref="BZ78">IF(_xlfn.XLOOKUP($E78,$AY1:$AY108,$AZ1:$AZ108,"-",0)=BZ73,$E78,"-")</f>
        <v>-</v>
      </c>
      <c r="CA78" s="110" cm="1">
        <f t="array" ref="CA78">$F78</f>
        <v>2</v>
      </c>
      <c r="CB78" s="110" cm="1">
        <f t="array" ref="CB78">$G78</f>
        <v>2</v>
      </c>
      <c r="CC78" s="109" t="str" cm="1">
        <f t="array" ref="CC78">IF(_xlfn.XLOOKUP($H78,$AY1:$AY108,$AZ1:$AZ108,"-",0)=BZ73,$H78,"-")</f>
        <v>-</v>
      </c>
      <c r="CD78" s="74"/>
      <c r="CE78" s="79" t="str" cm="1">
        <f t="array" ref="CE78">BK78</f>
        <v>Noruega</v>
      </c>
      <c r="CF78" s="111" cm="1">
        <f t="array" ref="CF78">COUNTIFS($BY1:$BY108,"OK",$CC1:$CC108,CE78)+COUNTIFS($BY1:$BY108,"OK",$BZ1:$BZ108,CE78)</f>
        <v>0</v>
      </c>
      <c r="CG78" s="112" cm="1">
        <f t="array" ref="CG78">COUNTIFS(P1:P108,$BK78,$BY1:$BY108,"OK")</f>
        <v>0</v>
      </c>
      <c r="CH78" s="112" cm="1">
        <f t="array" ref="CH78">COUNTIFS(K1:K108,$BK78,$BY1:$BY108,"OK")+COUNTIFS(L1:L108,$BK78,$BY1:$BY108,"OK")</f>
        <v>0</v>
      </c>
      <c r="CI78" s="112" cm="1">
        <f t="array" ref="CI78">COUNTIFS(M1:M108,$CE78,$BY1:$BY108,"OK")</f>
        <v>0</v>
      </c>
      <c r="CJ78" s="112" cm="1">
        <f t="array" ref="CJ78">CK78-CL78</f>
        <v>0</v>
      </c>
      <c r="CK78" s="112" cm="1">
        <f t="array" ref="CK78">SUMIFS(CA1:CA108,$BY1:$BY108,"OK",BZ1:BZ108,$BK78)+SUMIFS(CB1:CB108,$BY1:$BY108,"OK",CC1:CC108,$BK78)</f>
        <v>0</v>
      </c>
      <c r="CL78" s="112" cm="1">
        <f t="array" ref="CL78">SUMIFS(CB1:CB108,$BY1:$BY108,"OK",BZ1:BZ108,$BK78)+SUMIFS(CA1:CA108,$BY1:$BY108,"OK",CC1:CC108,$BK78)</f>
        <v>0</v>
      </c>
      <c r="CM78" s="113" cm="1">
        <f t="array" ref="CM78">CG78*3+CH78*1+CJ78/100+CK78/10000</f>
        <v>0</v>
      </c>
      <c r="CN78" s="107" cm="1">
        <f t="array" ref="CN78">IF(CF78=0,0,_xlfn.XLOOKUP(CM78,CP75:CP78,CQ75:CQ78))</f>
        <v>0</v>
      </c>
      <c r="CO78" s="99"/>
      <c r="CP78" s="113" cm="1">
        <f t="array" ref="CP78">LARGE(CM75:CM78,4)</f>
        <v>0</v>
      </c>
      <c r="CQ78" s="112" cm="1">
        <f t="array" ref="CQ78">CR78/$BW$1</f>
        <v>0</v>
      </c>
      <c r="CR78" s="114">
        <v>0</v>
      </c>
      <c r="CS78" s="74"/>
      <c r="CT78" s="74"/>
      <c r="CU78" s="74"/>
      <c r="CV78" s="74"/>
      <c r="CW78" s="74"/>
      <c r="CX78" s="172"/>
    </row>
    <row r="79" spans="1:102" ht="14.25" customHeight="1">
      <c r="A79" s="85" t="s">
        <v>209</v>
      </c>
      <c r="B79" s="86">
        <v>46199</v>
      </c>
      <c r="C79" s="87"/>
      <c r="D79" s="88"/>
      <c r="E79" s="85" t="s">
        <v>69</v>
      </c>
      <c r="F79" s="89">
        <v>1</v>
      </c>
      <c r="G79" s="89">
        <v>2</v>
      </c>
      <c r="H79" s="90" t="s">
        <v>48</v>
      </c>
      <c r="I79" s="106"/>
      <c r="J79" s="74" t="str" cm="1">
        <f t="array" ref="J79">IF(OR(ISBLANK(F79),ISBLANK(G79)),"",IF(F79&gt;G79,E79,IF(G79&gt;F79,H79,"")))</f>
        <v>Francia</v>
      </c>
      <c r="K79" s="74" t="str" cm="1">
        <f t="array" ref="K79">IF(OR(ISBLANK(F79),ISBLANK(G79)),"",IF(F79=G79,E79,""))</f>
        <v/>
      </c>
      <c r="L79" s="74" t="str" cm="1">
        <f t="array" ref="L79">IF(OR(ISBLANK(F79),ISBLANK(G79)),"",IF(F79=G79,H79,""))</f>
        <v/>
      </c>
      <c r="M79" s="74" t="str" cm="1">
        <f t="array" ref="M79">IF(OR(ISBLANK(F79),ISBLANK(G79)),"",IF(F79&lt;G79,E79,IF(G79&lt;F79,H79,"")))</f>
        <v>Noruega</v>
      </c>
      <c r="N79" s="74"/>
      <c r="O79" s="74"/>
      <c r="P79" s="74"/>
      <c r="Q79" s="74"/>
      <c r="R79" s="74"/>
      <c r="S79" s="74"/>
      <c r="T79" s="74"/>
      <c r="U79" s="74"/>
      <c r="V79" s="74"/>
      <c r="W79" s="74"/>
      <c r="X79" s="74"/>
      <c r="Y79" s="138"/>
      <c r="Z79" s="138"/>
      <c r="AA79" s="138"/>
      <c r="AB79" s="138"/>
      <c r="AC79" s="138"/>
      <c r="AD79" s="138"/>
      <c r="AE79" s="138"/>
      <c r="AF79" s="138"/>
      <c r="AG79" s="138"/>
      <c r="AH79" s="138"/>
      <c r="AI79" s="74"/>
      <c r="AJ79" s="74"/>
      <c r="AK79" s="74"/>
      <c r="AL79" s="139" t="s">
        <v>128</v>
      </c>
      <c r="AM79" s="74" t="str" cm="1">
        <f t="array" ref="AM79">IF(SUM(AA75:AA78)=12,"si","no")</f>
        <v>si</v>
      </c>
      <c r="AN79" s="74"/>
      <c r="AO79" s="74"/>
      <c r="AP79" s="74"/>
      <c r="AQ79" s="74"/>
      <c r="AR79" s="74"/>
      <c r="AS79" s="74"/>
      <c r="AT79" s="74"/>
      <c r="AU79" s="138"/>
      <c r="AV79" s="138"/>
      <c r="AW79" s="74"/>
      <c r="AX79" s="74"/>
      <c r="AY79" s="74"/>
      <c r="AZ79" s="74"/>
      <c r="BA79" s="74"/>
      <c r="BB79" s="74"/>
      <c r="BC79" s="74"/>
      <c r="BD79" s="74"/>
      <c r="BE79" s="108" t="str" cm="1">
        <f t="array" ref="BE79">IF(OR(BF79="-",BI79="-",BF73=0),"-","OK")</f>
        <v>-</v>
      </c>
      <c r="BF79" s="109" t="str" cm="1">
        <f t="array" ref="BF79">IF(_xlfn.XLOOKUP($E79,$AY1:$AY108,$AZ1:$AZ108,"-",0)=BF73,$E79,"-")</f>
        <v>Noruega</v>
      </c>
      <c r="BG79" s="110" cm="1">
        <f t="array" ref="BG79">$F79</f>
        <v>1</v>
      </c>
      <c r="BH79" s="110" cm="1">
        <f t="array" ref="BH79">$G79</f>
        <v>2</v>
      </c>
      <c r="BI79" s="109" t="str" cm="1">
        <f t="array" ref="BI79">IF(_xlfn.XLOOKUP($H79,$AY1:$AY108,$AZ1:$AZ108,"-",0)=BF73,$H79,"-")</f>
        <v>-</v>
      </c>
      <c r="BJ79" s="74"/>
      <c r="BK79" s="74"/>
      <c r="BL79" s="74"/>
      <c r="BM79" s="74"/>
      <c r="BN79" s="74"/>
      <c r="BO79" s="74"/>
      <c r="BP79" s="74"/>
      <c r="BQ79" s="74"/>
      <c r="BR79" s="74"/>
      <c r="BS79" s="74"/>
      <c r="BT79" s="74"/>
      <c r="BU79" s="74"/>
      <c r="BV79" s="74"/>
      <c r="BW79" s="74"/>
      <c r="BX79" s="74"/>
      <c r="BY79" s="108" t="str" cm="1">
        <f t="array" ref="BY79">IF(OR(BZ79="-",CC79="-"),"-","OK")</f>
        <v>-</v>
      </c>
      <c r="BZ79" s="109" t="str" cm="1">
        <f t="array" ref="BZ79">IF(_xlfn.XLOOKUP($E79,$AY1:$AY108,$AZ1:$AZ108,"-",0)=BZ73,$E79,"-")</f>
        <v>-</v>
      </c>
      <c r="CA79" s="110" cm="1">
        <f t="array" ref="CA79">$F79</f>
        <v>1</v>
      </c>
      <c r="CB79" s="110" cm="1">
        <f t="array" ref="CB79">$G79</f>
        <v>2</v>
      </c>
      <c r="CC79" s="109" t="str" cm="1">
        <f t="array" ref="CC79">IF(_xlfn.XLOOKUP($H79,$AY1:$AY108,$AZ1:$AZ108,"-",0)=BZ73,$H79,"-")</f>
        <v>Francia</v>
      </c>
      <c r="CD79" s="74"/>
      <c r="CE79" s="74"/>
      <c r="CF79" s="74"/>
      <c r="CG79" s="74"/>
      <c r="CH79" s="74"/>
      <c r="CI79" s="74"/>
      <c r="CJ79" s="74"/>
      <c r="CK79" s="74"/>
      <c r="CL79" s="74"/>
      <c r="CM79" s="74"/>
      <c r="CN79" s="74"/>
      <c r="CO79" s="74"/>
      <c r="CP79" s="74"/>
      <c r="CQ79" s="74"/>
      <c r="CR79" s="74"/>
      <c r="CS79" s="74"/>
      <c r="CT79" s="74"/>
      <c r="CU79" s="74"/>
      <c r="CV79" s="74"/>
      <c r="CW79" s="74"/>
      <c r="CX79" s="172"/>
    </row>
    <row r="80" spans="1:102" ht="14.25" customHeight="1">
      <c r="A80" s="85" t="s">
        <v>210</v>
      </c>
      <c r="B80" s="86">
        <v>46199</v>
      </c>
      <c r="C80" s="87"/>
      <c r="D80" s="88"/>
      <c r="E80" s="85" t="s">
        <v>61</v>
      </c>
      <c r="F80" s="89">
        <v>2</v>
      </c>
      <c r="G80" s="89">
        <v>0</v>
      </c>
      <c r="H80" s="90" t="s">
        <v>90</v>
      </c>
      <c r="I80" s="106"/>
      <c r="J80" s="74" t="str" cm="1">
        <f t="array" ref="J80">IF(OR(ISBLANK(F80),ISBLANK(G80)),"",IF(F80&gt;G80,E80,IF(G80&gt;F80,H80,"")))</f>
        <v>Senegal</v>
      </c>
      <c r="K80" s="74" t="str" cm="1">
        <f t="array" ref="K80">IF(OR(ISBLANK(F80),ISBLANK(G80)),"",IF(F80=G80,E80,""))</f>
        <v/>
      </c>
      <c r="L80" s="74" t="str" cm="1">
        <f t="array" ref="L80">IF(OR(ISBLANK(F80),ISBLANK(G80)),"",IF(F80=G80,H80,""))</f>
        <v/>
      </c>
      <c r="M80" s="74" t="str" cm="1">
        <f t="array" ref="M80">IF(OR(ISBLANK(F80),ISBLANK(G80)),"",IF(F80&lt;G80,E80,IF(G80&lt;F80,H80,"")))</f>
        <v>Irak</v>
      </c>
      <c r="N80" s="74"/>
      <c r="O80" s="74"/>
      <c r="P80" s="74"/>
      <c r="Q80" s="74"/>
      <c r="R80" s="74"/>
      <c r="S80" s="74"/>
      <c r="T80" s="74"/>
      <c r="U80" s="74"/>
      <c r="V80" s="74"/>
      <c r="W80" s="74"/>
      <c r="X80" s="74"/>
      <c r="Y80" s="140" t="s">
        <v>130</v>
      </c>
      <c r="Z80" s="74"/>
      <c r="AA80" s="74"/>
      <c r="AB80" s="74"/>
      <c r="AC80" s="74"/>
      <c r="AD80" s="74"/>
      <c r="AE80" s="74"/>
      <c r="AF80" s="74"/>
      <c r="AG80" s="74"/>
      <c r="AH80" s="74"/>
      <c r="AI80" s="74"/>
      <c r="AJ80" s="74"/>
      <c r="AK80" s="74"/>
      <c r="AL80" s="74"/>
      <c r="AM80" s="74"/>
      <c r="AN80" s="74"/>
      <c r="AO80" s="74"/>
      <c r="AP80" s="74"/>
      <c r="AQ80" s="74"/>
      <c r="AR80" s="114" cm="1">
        <f t="array" ref="AR80">IF(AND(AM79="si",OR(AR75=1,AR76=1,AR77=1)),1,0)</f>
        <v>1</v>
      </c>
      <c r="AS80" s="74"/>
      <c r="AT80" s="74"/>
      <c r="AU80" s="74"/>
      <c r="AV80" s="74"/>
      <c r="AW80" s="74"/>
      <c r="AX80" s="74"/>
      <c r="AY80" s="74"/>
      <c r="AZ80" s="74"/>
      <c r="BA80" s="74"/>
      <c r="BB80" s="74"/>
      <c r="BC80" s="74"/>
      <c r="BD80" s="74"/>
      <c r="BE80" s="108" t="str" cm="1">
        <f t="array" ref="BE80">IF(OR(BF80="-",BI80="-",BF73=0),"-","OK")</f>
        <v>-</v>
      </c>
      <c r="BF80" s="109" t="str" cm="1">
        <f t="array" ref="BF80">IF(_xlfn.XLOOKUP($E80,$AY1:$AY108,$AZ1:$AZ108,"-",0)=BF73,$E80,"-")</f>
        <v>Senegal</v>
      </c>
      <c r="BG80" s="110" cm="1">
        <f t="array" ref="BG80">$F80</f>
        <v>2</v>
      </c>
      <c r="BH80" s="110" cm="1">
        <f t="array" ref="BH80">$G80</f>
        <v>0</v>
      </c>
      <c r="BI80" s="109" t="str" cm="1">
        <f t="array" ref="BI80">IF(_xlfn.XLOOKUP($H80,$AY1:$AY108,$AZ1:$AZ108,"-",0)=BF73,$H80,"-")</f>
        <v>-</v>
      </c>
      <c r="BJ80" s="74"/>
      <c r="BK80" s="74"/>
      <c r="BL80" s="74"/>
      <c r="BM80" s="74"/>
      <c r="BN80" s="74"/>
      <c r="BO80" s="74"/>
      <c r="BP80" s="74"/>
      <c r="BQ80" s="74"/>
      <c r="BR80" s="74"/>
      <c r="BS80" s="74"/>
      <c r="BT80" s="74"/>
      <c r="BU80" s="74"/>
      <c r="BV80" s="74"/>
      <c r="BW80" s="74"/>
      <c r="BX80" s="74"/>
      <c r="BY80" s="108" t="str" cm="1">
        <f t="array" ref="BY80">IF(OR(BZ80="-",CC80="-"),"-","OK")</f>
        <v>-</v>
      </c>
      <c r="BZ80" s="109" t="str" cm="1">
        <f t="array" ref="BZ80">IF(_xlfn.XLOOKUP($E80,$AY1:$AY108,$AZ1:$AZ108,"-",0)=BZ73,$E80,"-")</f>
        <v>-</v>
      </c>
      <c r="CA80" s="110" cm="1">
        <f t="array" ref="CA80">$F80</f>
        <v>2</v>
      </c>
      <c r="CB80" s="110" cm="1">
        <f t="array" ref="CB80">$G80</f>
        <v>0</v>
      </c>
      <c r="CC80" s="109" t="str" cm="1">
        <f t="array" ref="CC80">IF(_xlfn.XLOOKUP($H80,$AY1:$AY108,$AZ1:$AZ108,"-",0)=BZ73,$H80,"-")</f>
        <v>-</v>
      </c>
      <c r="CD80" s="74"/>
      <c r="CE80" s="74"/>
      <c r="CF80" s="74"/>
      <c r="CG80" s="74"/>
      <c r="CH80" s="74"/>
      <c r="CI80" s="74"/>
      <c r="CJ80" s="74"/>
      <c r="CK80" s="74"/>
      <c r="CL80" s="74"/>
      <c r="CM80" s="74"/>
      <c r="CN80" s="74"/>
      <c r="CO80" s="74"/>
      <c r="CP80" s="74"/>
      <c r="CQ80" s="74"/>
      <c r="CR80" s="74"/>
      <c r="CS80" s="74"/>
      <c r="CT80" s="74"/>
      <c r="CU80" s="74"/>
      <c r="CV80" s="74"/>
      <c r="CW80" s="74"/>
      <c r="CX80" s="172"/>
    </row>
    <row r="81" spans="1:102" ht="14.25" customHeight="1">
      <c r="A81" s="141"/>
      <c r="B81" s="142"/>
      <c r="C81" s="143"/>
      <c r="D81" s="144"/>
      <c r="E81" s="145"/>
      <c r="F81" s="143"/>
      <c r="G81" s="143"/>
      <c r="H81" s="146"/>
      <c r="I81" s="78"/>
      <c r="J81" s="77"/>
      <c r="K81" s="77"/>
      <c r="L81" s="77"/>
      <c r="M81" s="77"/>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78"/>
      <c r="AZ81" s="78"/>
      <c r="BA81" s="78"/>
      <c r="BB81" s="78"/>
      <c r="BC81" s="78"/>
      <c r="BD81" s="78"/>
      <c r="BE81" s="77"/>
      <c r="BF81" s="144"/>
      <c r="BG81" s="144"/>
      <c r="BH81" s="144"/>
      <c r="BI81" s="144"/>
      <c r="BJ81" s="78"/>
      <c r="BK81" s="78"/>
      <c r="BL81" s="78"/>
      <c r="BM81" s="78"/>
      <c r="BN81" s="78"/>
      <c r="BO81" s="78"/>
      <c r="BP81" s="78"/>
      <c r="BQ81" s="78"/>
      <c r="BR81" s="78"/>
      <c r="BS81" s="78"/>
      <c r="BT81" s="78"/>
      <c r="BU81" s="78"/>
      <c r="BV81" s="78"/>
      <c r="BW81" s="78"/>
      <c r="BX81" s="78"/>
      <c r="BY81" s="78"/>
      <c r="BZ81" s="144"/>
      <c r="CA81" s="144"/>
      <c r="CB81" s="144"/>
      <c r="CC81" s="144"/>
      <c r="CD81" s="78"/>
      <c r="CE81" s="78"/>
      <c r="CF81" s="78"/>
      <c r="CG81" s="78"/>
      <c r="CH81" s="78"/>
      <c r="CI81" s="78"/>
      <c r="CJ81" s="78"/>
      <c r="CK81" s="78"/>
      <c r="CL81" s="78"/>
      <c r="CM81" s="78"/>
      <c r="CN81" s="78"/>
      <c r="CO81" s="78"/>
      <c r="CP81" s="78"/>
      <c r="CQ81" s="78"/>
      <c r="CR81" s="78"/>
      <c r="CS81" s="78"/>
      <c r="CT81" s="78"/>
      <c r="CU81" s="78"/>
      <c r="CV81" s="78"/>
      <c r="CW81" s="77"/>
      <c r="CX81" s="174"/>
    </row>
    <row r="82" spans="1:102" ht="14.25" customHeight="1">
      <c r="A82" s="150"/>
      <c r="B82" s="144"/>
      <c r="C82" s="144"/>
      <c r="D82" s="144"/>
      <c r="E82" s="144"/>
      <c r="F82" s="144"/>
      <c r="G82" s="144"/>
      <c r="H82" s="144"/>
      <c r="I82" s="138"/>
      <c r="J82" s="138"/>
      <c r="K82" s="138"/>
      <c r="L82" s="138"/>
      <c r="M82" s="138"/>
      <c r="N82" s="138"/>
      <c r="O82" s="138"/>
      <c r="P82" s="138"/>
      <c r="Q82" s="138"/>
      <c r="R82" s="138"/>
      <c r="S82" s="138"/>
      <c r="T82" s="138"/>
      <c r="U82" s="138"/>
      <c r="V82" s="138"/>
      <c r="W82" s="138"/>
      <c r="X82" s="138"/>
      <c r="Y82" s="144"/>
      <c r="Z82" s="144"/>
      <c r="AA82" s="144"/>
      <c r="AB82" s="144"/>
      <c r="AC82" s="144"/>
      <c r="AD82" s="144"/>
      <c r="AE82" s="144"/>
      <c r="AF82" s="144"/>
      <c r="AG82" s="144"/>
      <c r="AH82" s="144"/>
      <c r="AI82" s="138"/>
      <c r="AJ82" s="138"/>
      <c r="AK82" s="138"/>
      <c r="AL82" s="138"/>
      <c r="AM82" s="138"/>
      <c r="AN82" s="138"/>
      <c r="AO82" s="138"/>
      <c r="AP82" s="138"/>
      <c r="AQ82" s="138"/>
      <c r="AR82" s="138"/>
      <c r="AS82" s="138"/>
      <c r="AT82" s="138"/>
      <c r="AU82" s="138"/>
      <c r="AV82" s="138"/>
      <c r="AW82" s="138"/>
      <c r="AX82" s="138"/>
      <c r="AY82" s="138"/>
      <c r="AZ82" s="138"/>
      <c r="BA82" s="138"/>
      <c r="BB82" s="138"/>
      <c r="BC82" s="138"/>
      <c r="BD82" s="138"/>
      <c r="BE82" s="138"/>
      <c r="BF82" s="151" cm="1">
        <f t="array" ref="BF82">IF(BA84&gt;1,AZ84,IF(BA85&gt;1,AZ85,IF(BA86&gt;1,AZ86,IF(BA87&gt;1,AZ87,"-"))))</f>
        <v>4</v>
      </c>
      <c r="BG82" s="138"/>
      <c r="BH82" s="138"/>
      <c r="BI82" s="138"/>
      <c r="BJ82" s="138"/>
      <c r="BK82" s="138"/>
      <c r="BL82" s="138"/>
      <c r="BM82" s="138"/>
      <c r="BN82" s="138"/>
      <c r="BO82" s="138"/>
      <c r="BP82" s="138"/>
      <c r="BQ82" s="138"/>
      <c r="BR82" s="138"/>
      <c r="BS82" s="138"/>
      <c r="BT82" s="138"/>
      <c r="BU82" s="138"/>
      <c r="BV82" s="138"/>
      <c r="BW82" s="152">
        <v>10</v>
      </c>
      <c r="BX82" s="138"/>
      <c r="BY82" s="138"/>
      <c r="BZ82" s="153" cm="1">
        <f t="array" ref="BZ82">IF(BC84&gt;1,BB84,IF(BC85&gt;1,BB85,IF(BC86&gt;1,BB86,IF(BC87&gt;1,BB87,"-"))))</f>
        <v>9</v>
      </c>
      <c r="CA82" s="138"/>
      <c r="CB82" s="138"/>
      <c r="CC82" s="138"/>
      <c r="CD82" s="138"/>
      <c r="CE82" s="138"/>
      <c r="CF82" s="138"/>
      <c r="CG82" s="138"/>
      <c r="CH82" s="138"/>
      <c r="CI82" s="138"/>
      <c r="CJ82" s="138"/>
      <c r="CK82" s="138"/>
      <c r="CL82" s="138"/>
      <c r="CM82" s="138"/>
      <c r="CN82" s="138"/>
      <c r="CO82" s="138"/>
      <c r="CP82" s="138"/>
      <c r="CQ82" s="152">
        <v>10</v>
      </c>
      <c r="CR82" s="138"/>
      <c r="CS82" s="138"/>
      <c r="CT82" s="138"/>
      <c r="CU82" s="138"/>
      <c r="CV82" s="138"/>
      <c r="CW82" s="138"/>
      <c r="CX82" s="175"/>
    </row>
    <row r="83" spans="1:102" ht="14.25" customHeight="1">
      <c r="A83" s="245" t="s">
        <v>101</v>
      </c>
      <c r="B83" s="246" t="s">
        <v>102</v>
      </c>
      <c r="C83" s="246" t="s">
        <v>103</v>
      </c>
      <c r="D83" s="247"/>
      <c r="E83" s="248" t="s">
        <v>211</v>
      </c>
      <c r="F83" s="249"/>
      <c r="G83" s="249"/>
      <c r="H83" s="250"/>
      <c r="I83" s="65"/>
      <c r="J83" s="66" t="s">
        <v>105</v>
      </c>
      <c r="K83" s="66" t="s">
        <v>106</v>
      </c>
      <c r="L83" s="66" t="s">
        <v>106</v>
      </c>
      <c r="M83" s="66" t="s">
        <v>107</v>
      </c>
      <c r="N83" s="65"/>
      <c r="O83" s="67" t="str" cm="1">
        <f t="array" ref="O83">E83</f>
        <v>Grupo J</v>
      </c>
      <c r="P83" s="68" t="s">
        <v>105</v>
      </c>
      <c r="Q83" s="68" t="s">
        <v>106</v>
      </c>
      <c r="R83" s="68" t="s">
        <v>107</v>
      </c>
      <c r="S83" s="68" t="s">
        <v>108</v>
      </c>
      <c r="T83" s="68" t="s">
        <v>109</v>
      </c>
      <c r="U83" s="68" t="s">
        <v>110</v>
      </c>
      <c r="V83" s="68" t="s">
        <v>0</v>
      </c>
      <c r="W83" s="69"/>
      <c r="X83" s="65"/>
      <c r="Y83" s="768" t="s">
        <v>211</v>
      </c>
      <c r="Z83" s="769"/>
      <c r="AA83" s="251" t="s">
        <v>111</v>
      </c>
      <c r="AB83" s="252" t="s">
        <v>105</v>
      </c>
      <c r="AC83" s="252" t="s">
        <v>106</v>
      </c>
      <c r="AD83" s="252" t="s">
        <v>107</v>
      </c>
      <c r="AE83" s="252" t="s">
        <v>108</v>
      </c>
      <c r="AF83" s="252" t="s">
        <v>109</v>
      </c>
      <c r="AG83" s="252" t="s">
        <v>110</v>
      </c>
      <c r="AH83" s="253" t="s">
        <v>0</v>
      </c>
      <c r="AI83" s="234"/>
      <c r="AJ83" s="74"/>
      <c r="AK83" s="74"/>
      <c r="AL83" s="75" t="s">
        <v>0</v>
      </c>
      <c r="AM83" s="75" t="s">
        <v>112</v>
      </c>
      <c r="AN83" s="76"/>
      <c r="AO83" s="76"/>
      <c r="AP83" s="76"/>
      <c r="AQ83" s="76"/>
      <c r="AR83" s="76"/>
      <c r="AS83" s="76"/>
      <c r="AT83" s="76"/>
      <c r="AU83" s="77"/>
      <c r="AV83" s="78"/>
      <c r="AW83" s="74"/>
      <c r="AX83" s="74"/>
      <c r="AY83" s="75" t="s">
        <v>113</v>
      </c>
      <c r="AZ83" s="75" t="s">
        <v>0</v>
      </c>
      <c r="BA83" s="75" t="s">
        <v>114</v>
      </c>
      <c r="BB83" s="76"/>
      <c r="BC83" s="76"/>
      <c r="BD83" s="76"/>
      <c r="BE83" s="74"/>
      <c r="BF83" s="78"/>
      <c r="BG83" s="78"/>
      <c r="BH83" s="78"/>
      <c r="BI83" s="78"/>
      <c r="BJ83" s="74"/>
      <c r="BK83" s="79"/>
      <c r="BL83" s="80" t="s">
        <v>111</v>
      </c>
      <c r="BM83" s="75" t="s">
        <v>105</v>
      </c>
      <c r="BN83" s="75" t="s">
        <v>106</v>
      </c>
      <c r="BO83" s="75" t="s">
        <v>107</v>
      </c>
      <c r="BP83" s="75" t="s">
        <v>108</v>
      </c>
      <c r="BQ83" s="75" t="s">
        <v>109</v>
      </c>
      <c r="BR83" s="75" t="s">
        <v>110</v>
      </c>
      <c r="BS83" s="75" t="s">
        <v>0</v>
      </c>
      <c r="BT83" s="75" t="s">
        <v>115</v>
      </c>
      <c r="BU83" s="76"/>
      <c r="BV83" s="75" t="s">
        <v>116</v>
      </c>
      <c r="BW83" s="75" t="s">
        <v>115</v>
      </c>
      <c r="BX83" s="74"/>
      <c r="BY83" s="74"/>
      <c r="BZ83" s="78"/>
      <c r="CA83" s="78"/>
      <c r="CB83" s="78"/>
      <c r="CC83" s="78"/>
      <c r="CD83" s="74"/>
      <c r="CE83" s="79"/>
      <c r="CF83" s="80" t="s">
        <v>111</v>
      </c>
      <c r="CG83" s="75" t="s">
        <v>105</v>
      </c>
      <c r="CH83" s="75" t="s">
        <v>106</v>
      </c>
      <c r="CI83" s="75" t="s">
        <v>107</v>
      </c>
      <c r="CJ83" s="75" t="s">
        <v>108</v>
      </c>
      <c r="CK83" s="75" t="s">
        <v>109</v>
      </c>
      <c r="CL83" s="75" t="s">
        <v>110</v>
      </c>
      <c r="CM83" s="75" t="s">
        <v>0</v>
      </c>
      <c r="CN83" s="75" t="s">
        <v>115</v>
      </c>
      <c r="CO83" s="76"/>
      <c r="CP83" s="75" t="s">
        <v>116</v>
      </c>
      <c r="CQ83" s="75" t="s">
        <v>115</v>
      </c>
      <c r="CR83" s="74"/>
      <c r="CS83" s="74"/>
      <c r="CT83" s="74"/>
      <c r="CU83" s="74"/>
      <c r="CV83" s="74"/>
      <c r="CW83" s="74"/>
      <c r="CX83" s="172"/>
    </row>
    <row r="84" spans="1:102" ht="14.25" customHeight="1">
      <c r="A84" s="85" t="s">
        <v>212</v>
      </c>
      <c r="B84" s="86">
        <v>46189</v>
      </c>
      <c r="C84" s="87"/>
      <c r="D84" s="88"/>
      <c r="E84" s="85" t="s">
        <v>50</v>
      </c>
      <c r="F84" s="89">
        <v>2</v>
      </c>
      <c r="G84" s="89">
        <v>0</v>
      </c>
      <c r="H84" s="90" t="s">
        <v>74</v>
      </c>
      <c r="I84" s="65"/>
      <c r="J84" s="65" t="str" cm="1">
        <f t="array" ref="J84">IF(OR(ISBLANK(F84),ISBLANK(G84)),"",IF(F84&gt;G84,E84,IF(G84&gt;F84,H84,"")))</f>
        <v>Argentina</v>
      </c>
      <c r="K84" s="65" t="str" cm="1">
        <f t="array" ref="K84">IF(OR(ISBLANK(F84),ISBLANK(G84)),"",IF(F84=G84,E84,""))</f>
        <v/>
      </c>
      <c r="L84" s="65" t="str" cm="1">
        <f t="array" ref="L84">IF(OR(ISBLANK(F84),ISBLANK(G84)),"",IF(F84=G84,H84,""))</f>
        <v/>
      </c>
      <c r="M84" s="65" t="str" cm="1">
        <f t="array" ref="M84">IF(OR(ISBLANK(F84),ISBLANK(G84)),"",IF(F84&lt;G84,E84,IF(G84&lt;F84,H84,"")))</f>
        <v>Argelia</v>
      </c>
      <c r="N84" s="65"/>
      <c r="O84" s="67" t="str" cm="1">
        <f t="array" ref="O84">E84</f>
        <v>Argentina</v>
      </c>
      <c r="P84" s="91" cm="1">
        <f t="array" ref="P84">COUNTIF(J84:J89,"="&amp;$O84)</f>
        <v>3</v>
      </c>
      <c r="Q84" s="91" cm="1">
        <f t="array" ref="Q84">COUNTIF(K84:L89,"="&amp;$O84)</f>
        <v>0</v>
      </c>
      <c r="R84" s="91" cm="1">
        <f t="array" ref="R84">COUNTIF(M84:M89,"="&amp;$O84)</f>
        <v>0</v>
      </c>
      <c r="S84" s="91" cm="1">
        <f t="array" ref="S84">T84-U84</f>
        <v>5</v>
      </c>
      <c r="T84" s="91" cm="1">
        <f t="array" ref="T84">SUMIF(E84:E89,$O84,F84:F89)+SUMIF(H84:H89,$O84,G84:G89)</f>
        <v>7</v>
      </c>
      <c r="U84" s="91" cm="1">
        <f t="array" ref="U84">SUMIF(E84:E89,$O84,G84:G89)+SUMIF(H84:H89,$O84,F84:F89)</f>
        <v>2</v>
      </c>
      <c r="V84" s="92" cm="1">
        <f t="array" ref="V84">P84*3+Q84*1+BT84+CN84+S84/1000+T84/10000+AV84/1000000+ROW()/10000000</f>
        <v>9.0057084000000014</v>
      </c>
      <c r="W84" s="67" t="str" cm="1">
        <f t="array" ref="W84">O84</f>
        <v>Argentina</v>
      </c>
      <c r="X84" s="65"/>
      <c r="Y84" s="93" t="str" cm="1">
        <f t="array" ref="Y84">CONCATENATE("1",RIGHT(E83,1))</f>
        <v>1J</v>
      </c>
      <c r="Z84" s="94" t="str" cm="1">
        <f t="array" ref="Z84">VLOOKUP(AL84,V84:W87,2,FALSE)</f>
        <v>Argentina</v>
      </c>
      <c r="AA84" s="95" cm="1">
        <f t="array" ref="AA84">SUM(AB84:AD84)</f>
        <v>3</v>
      </c>
      <c r="AB84" s="96" cm="1">
        <f t="array" ref="AB84">_xlfn.XLOOKUP($Z84,$O1:$O108,P1:P108,"Error",0)</f>
        <v>3</v>
      </c>
      <c r="AC84" s="96" cm="1">
        <f t="array" ref="AC84">_xlfn.XLOOKUP($Z84,$O1:$O108,Q1:Q108,"Error",0)</f>
        <v>0</v>
      </c>
      <c r="AD84" s="96" cm="1">
        <f t="array" ref="AD84">_xlfn.XLOOKUP($Z84,$O1:$O108,R1:R108,"Error",0)</f>
        <v>0</v>
      </c>
      <c r="AE84" s="96" cm="1">
        <f t="array" ref="AE84">_xlfn.XLOOKUP($Z84,$O1:$O108,S1:S108,"Error",0)</f>
        <v>5</v>
      </c>
      <c r="AF84" s="96" cm="1">
        <f t="array" ref="AF84">_xlfn.XLOOKUP($Z84,$O1:$O108,T1:T108,"Error",0)</f>
        <v>7</v>
      </c>
      <c r="AG84" s="96" cm="1">
        <f t="array" ref="AG84">_xlfn.XLOOKUP($Z84,$O1:$O108,U1:U108,"Error",0)</f>
        <v>2</v>
      </c>
      <c r="AH84" s="97" cm="1">
        <f t="array" ref="AH84">_xlfn.XLOOKUP($Z84,$O1:$O108,V1:V108,"Error",0)</f>
        <v>9.0057084000000014</v>
      </c>
      <c r="AI84" s="98"/>
      <c r="AJ84" s="74"/>
      <c r="AK84" s="74"/>
      <c r="AL84" s="99" cm="1">
        <f t="array" ref="AL84">LARGE(V84:V87,1)</f>
        <v>9.0057084000000014</v>
      </c>
      <c r="AM84" s="100" cm="1">
        <f t="array" ref="AM84">(AH84-AL84)*100000000000000000000</f>
        <v>0</v>
      </c>
      <c r="AN84" s="74"/>
      <c r="AO84" s="74"/>
      <c r="AP84" s="101" t="str" cm="1">
        <f t="array" ref="AP84">O84</f>
        <v>Argentina</v>
      </c>
      <c r="AQ84" s="102" cm="1">
        <f t="array" ref="AQ84">P84*3+Q84*1+BT84+CN84+S84/1000+T84/10000</f>
        <v>9.0057000000000009</v>
      </c>
      <c r="AR84" s="102" t="b" cm="1">
        <f t="array" ref="AR84">IF(OR(AQ84=AQ85,AQ84=AQ86,AQ84=AQ87),1)</f>
        <v>0</v>
      </c>
      <c r="AS84" s="103" cm="1">
        <f t="array" ref="AS84">AV84</f>
        <v>0</v>
      </c>
      <c r="AT84" s="103" cm="1">
        <f t="array" ref="AT84">IF(AND(AM88="si",OR(AR84=1,AR85=1,AR86=1)),1,0)</f>
        <v>0</v>
      </c>
      <c r="AU84" s="104" t="str" cm="1">
        <f t="array" ref="AU84">O84</f>
        <v>Argentina</v>
      </c>
      <c r="AV84" s="105"/>
      <c r="AW84" s="106"/>
      <c r="AX84" s="74" t="str" cm="1">
        <f t="array" ref="AX84">Y83</f>
        <v>Grupo J</v>
      </c>
      <c r="AY84" s="76" t="str" cm="1">
        <f t="array" ref="AY84">O84</f>
        <v>Argentina</v>
      </c>
      <c r="AZ84" s="107" cm="1">
        <f t="array" ref="AZ84">P84*3+Q84</f>
        <v>9</v>
      </c>
      <c r="BA84" s="107" cm="1">
        <f t="array" ref="BA84">COUNTIFS($AX$1:AX84,AX84,$AZ$1:AZ84,AZ84)</f>
        <v>1</v>
      </c>
      <c r="BB84" s="107" cm="1">
        <f t="array" ref="BB84">IF(AZ84=BF82,ROW()*0.001,AZ84)</f>
        <v>9</v>
      </c>
      <c r="BC84" s="107" cm="1">
        <f t="array" ref="BC84">COUNTIFS($AX$1:AZ84,AZ84,$AZ$1:BB84,BB84)</f>
        <v>7</v>
      </c>
      <c r="BD84" s="107"/>
      <c r="BE84" s="108" t="str" cm="1">
        <f t="array" ref="BE84">IF(OR(BF84="-",BI84="-",BF82=0),"-","OK")</f>
        <v>-</v>
      </c>
      <c r="BF84" s="109" t="str" cm="1">
        <f t="array" ref="BF84">IF(_xlfn.XLOOKUP($E84,$AY1:$AY108,$AZ1:$AZ108,"-",0)=BF82,$E84,"-")</f>
        <v>-</v>
      </c>
      <c r="BG84" s="110" cm="1">
        <f t="array" ref="BG84">$F84</f>
        <v>2</v>
      </c>
      <c r="BH84" s="110" cm="1">
        <f t="array" ref="BH84">$G84</f>
        <v>0</v>
      </c>
      <c r="BI84" s="109" t="str" cm="1">
        <f t="array" ref="BI84">IF(_xlfn.XLOOKUP($H84,$AY1:$AY108,$AZ1:$AZ108,"-",0)=BF82,$H84,"-")</f>
        <v>Argelia</v>
      </c>
      <c r="BJ84" s="74"/>
      <c r="BK84" s="79" t="str" cm="1">
        <f t="array" ref="BK84">O84</f>
        <v>Argentina</v>
      </c>
      <c r="BL84" s="111" cm="1">
        <f t="array" ref="BL84">COUNTIFS($BE1:$BE108,"OK",$BI1:$BI108,BK84)+COUNTIFS($BE1:$BE108,"OK",$BF1:$BF108,BK84)</f>
        <v>0</v>
      </c>
      <c r="BM84" s="112" cm="1">
        <f t="array" ref="BM84">COUNTIFS(J1:J108,$BK84,$BE1:$BE108,"OK")</f>
        <v>0</v>
      </c>
      <c r="BN84" s="112" cm="1">
        <f t="array" ref="BN84">COUNTIFS(K1:K108,$BK84,$BE1:$BE108,"OK")+COUNTIFS(L1:L108,$BK84,$BE1:$BE108,"OK")</f>
        <v>0</v>
      </c>
      <c r="BO84" s="112" cm="1">
        <f t="array" ref="BO84">COUNTIFS(M1:M108,$BK84,$BE1:$BE108,"OK")</f>
        <v>0</v>
      </c>
      <c r="BP84" s="112" cm="1">
        <f t="array" ref="BP84">BQ84-BR84</f>
        <v>0</v>
      </c>
      <c r="BQ84" s="112" cm="1">
        <f t="array" ref="BQ84">SUMIFS(BG1:BG108,$BE1:$BE108,"OK",BF1:BF108,$BK84)+SUMIFS(BH1:BH108,$BE1:$BE108,"OK",BI1:BI108,$BK84)</f>
        <v>0</v>
      </c>
      <c r="BR84" s="112" cm="1">
        <f t="array" ref="BR84">SUMIFS(BH1:BH108,$BE1:$BE108,"OK",BF1:BF108,$BK84)+SUMIFS(BG1:BG108,$BE1:$BE108,"OK",BI1:BI108,$BK84)</f>
        <v>0</v>
      </c>
      <c r="BS84" s="113" cm="1">
        <f t="array" ref="BS84">BM84*3+BN84*1+BP84/100+BQ84/10000</f>
        <v>0</v>
      </c>
      <c r="BT84" s="107" cm="1">
        <f t="array" ref="BT84">IF(BL84=0,0,_xlfn.XLOOKUP(BS84,BV84:BV87,BW84:BW87))</f>
        <v>0</v>
      </c>
      <c r="BU84" s="99"/>
      <c r="BV84" s="113" cm="1">
        <f t="array" ref="BV84">LARGE(BS84:BS87,1)</f>
        <v>1</v>
      </c>
      <c r="BW84" s="112" cm="1">
        <f t="array" ref="BW84">BX84/$BW$1</f>
        <v>0.3</v>
      </c>
      <c r="BX84" s="114">
        <v>3</v>
      </c>
      <c r="BY84" s="108" t="str" cm="1">
        <f t="array" ref="BY84">IF(OR(BZ84="-",CC84="-"),"-","OK")</f>
        <v>-</v>
      </c>
      <c r="BZ84" s="109" t="str" cm="1">
        <f t="array" ref="BZ84">IF(_xlfn.XLOOKUP($E84,$AY1:$AY108,$AZ1:$AZ108,"-",0)=BZ82,$E84,"-")</f>
        <v>Argentina</v>
      </c>
      <c r="CA84" s="110" cm="1">
        <f t="array" ref="CA84">$F84</f>
        <v>2</v>
      </c>
      <c r="CB84" s="110" cm="1">
        <f t="array" ref="CB84">$G84</f>
        <v>0</v>
      </c>
      <c r="CC84" s="109" t="str" cm="1">
        <f t="array" ref="CC84">IF(_xlfn.XLOOKUP($H84,$AY1:$AY108,$AZ1:$AZ108,"-",0)=BZ82,$H84,"-")</f>
        <v>-</v>
      </c>
      <c r="CD84" s="74"/>
      <c r="CE84" s="79" t="str" cm="1">
        <f t="array" ref="CE84">BK84</f>
        <v>Argentina</v>
      </c>
      <c r="CF84" s="111" cm="1">
        <f t="array" ref="CF84">COUNTIFS($BY1:$BY108,"OK",$CC1:$CC108,CE84)+COUNTIFS($BY1:$BY108,"OK",$BZ1:$BZ108,CE84)</f>
        <v>0</v>
      </c>
      <c r="CG84" s="112" cm="1">
        <f t="array" ref="CG84">COUNTIFS(P1:P108,$BK84,$BY1:$BY108,"OK")</f>
        <v>0</v>
      </c>
      <c r="CH84" s="112" cm="1">
        <f t="array" ref="CH84">COUNTIFS(K1:K108,$BK84,$BY1:$BY108,"OK")+COUNTIFS(L1:L108,$BK84,$BY1:$BY108,"OK")</f>
        <v>0</v>
      </c>
      <c r="CI84" s="112" cm="1">
        <f t="array" ref="CI84">COUNTIFS(M1:M108,$CE84,$BY1:$BY108,"OK")</f>
        <v>0</v>
      </c>
      <c r="CJ84" s="112" cm="1">
        <f t="array" ref="CJ84">CK84-CL84</f>
        <v>0</v>
      </c>
      <c r="CK84" s="112" cm="1">
        <f t="array" ref="CK84">SUMIFS(CA1:CA108,$BY1:$BY108,"OK",BZ1:BZ108,$BK84)+SUMIFS(CB1:CB108,$BY1:$BY108,"OK",CC1:CC108,$BK84)</f>
        <v>0</v>
      </c>
      <c r="CL84" s="112" cm="1">
        <f t="array" ref="CL84">SUMIFS(CB1:CB108,$BY1:$BY108,"OK",BZ1:BZ108,$BK84)+SUMIFS(CA1:CA108,$BY1:$BY108,"OK",CC1:CC108,$BK84)</f>
        <v>0</v>
      </c>
      <c r="CM84" s="113" cm="1">
        <f t="array" ref="CM84">CG84*3+CH84*1+CJ84/100+CK84/10000</f>
        <v>0</v>
      </c>
      <c r="CN84" s="107" cm="1">
        <f t="array" ref="CN84">IF(CF84=0,0,_xlfn.XLOOKUP(CM84,CP84:CP87,CQ84:CQ87))</f>
        <v>0</v>
      </c>
      <c r="CO84" s="99"/>
      <c r="CP84" s="113" cm="1">
        <f t="array" ref="CP84">LARGE(CM84:CM87,1)</f>
        <v>0</v>
      </c>
      <c r="CQ84" s="112" cm="1">
        <f t="array" ref="CQ84">CR84/$BW$1</f>
        <v>0.3</v>
      </c>
      <c r="CR84" s="114">
        <v>3</v>
      </c>
      <c r="CS84" s="74"/>
      <c r="CT84" s="74"/>
      <c r="CU84" s="74"/>
      <c r="CV84" s="74"/>
      <c r="CW84" s="74"/>
      <c r="CX84" s="172"/>
    </row>
    <row r="85" spans="1:102" ht="14.25" customHeight="1">
      <c r="A85" s="85" t="s">
        <v>214</v>
      </c>
      <c r="B85" s="86">
        <v>46190</v>
      </c>
      <c r="C85" s="87"/>
      <c r="D85" s="88"/>
      <c r="E85" s="85" t="s">
        <v>72</v>
      </c>
      <c r="F85" s="89">
        <v>2</v>
      </c>
      <c r="G85" s="89">
        <v>1</v>
      </c>
      <c r="H85" s="90" t="s">
        <v>91</v>
      </c>
      <c r="I85" s="65"/>
      <c r="J85" s="65" t="str" cm="1">
        <f t="array" ref="J85">IF(OR(ISBLANK(F85),ISBLANK(G85)),"",IF(F85&gt;G85,E85,IF(G85&gt;F85,H85,"")))</f>
        <v>Austria</v>
      </c>
      <c r="K85" s="65" t="str" cm="1">
        <f t="array" ref="K85">IF(OR(ISBLANK(F85),ISBLANK(G85)),"",IF(F85=G85,E85,""))</f>
        <v/>
      </c>
      <c r="L85" s="65" t="str" cm="1">
        <f t="array" ref="L85">IF(OR(ISBLANK(F85),ISBLANK(G85)),"",IF(F85=G85,H85,""))</f>
        <v/>
      </c>
      <c r="M85" s="65" t="str" cm="1">
        <f t="array" ref="M85">IF(OR(ISBLANK(F85),ISBLANK(G85)),"",IF(F85&lt;G85,E85,IF(G85&lt;F85,H85,"")))</f>
        <v>Jordania</v>
      </c>
      <c r="N85" s="65"/>
      <c r="O85" s="67" t="str" cm="1">
        <f t="array" ref="O85">H84</f>
        <v>Argelia</v>
      </c>
      <c r="P85" s="91" cm="1">
        <f t="array" ref="P85">COUNTIF(J84:J89,"="&amp;$O85)</f>
        <v>1</v>
      </c>
      <c r="Q85" s="91" cm="1">
        <f t="array" ref="Q85">COUNTIF(K84:L89,"="&amp;$O85)</f>
        <v>1</v>
      </c>
      <c r="R85" s="91" cm="1">
        <f t="array" ref="R85">COUNTIF(M84:M89,"="&amp;$O85)</f>
        <v>1</v>
      </c>
      <c r="S85" s="91" cm="1">
        <f t="array" ref="S85">T85-U85</f>
        <v>-1</v>
      </c>
      <c r="T85" s="91" cm="1">
        <f t="array" ref="T85">SUMIF(E84:E89,$O85,F84:F89)+SUMIF(H84:H89,$O85,G84:G89)</f>
        <v>1</v>
      </c>
      <c r="U85" s="91" cm="1">
        <f t="array" ref="U85">SUMIF(E84:E89,$O85,G84:G89)+SUMIF(H84:H89,$O85,F84:F89)</f>
        <v>2</v>
      </c>
      <c r="V85" s="92" cm="1">
        <f t="array" ref="V85">P85*3+Q85*1+BT85+CN85+S85/1000+T85/10000+AV85/1000000+ROW()/10000000</f>
        <v>4.2991084999999991</v>
      </c>
      <c r="W85" s="67" t="str" cm="1">
        <f t="array" ref="W85">O85</f>
        <v>Argelia</v>
      </c>
      <c r="X85" s="65"/>
      <c r="Y85" s="117" t="str" cm="1">
        <f t="array" ref="Y85">CONCATENATE("2",RIGHT(E83,1))</f>
        <v>2J</v>
      </c>
      <c r="Z85" s="118" t="str" cm="1">
        <f t="array" ref="Z85">VLOOKUP(AL85,V84:W87,2,FALSE)</f>
        <v>Austria</v>
      </c>
      <c r="AA85" s="119" cm="1">
        <f t="array" ref="AA85">SUM(AB85:AD85)</f>
        <v>3</v>
      </c>
      <c r="AB85" s="120" cm="1">
        <f t="array" ref="AB85">_xlfn.XLOOKUP($Z85,$O1:$O108,P1:P108,"Error",0)</f>
        <v>1</v>
      </c>
      <c r="AC85" s="120" cm="1">
        <f t="array" ref="AC85">_xlfn.XLOOKUP($Z85,$O1:$O108,Q1:Q108,"Error",0)</f>
        <v>1</v>
      </c>
      <c r="AD85" s="120" cm="1">
        <f t="array" ref="AD85">_xlfn.XLOOKUP($Z85,$O1:$O108,R1:R108,"Error",0)</f>
        <v>1</v>
      </c>
      <c r="AE85" s="120" cm="1">
        <f t="array" ref="AE85">_xlfn.XLOOKUP($Z85,$O1:$O108,S1:S108,"Error",0)</f>
        <v>0</v>
      </c>
      <c r="AF85" s="120" cm="1">
        <f t="array" ref="AF85">_xlfn.XLOOKUP($Z85,$O1:$O108,T1:T108,"Error",0)</f>
        <v>3</v>
      </c>
      <c r="AG85" s="120" cm="1">
        <f t="array" ref="AG85">_xlfn.XLOOKUP($Z85,$O1:$O108,U1:U108,"Error",0)</f>
        <v>3</v>
      </c>
      <c r="AH85" s="121" cm="1">
        <f t="array" ref="AH85">_xlfn.XLOOKUP($Z85,$O1:$O108,V1:V108,"Error",0)</f>
        <v>4.3003086000000001</v>
      </c>
      <c r="AI85" s="98"/>
      <c r="AJ85" s="74"/>
      <c r="AK85" s="74"/>
      <c r="AL85" s="99" cm="1">
        <f t="array" ref="AL85">LARGE(V84:V87,2)</f>
        <v>4.3003086000000001</v>
      </c>
      <c r="AM85" s="100" cm="1">
        <f t="array" ref="AM85">(AH85-AL85)*100000000000000000000</f>
        <v>0</v>
      </c>
      <c r="AN85" s="74"/>
      <c r="AO85" s="74"/>
      <c r="AP85" s="101" t="str" cm="1">
        <f t="array" ref="AP85">O85</f>
        <v>Argelia</v>
      </c>
      <c r="AQ85" s="102" cm="1">
        <f t="array" ref="AQ85">P85*3+Q85*1+BT85+CN85+S85/1000+T85/10000</f>
        <v>4.2990999999999993</v>
      </c>
      <c r="AR85" s="102" t="b" cm="1">
        <f t="array" ref="AR85">IF(OR(AQ85=AQ86,AQ85=AQ87),1)</f>
        <v>0</v>
      </c>
      <c r="AS85" s="103" cm="1">
        <f t="array" ref="AS85">AV85</f>
        <v>0</v>
      </c>
      <c r="AT85" s="103" cm="1">
        <f t="array" ref="AT85">IF(AND(AM88="si",OR(AR84=1,AR85=1,AR86=1)),1,0)</f>
        <v>0</v>
      </c>
      <c r="AU85" s="122" t="str" cm="1">
        <f t="array" ref="AU85">O85</f>
        <v>Argelia</v>
      </c>
      <c r="AV85" s="101"/>
      <c r="AW85" s="106"/>
      <c r="AX85" s="74" t="str" cm="1">
        <f t="array" ref="AX85">Y83</f>
        <v>Grupo J</v>
      </c>
      <c r="AY85" s="76" t="str" cm="1">
        <f t="array" ref="AY85">O85</f>
        <v>Argelia</v>
      </c>
      <c r="AZ85" s="107" cm="1">
        <f t="array" ref="AZ85">P85*3+Q85</f>
        <v>4</v>
      </c>
      <c r="BA85" s="107" cm="1">
        <f t="array" ref="BA85">COUNTIFS($AX$1:AX85,AX85,$AZ$1:AZ85,AZ85)</f>
        <v>1</v>
      </c>
      <c r="BB85" s="107" cm="1">
        <f t="array" ref="BB85">IF(AZ85=BF82,ROW()*0.001,AZ85)</f>
        <v>8.5000000000000006E-2</v>
      </c>
      <c r="BC85" s="107" cm="1">
        <f t="array" ref="BC85">COUNTIFS($AX$1:AZ85,AZ85,$AZ$1:BB85,BB85)</f>
        <v>1</v>
      </c>
      <c r="BD85" s="107"/>
      <c r="BE85" s="108" t="str" cm="1">
        <f t="array" ref="BE85">IF(OR(BF85="-",BI85="-",BF82=0),"-","OK")</f>
        <v>-</v>
      </c>
      <c r="BF85" s="109" t="str" cm="1">
        <f t="array" ref="BF85">IF(_xlfn.XLOOKUP($E85,$AY1:$AY108,$AZ1:$AZ108,"-",0)=BF82,$E85,"-")</f>
        <v>Austria</v>
      </c>
      <c r="BG85" s="110" cm="1">
        <f t="array" ref="BG85">$F85</f>
        <v>2</v>
      </c>
      <c r="BH85" s="110" cm="1">
        <f t="array" ref="BH85">$G85</f>
        <v>1</v>
      </c>
      <c r="BI85" s="109" t="str" cm="1">
        <f t="array" ref="BI85">IF(_xlfn.XLOOKUP($H85,$AY1:$AY108,$AZ1:$AZ108,"-",0)=BF82,$H85,"-")</f>
        <v>-</v>
      </c>
      <c r="BJ85" s="74"/>
      <c r="BK85" s="79" t="str" cm="1">
        <f t="array" ref="BK85">O85</f>
        <v>Argelia</v>
      </c>
      <c r="BL85" s="111" cm="1">
        <f t="array" ref="BL85">COUNTIFS($BE1:$BE108,"OK",$BI1:$BI108,BK85)+COUNTIFS($BE1:$BE108,"OK",$BF1:$BF108,BK85)</f>
        <v>1</v>
      </c>
      <c r="BM85" s="112" cm="1">
        <f t="array" ref="BM85">COUNTIFS(J1:J108,$BK85,$BE1:$BE108,"OK")</f>
        <v>0</v>
      </c>
      <c r="BN85" s="112" cm="1">
        <f t="array" ref="BN85">COUNTIFS(K1:K108,$BK85,$BE1:$BE108,"OK")+COUNTIFS(L1:L108,$BK85,$BE1:$BE108,"OK")</f>
        <v>1</v>
      </c>
      <c r="BO85" s="112" cm="1">
        <f t="array" ref="BO85">COUNTIFS(M1:M108,$BK85,$BE1:$BE108,"OK")</f>
        <v>0</v>
      </c>
      <c r="BP85" s="112" cm="1">
        <f t="array" ref="BP85">BQ85-BR85</f>
        <v>0</v>
      </c>
      <c r="BQ85" s="112" cm="1">
        <f t="array" ref="BQ85">SUMIFS(BG1:BG108,$BE1:$BE108,"OK",BF1:BF108,$BK85)+SUMIFS(BH1:BH108,$BE1:$BE108,"OK",BI1:BI108,$BK85)</f>
        <v>0</v>
      </c>
      <c r="BR85" s="112" cm="1">
        <f t="array" ref="BR85">SUMIFS(BH1:BH108,$BE1:$BE108,"OK",BF1:BF108,$BK85)+SUMIFS(BG1:BG108,$BE1:$BE108,"OK",BI1:BI108,$BK85)</f>
        <v>0</v>
      </c>
      <c r="BS85" s="113" cm="1">
        <f t="array" ref="BS85">BM85*3+BN85*1+BP85/100+BQ85/10000</f>
        <v>1</v>
      </c>
      <c r="BT85" s="107" cm="1">
        <f t="array" ref="BT85">IF(BL85=0,0,_xlfn.XLOOKUP(BS85,BV84:BV87,BW84:BW87))</f>
        <v>0.3</v>
      </c>
      <c r="BU85" s="99"/>
      <c r="BV85" s="113" cm="1">
        <f t="array" ref="BV85">LARGE(BS84:BS87,2)</f>
        <v>1</v>
      </c>
      <c r="BW85" s="112" cm="1">
        <f t="array" ref="BW85">BX85/$BW$1</f>
        <v>0.2</v>
      </c>
      <c r="BX85" s="114">
        <v>2</v>
      </c>
      <c r="BY85" s="108" t="str" cm="1">
        <f t="array" ref="BY85">IF(OR(BZ85="-",CC85="-"),"-","OK")</f>
        <v>-</v>
      </c>
      <c r="BZ85" s="109" t="str" cm="1">
        <f t="array" ref="BZ85">IF(_xlfn.XLOOKUP($E85,$AY1:$AY108,$AZ1:$AZ108,"-",0)=BZ82,$E85,"-")</f>
        <v>-</v>
      </c>
      <c r="CA85" s="110" cm="1">
        <f t="array" ref="CA85">$F85</f>
        <v>2</v>
      </c>
      <c r="CB85" s="110" cm="1">
        <f t="array" ref="CB85">$G85</f>
        <v>1</v>
      </c>
      <c r="CC85" s="109" t="str" cm="1">
        <f t="array" ref="CC85">IF(_xlfn.XLOOKUP($H85,$AY1:$AY108,$AZ1:$AZ108,"-",0)=BZ82,$H85,"-")</f>
        <v>-</v>
      </c>
      <c r="CD85" s="74"/>
      <c r="CE85" s="79" t="str" cm="1">
        <f t="array" ref="CE85">BK85</f>
        <v>Argelia</v>
      </c>
      <c r="CF85" s="111" cm="1">
        <f t="array" ref="CF85">COUNTIFS($BY1:$BY108,"OK",$CC1:$CC108,CE85)+COUNTIFS($BY1:$BY108,"OK",$BZ1:$BZ108,CE85)</f>
        <v>0</v>
      </c>
      <c r="CG85" s="112" cm="1">
        <f t="array" ref="CG85">COUNTIFS(P1:P108,$BK85,$BY1:$BY108,"OK")</f>
        <v>0</v>
      </c>
      <c r="CH85" s="112" cm="1">
        <f t="array" ref="CH85">COUNTIFS(K1:K108,$BK85,$BY1:$BY108,"OK")+COUNTIFS(L1:L108,$BK85,$BY1:$BY108,"OK")</f>
        <v>0</v>
      </c>
      <c r="CI85" s="112" cm="1">
        <f t="array" ref="CI85">COUNTIFS(M1:M108,$CE85,$BY1:$BY108,"OK")</f>
        <v>0</v>
      </c>
      <c r="CJ85" s="112" cm="1">
        <f t="array" ref="CJ85">CK85-CL85</f>
        <v>0</v>
      </c>
      <c r="CK85" s="112" cm="1">
        <f t="array" ref="CK85">SUMIFS(CA1:CA108,$BY1:$BY108,"OK",BZ1:BZ108,$BK85)+SUMIFS(CB1:CB108,$BY1:$BY108,"OK",CC1:CC108,$BK85)</f>
        <v>0</v>
      </c>
      <c r="CL85" s="112" cm="1">
        <f t="array" ref="CL85">SUMIFS(CB1:CB108,$BY1:$BY108,"OK",BZ1:BZ108,$BK85)+SUMIFS(CA1:CA108,$BY1:$BY108,"OK",CC1:CC108,$BK85)</f>
        <v>0</v>
      </c>
      <c r="CM85" s="113" cm="1">
        <f t="array" ref="CM85">CG85*3+CH85*1+CJ85/100+CK85/10000</f>
        <v>0</v>
      </c>
      <c r="CN85" s="107" cm="1">
        <f t="array" ref="CN85">IF(CF85=0,0,_xlfn.XLOOKUP(CM85,CP84:CP87,CQ84:CQ87))</f>
        <v>0</v>
      </c>
      <c r="CO85" s="99"/>
      <c r="CP85" s="113" cm="1">
        <f t="array" ref="CP85">LARGE(CM84:CM87,2)</f>
        <v>0</v>
      </c>
      <c r="CQ85" s="112" cm="1">
        <f t="array" ref="CQ85">CR85/$BW$1</f>
        <v>0.2</v>
      </c>
      <c r="CR85" s="114">
        <v>2</v>
      </c>
      <c r="CS85" s="74"/>
      <c r="CT85" s="74"/>
      <c r="CU85" s="74"/>
      <c r="CV85" s="74"/>
      <c r="CW85" s="74"/>
      <c r="CX85" s="172"/>
    </row>
    <row r="86" spans="1:102" ht="14.25" customHeight="1">
      <c r="A86" s="85" t="s">
        <v>216</v>
      </c>
      <c r="B86" s="86">
        <v>46195</v>
      </c>
      <c r="C86" s="87"/>
      <c r="D86" s="88"/>
      <c r="E86" s="85" t="s">
        <v>50</v>
      </c>
      <c r="F86" s="89">
        <v>2</v>
      </c>
      <c r="G86" s="89">
        <v>1</v>
      </c>
      <c r="H86" s="90" t="s">
        <v>72</v>
      </c>
      <c r="I86" s="65"/>
      <c r="J86" s="65" t="str" cm="1">
        <f t="array" ref="J86">IF(OR(ISBLANK(F86),ISBLANK(G86)),"",IF(F86&gt;G86,E86,IF(G86&gt;F86,H86,"")))</f>
        <v>Argentina</v>
      </c>
      <c r="K86" s="65" t="str" cm="1">
        <f t="array" ref="K86">IF(OR(ISBLANK(F86),ISBLANK(G86)),"",IF(F86=G86,E86,""))</f>
        <v/>
      </c>
      <c r="L86" s="65" t="str" cm="1">
        <f t="array" ref="L86">IF(OR(ISBLANK(F86),ISBLANK(G86)),"",IF(F86=G86,H86,""))</f>
        <v/>
      </c>
      <c r="M86" s="65" t="str" cm="1">
        <f t="array" ref="M86">IF(OR(ISBLANK(F86),ISBLANK(G86)),"",IF(F86&lt;G86,E86,IF(G86&lt;F86,H86,"")))</f>
        <v>Austria</v>
      </c>
      <c r="N86" s="65"/>
      <c r="O86" s="67" t="str" cm="1">
        <f t="array" ref="O86">E85</f>
        <v>Austria</v>
      </c>
      <c r="P86" s="91" cm="1">
        <f t="array" ref="P86">COUNTIF(J84:J89,"="&amp;$O86)</f>
        <v>1</v>
      </c>
      <c r="Q86" s="91" cm="1">
        <f t="array" ref="Q86">COUNTIF(K84:L89,"="&amp;$O86)</f>
        <v>1</v>
      </c>
      <c r="R86" s="91" cm="1">
        <f t="array" ref="R86">COUNTIF(M84:M89,"="&amp;$O86)</f>
        <v>1</v>
      </c>
      <c r="S86" s="91" cm="1">
        <f t="array" ref="S86">T86-U86</f>
        <v>0</v>
      </c>
      <c r="T86" s="91" cm="1">
        <f t="array" ref="T86">SUMIF(E84:E89,$O86,F84:F89)+SUMIF(H84:H89,$O86,G84:G89)</f>
        <v>3</v>
      </c>
      <c r="U86" s="91" cm="1">
        <f t="array" ref="U86">SUMIF(E84:E89,$O86,G84:G89)+SUMIF(H84:H89,$O86,F84:F89)</f>
        <v>3</v>
      </c>
      <c r="V86" s="92" cm="1">
        <f t="array" ref="V86">P86*3+Q86*1+BT86+CN86+S86/1000+T86/10000+AV86/1000000+ROW()/10000000</f>
        <v>4.3003086000000001</v>
      </c>
      <c r="W86" s="67" t="str" cm="1">
        <f t="array" ref="W86">O86</f>
        <v>Austria</v>
      </c>
      <c r="X86" s="65"/>
      <c r="Y86" s="125" t="str" cm="1">
        <f t="array" ref="Y86">CONCATENATE("3",RIGHT(E83,1))</f>
        <v>3J</v>
      </c>
      <c r="Z86" s="126" t="str" cm="1">
        <f t="array" ref="Z86">VLOOKUP(AL86,V84:W87,2,FALSE)</f>
        <v>Argelia</v>
      </c>
      <c r="AA86" s="127" cm="1">
        <f t="array" ref="AA86">SUM(AB86:AD86)</f>
        <v>3</v>
      </c>
      <c r="AB86" s="128" cm="1">
        <f t="array" ref="AB86">_xlfn.XLOOKUP($Z86,$O1:$O108,P1:P108,"Error",0)</f>
        <v>1</v>
      </c>
      <c r="AC86" s="128" cm="1">
        <f t="array" ref="AC86">_xlfn.XLOOKUP($Z86,$O1:$O108,Q1:Q108,"Error",0)</f>
        <v>1</v>
      </c>
      <c r="AD86" s="128" cm="1">
        <f t="array" ref="AD86">_xlfn.XLOOKUP($Z86,$O1:$O108,R1:R108,"Error",0)</f>
        <v>1</v>
      </c>
      <c r="AE86" s="128" cm="1">
        <f t="array" ref="AE86">_xlfn.XLOOKUP($Z86,$O1:$O108,S1:S108,"Error",0)</f>
        <v>-1</v>
      </c>
      <c r="AF86" s="128" cm="1">
        <f t="array" ref="AF86">_xlfn.XLOOKUP($Z86,$O1:$O108,T1:T108,"Error",0)</f>
        <v>1</v>
      </c>
      <c r="AG86" s="128" cm="1">
        <f t="array" ref="AG86">_xlfn.XLOOKUP($Z86,$O1:$O108,U1:U108,"Error",0)</f>
        <v>2</v>
      </c>
      <c r="AH86" s="129" cm="1">
        <f t="array" ref="AH86">_xlfn.XLOOKUP($Z86,$O1:$O108,V1:V108,"Error",0)</f>
        <v>4.2991084999999991</v>
      </c>
      <c r="AI86" s="130" cm="1">
        <f t="array" ref="AI86">(COUNTIFS($CV$2:$CV$13,Z86,$CX$2:$CX$13,"IN")+COUNTIFS($CV$2:$CV$13,Z86,$CW$2:$CW$13,"IN"))*IF(SUM(AA84:AA87)=12,1,0)</f>
        <v>1</v>
      </c>
      <c r="AJ86" s="74"/>
      <c r="AK86" s="74"/>
      <c r="AL86" s="99" cm="1">
        <f t="array" ref="AL86">LARGE(V84:V87,3)</f>
        <v>4.2991084999999991</v>
      </c>
      <c r="AM86" s="100" cm="1">
        <f t="array" ref="AM86">(AH86-AL86)*100000000000000000000</f>
        <v>0</v>
      </c>
      <c r="AN86" s="74"/>
      <c r="AO86" s="74"/>
      <c r="AP86" s="101" t="str" cm="1">
        <f t="array" ref="AP86">O86</f>
        <v>Austria</v>
      </c>
      <c r="AQ86" s="102" cm="1">
        <f t="array" ref="AQ86">P86*3+Q86*1+BT86+CN86+S86/1000+T86/10000</f>
        <v>4.3003</v>
      </c>
      <c r="AR86" s="102" t="b" cm="1">
        <f t="array" ref="AR86">IF(OR(AQ86=AQ87),1)</f>
        <v>0</v>
      </c>
      <c r="AS86" s="103" cm="1">
        <f t="array" ref="AS86">AV86</f>
        <v>0</v>
      </c>
      <c r="AT86" s="103" cm="1">
        <f t="array" ref="AT86">IF(AND(AM88="si",OR(AR84=1,AR85=1,AR86=1)),1,0)</f>
        <v>0</v>
      </c>
      <c r="AU86" s="122" t="str" cm="1">
        <f t="array" ref="AU86">O86</f>
        <v>Austria</v>
      </c>
      <c r="AV86" s="101"/>
      <c r="AW86" s="106"/>
      <c r="AX86" s="74" t="str" cm="1">
        <f t="array" ref="AX86">Y83</f>
        <v>Grupo J</v>
      </c>
      <c r="AY86" s="76" t="str" cm="1">
        <f t="array" ref="AY86">O86</f>
        <v>Austria</v>
      </c>
      <c r="AZ86" s="107" cm="1">
        <f t="array" ref="AZ86">P86*3+Q86</f>
        <v>4</v>
      </c>
      <c r="BA86" s="107" cm="1">
        <f t="array" ref="BA86">COUNTIFS($AX$1:AX86,AX86,$AZ$1:AZ86,AZ86)</f>
        <v>2</v>
      </c>
      <c r="BB86" s="107" cm="1">
        <f t="array" ref="BB86">IF(AZ86=BF82,ROW()*0.001,AZ86)</f>
        <v>8.6000000000000007E-2</v>
      </c>
      <c r="BC86" s="107" cm="1">
        <f t="array" ref="BC86">COUNTIFS($AX$1:AZ86,AZ86,$AZ$1:BB86,BB86)</f>
        <v>1</v>
      </c>
      <c r="BD86" s="107"/>
      <c r="BE86" s="108" t="str" cm="1">
        <f t="array" ref="BE86">IF(OR(BF86="-",BI86="-",BF82=0),"-","OK")</f>
        <v>-</v>
      </c>
      <c r="BF86" s="109" t="str" cm="1">
        <f t="array" ref="BF86">IF(_xlfn.XLOOKUP($E86,$AY1:$AY108,$AZ1:$AZ108,"-",0)=BF82,$E86,"-")</f>
        <v>-</v>
      </c>
      <c r="BG86" s="110" cm="1">
        <f t="array" ref="BG86">$F86</f>
        <v>2</v>
      </c>
      <c r="BH86" s="110" cm="1">
        <f t="array" ref="BH86">$G86</f>
        <v>1</v>
      </c>
      <c r="BI86" s="109" t="str" cm="1">
        <f t="array" ref="BI86">IF(_xlfn.XLOOKUP($H86,$AY1:$AY108,$AZ1:$AZ108,"-",0)=BF82,$H86,"-")</f>
        <v>Austria</v>
      </c>
      <c r="BJ86" s="74"/>
      <c r="BK86" s="79" t="str" cm="1">
        <f t="array" ref="BK86">O86</f>
        <v>Austria</v>
      </c>
      <c r="BL86" s="111" cm="1">
        <f t="array" ref="BL86">COUNTIFS($BE1:$BE108,"OK",$BI1:$BI108,BK86)+COUNTIFS($BE1:$BE108,"OK",$BF1:$BF108,BK86)</f>
        <v>1</v>
      </c>
      <c r="BM86" s="112" cm="1">
        <f t="array" ref="BM86">COUNTIFS(J1:J108,$BK86,$BE1:$BE108,"OK")</f>
        <v>0</v>
      </c>
      <c r="BN86" s="112" cm="1">
        <f t="array" ref="BN86">COUNTIFS(K1:K108,$BK86,$BE1:$BE108,"OK")+COUNTIFS(L1:L108,$BK86,$BE1:$BE108,"OK")</f>
        <v>1</v>
      </c>
      <c r="BO86" s="112" cm="1">
        <f t="array" ref="BO86">COUNTIFS(M1:M108,$BK86,$BE1:$BE108,"OK")</f>
        <v>0</v>
      </c>
      <c r="BP86" s="112" cm="1">
        <f t="array" ref="BP86">BQ86-BR86</f>
        <v>0</v>
      </c>
      <c r="BQ86" s="112" cm="1">
        <f t="array" ref="BQ86">SUMIFS(BG1:BG108,$BE1:$BE108,"OK",BF1:BF108,$BK86)+SUMIFS(BH1:BH108,$BE1:$BE108,"OK",BI1:BI108,$BK86)</f>
        <v>0</v>
      </c>
      <c r="BR86" s="112" cm="1">
        <f t="array" ref="BR86">SUMIFS(BH1:BH108,$BE1:$BE108,"OK",BF1:BF108,$BK86)+SUMIFS(BG1:BG108,$BE1:$BE108,"OK",BI1:BI108,$BK86)</f>
        <v>0</v>
      </c>
      <c r="BS86" s="113" cm="1">
        <f t="array" ref="BS86">BM86*3+BN86*1+BP86/100+BQ86/10000</f>
        <v>1</v>
      </c>
      <c r="BT86" s="107" cm="1">
        <f t="array" ref="BT86">IF(BL86=0,0,_xlfn.XLOOKUP(BS86,BV84:BV87,BW84:BW87))</f>
        <v>0.3</v>
      </c>
      <c r="BU86" s="99"/>
      <c r="BV86" s="113" cm="1">
        <f t="array" ref="BV86">LARGE(BS84:BS87,3)</f>
        <v>0</v>
      </c>
      <c r="BW86" s="112" cm="1">
        <f t="array" ref="BW86">BX86/$BW$1</f>
        <v>0.1</v>
      </c>
      <c r="BX86" s="114">
        <v>1</v>
      </c>
      <c r="BY86" s="108" t="str" cm="1">
        <f t="array" ref="BY86">IF(OR(BZ86="-",CC86="-"),"-","OK")</f>
        <v>-</v>
      </c>
      <c r="BZ86" s="109" t="str" cm="1">
        <f t="array" ref="BZ86">IF(_xlfn.XLOOKUP($E86,$AY1:$AY108,$AZ1:$AZ108,"-",0)=BZ82,$E86,"-")</f>
        <v>Argentina</v>
      </c>
      <c r="CA86" s="110" cm="1">
        <f t="array" ref="CA86">$F86</f>
        <v>2</v>
      </c>
      <c r="CB86" s="110" cm="1">
        <f t="array" ref="CB86">$G86</f>
        <v>1</v>
      </c>
      <c r="CC86" s="109" t="str" cm="1">
        <f t="array" ref="CC86">IF(_xlfn.XLOOKUP($H86,$AY1:$AY108,$AZ1:$AZ108,"-",0)=BZ82,$H86,"-")</f>
        <v>-</v>
      </c>
      <c r="CD86" s="74"/>
      <c r="CE86" s="79" t="str" cm="1">
        <f t="array" ref="CE86">BK86</f>
        <v>Austria</v>
      </c>
      <c r="CF86" s="111" cm="1">
        <f t="array" ref="CF86">COUNTIFS($BY1:$BY108,"OK",$CC1:$CC108,CE86)+COUNTIFS($BY1:$BY108,"OK",$BZ1:$BZ108,CE86)</f>
        <v>0</v>
      </c>
      <c r="CG86" s="112" cm="1">
        <f t="array" ref="CG86">COUNTIFS(P1:P108,$BK86,$BY1:$BY108,"OK")</f>
        <v>0</v>
      </c>
      <c r="CH86" s="112" cm="1">
        <f t="array" ref="CH86">COUNTIFS(K1:K108,$BK86,$BY1:$BY108,"OK")+COUNTIFS(L1:L108,$BK86,$BY1:$BY108,"OK")</f>
        <v>0</v>
      </c>
      <c r="CI86" s="112" cm="1">
        <f t="array" ref="CI86">COUNTIFS(M1:M108,$CE86,$BY1:$BY108,"OK")</f>
        <v>0</v>
      </c>
      <c r="CJ86" s="112" cm="1">
        <f t="array" ref="CJ86">CK86-CL86</f>
        <v>0</v>
      </c>
      <c r="CK86" s="112" cm="1">
        <f t="array" ref="CK86">SUMIFS(CA1:CA108,$BY1:$BY108,"OK",BZ1:BZ108,$BK86)+SUMIFS(CB1:CB108,$BY1:$BY108,"OK",CC1:CC108,$BK86)</f>
        <v>0</v>
      </c>
      <c r="CL86" s="112" cm="1">
        <f t="array" ref="CL86">SUMIFS(CB1:CB108,$BY1:$BY108,"OK",BZ1:BZ108,$BK86)+SUMIFS(CA1:CA108,$BY1:$BY108,"OK",CC1:CC108,$BK86)</f>
        <v>0</v>
      </c>
      <c r="CM86" s="113" cm="1">
        <f t="array" ref="CM86">CG86*3+CH86*1+CJ86/100+CK86/10000</f>
        <v>0</v>
      </c>
      <c r="CN86" s="107" cm="1">
        <f t="array" ref="CN86">IF(CF86=0,0,_xlfn.XLOOKUP(CM86,CP84:CP87,CQ84:CQ87))</f>
        <v>0</v>
      </c>
      <c r="CO86" s="99"/>
      <c r="CP86" s="113" cm="1">
        <f t="array" ref="CP86">LARGE(CM84:CM87,3)</f>
        <v>0</v>
      </c>
      <c r="CQ86" s="112" cm="1">
        <f t="array" ref="CQ86">CR86/$BW$1</f>
        <v>0.1</v>
      </c>
      <c r="CR86" s="114">
        <v>1</v>
      </c>
      <c r="CS86" s="74"/>
      <c r="CT86" s="74"/>
      <c r="CU86" s="74"/>
      <c r="CV86" s="74"/>
      <c r="CW86" s="74"/>
      <c r="CX86" s="172"/>
    </row>
    <row r="87" spans="1:102" ht="14.25" customHeight="1">
      <c r="A87" s="85" t="s">
        <v>218</v>
      </c>
      <c r="B87" s="86">
        <v>46196</v>
      </c>
      <c r="C87" s="87"/>
      <c r="D87" s="88"/>
      <c r="E87" s="85" t="s">
        <v>91</v>
      </c>
      <c r="F87" s="89">
        <v>0</v>
      </c>
      <c r="G87" s="89">
        <v>1</v>
      </c>
      <c r="H87" s="90" t="s">
        <v>74</v>
      </c>
      <c r="I87" s="65"/>
      <c r="J87" s="65" t="str" cm="1">
        <f t="array" ref="J87">IF(OR(ISBLANK(F87),ISBLANK(G87)),"",IF(F87&gt;G87,E87,IF(G87&gt;F87,H87,"")))</f>
        <v>Argelia</v>
      </c>
      <c r="K87" s="65" t="str" cm="1">
        <f t="array" ref="K87">IF(OR(ISBLANK(F87),ISBLANK(G87)),"",IF(F87=G87,E87,""))</f>
        <v/>
      </c>
      <c r="L87" s="65" t="str" cm="1">
        <f t="array" ref="L87">IF(OR(ISBLANK(F87),ISBLANK(G87)),"",IF(F87=G87,H87,""))</f>
        <v/>
      </c>
      <c r="M87" s="65" t="str" cm="1">
        <f t="array" ref="M87">IF(OR(ISBLANK(F87),ISBLANK(G87)),"",IF(F87&lt;G87,E87,IF(G87&lt;F87,H87,"")))</f>
        <v>Jordania</v>
      </c>
      <c r="N87" s="65"/>
      <c r="O87" s="67" t="str" cm="1">
        <f t="array" ref="O87">H85</f>
        <v>Jordania</v>
      </c>
      <c r="P87" s="91" cm="1">
        <f t="array" ref="P87">COUNTIF(J84:J89,"="&amp;$O87)</f>
        <v>0</v>
      </c>
      <c r="Q87" s="91" cm="1">
        <f t="array" ref="Q87">COUNTIF(K84:L89,"="&amp;$O87)</f>
        <v>0</v>
      </c>
      <c r="R87" s="91" cm="1">
        <f t="array" ref="R87">COUNTIF(M84:M89,"="&amp;$O87)</f>
        <v>3</v>
      </c>
      <c r="S87" s="91" cm="1">
        <f t="array" ref="S87">T87-U87</f>
        <v>-4</v>
      </c>
      <c r="T87" s="91" cm="1">
        <f t="array" ref="T87">SUMIF(E84:E89,$O87,F84:F89)+SUMIF(H84:H89,$O87,G84:G89)</f>
        <v>2</v>
      </c>
      <c r="U87" s="91" cm="1">
        <f t="array" ref="U87">SUMIF(E84:E89,$O87,G84:G89)+SUMIF(H84:H89,$O87,F84:F89)</f>
        <v>6</v>
      </c>
      <c r="V87" s="92" cm="1">
        <f t="array" ref="V87">P87*3+Q87*1+BT87+CN87+S87/1000+T87/10000+AV87/1000000+ROW()/10000000</f>
        <v>-3.7913000000000001E-3</v>
      </c>
      <c r="W87" s="67" t="str" cm="1">
        <f t="array" ref="W87">O87</f>
        <v>Jordania</v>
      </c>
      <c r="X87" s="65"/>
      <c r="Y87" s="131" t="str" cm="1">
        <f t="array" ref="Y87">CONCATENATE("4",RIGHT(E83,1))</f>
        <v>4J</v>
      </c>
      <c r="Z87" s="132" t="str" cm="1">
        <f t="array" ref="Z87">VLOOKUP(AL87,V84:W87,2,FALSE)</f>
        <v>Jordania</v>
      </c>
      <c r="AA87" s="133" cm="1">
        <f t="array" ref="AA87">SUM(AB87:AD87)</f>
        <v>3</v>
      </c>
      <c r="AB87" s="134" cm="1">
        <f t="array" ref="AB87">_xlfn.XLOOKUP($Z87,$O1:$O108,P1:P108,"Error",0)</f>
        <v>0</v>
      </c>
      <c r="AC87" s="134" cm="1">
        <f t="array" ref="AC87">_xlfn.XLOOKUP($Z87,$O1:$O108,Q1:Q108,"Error",0)</f>
        <v>0</v>
      </c>
      <c r="AD87" s="134" cm="1">
        <f t="array" ref="AD87">_xlfn.XLOOKUP($Z87,$O1:$O108,R1:R108,"Error",0)</f>
        <v>3</v>
      </c>
      <c r="AE87" s="134" cm="1">
        <f t="array" ref="AE87">_xlfn.XLOOKUP($Z87,$O1:$O108,S1:S108,"Error",0)</f>
        <v>-4</v>
      </c>
      <c r="AF87" s="134" cm="1">
        <f t="array" ref="AF87">_xlfn.XLOOKUP($Z87,$O1:$O108,T1:T108,"Error",0)</f>
        <v>2</v>
      </c>
      <c r="AG87" s="134" cm="1">
        <f t="array" ref="AG87">_xlfn.XLOOKUP($Z87,$O1:$O108,U1:U108,"Error",0)</f>
        <v>6</v>
      </c>
      <c r="AH87" s="135" cm="1">
        <f t="array" ref="AH87">_xlfn.XLOOKUP($Z87,$O1:$O108,V1:V108,"Error",0)</f>
        <v>-3.7913000000000001E-3</v>
      </c>
      <c r="AI87" s="130"/>
      <c r="AJ87" s="74"/>
      <c r="AK87" s="74"/>
      <c r="AL87" s="99" cm="1">
        <f t="array" ref="AL87">LARGE(V84:V87,4)</f>
        <v>-3.7913000000000001E-3</v>
      </c>
      <c r="AM87" s="100" cm="1">
        <f t="array" ref="AM87">(AH87-AL87)*100000000000000000000</f>
        <v>0</v>
      </c>
      <c r="AN87" s="74"/>
      <c r="AO87" s="74"/>
      <c r="AP87" s="101" t="str" cm="1">
        <f t="array" ref="AP87">O87</f>
        <v>Jordania</v>
      </c>
      <c r="AQ87" s="102" cm="1">
        <f t="array" ref="AQ87">P87*3+Q87*1+BT87+CN87+S87/1000+T87/10000</f>
        <v>-3.8E-3</v>
      </c>
      <c r="AR87" s="65"/>
      <c r="AS87" s="103" cm="1">
        <f t="array" ref="AS87">AV87</f>
        <v>0</v>
      </c>
      <c r="AT87" s="103" cm="1">
        <f t="array" ref="AT87">IF(AND(AM88="si",OR(AR84=1,AR85=1,AR86=1)),1,0)</f>
        <v>0</v>
      </c>
      <c r="AU87" s="136" t="str" cm="1">
        <f t="array" ref="AU87">O87</f>
        <v>Jordania</v>
      </c>
      <c r="AV87" s="137"/>
      <c r="AW87" s="106"/>
      <c r="AX87" s="74" t="str" cm="1">
        <f t="array" ref="AX87">Y83</f>
        <v>Grupo J</v>
      </c>
      <c r="AY87" s="76" t="str" cm="1">
        <f t="array" ref="AY87">O87</f>
        <v>Jordania</v>
      </c>
      <c r="AZ87" s="107" cm="1">
        <f t="array" ref="AZ87">P87*3+Q87</f>
        <v>0</v>
      </c>
      <c r="BA87" s="107" cm="1">
        <f t="array" ref="BA87">COUNTIFS($AX$1:AX87,AX87,$AZ$1:AZ87,AZ87)</f>
        <v>1</v>
      </c>
      <c r="BB87" s="107" cm="1">
        <f t="array" ref="BB87">IF(AZ87=BF82,ROW()*0.001,AZ87)</f>
        <v>0</v>
      </c>
      <c r="BC87" s="107" cm="1">
        <f t="array" ref="BC87">COUNTIFS($AX$1:AZ87,AZ87,$AZ$1:BB87,BB87)</f>
        <v>8</v>
      </c>
      <c r="BD87" s="107"/>
      <c r="BE87" s="108" t="str" cm="1">
        <f t="array" ref="BE87">IF(OR(BF87="-",BI87="-",BF82=0),"-","OK")</f>
        <v>-</v>
      </c>
      <c r="BF87" s="109" t="str" cm="1">
        <f t="array" ref="BF87">IF(_xlfn.XLOOKUP($E87,$AY1:$AY108,$AZ1:$AZ108,"-",0)=BF82,$E87,"-")</f>
        <v>-</v>
      </c>
      <c r="BG87" s="110" cm="1">
        <f t="array" ref="BG87">$F87</f>
        <v>0</v>
      </c>
      <c r="BH87" s="110" cm="1">
        <f t="array" ref="BH87">$G87</f>
        <v>1</v>
      </c>
      <c r="BI87" s="109" t="str" cm="1">
        <f t="array" ref="BI87">IF(_xlfn.XLOOKUP($H87,$AY1:$AY108,$AZ1:$AZ108,"-",0)=BF82,$H87,"-")</f>
        <v>Argelia</v>
      </c>
      <c r="BJ87" s="74"/>
      <c r="BK87" s="79" t="str" cm="1">
        <f t="array" ref="BK87">O87</f>
        <v>Jordania</v>
      </c>
      <c r="BL87" s="111" cm="1">
        <f t="array" ref="BL87">COUNTIFS($BE1:$BE108,"OK",$BI1:$BI108,BK87)+COUNTIFS($BE1:$BE108,"OK",$BF1:$BF108,BK87)</f>
        <v>0</v>
      </c>
      <c r="BM87" s="112" cm="1">
        <f t="array" ref="BM87">COUNTIFS(J1:J108,$BK87,$BE1:$BE108,"OK")</f>
        <v>0</v>
      </c>
      <c r="BN87" s="112" cm="1">
        <f t="array" ref="BN87">COUNTIFS(K1:K108,$BK87,$BE1:$BE108,"OK")+COUNTIFS(L1:L108,$BK87,$BE1:$BE108,"OK")</f>
        <v>0</v>
      </c>
      <c r="BO87" s="112" cm="1">
        <f t="array" ref="BO87">COUNTIFS(M1:M108,$BK87,$BE1:$BE108,"OK")</f>
        <v>0</v>
      </c>
      <c r="BP87" s="112" cm="1">
        <f t="array" ref="BP87">BQ87-BR87</f>
        <v>0</v>
      </c>
      <c r="BQ87" s="112" cm="1">
        <f t="array" ref="BQ87">SUMIFS(BG1:BG108,$BE1:$BE108,"OK",BF1:BF108,$BK87)+SUMIFS(BH1:BH108,$BE1:$BE108,"OK",BI1:BI108,$BK87)</f>
        <v>0</v>
      </c>
      <c r="BR87" s="112" cm="1">
        <f t="array" ref="BR87">SUMIFS(BH1:BH108,$BE1:$BE108,"OK",BF1:BF108,$BK87)+SUMIFS(BG1:BG108,$BE1:$BE108,"OK",BI1:BI108,$BK87)</f>
        <v>0</v>
      </c>
      <c r="BS87" s="113" cm="1">
        <f t="array" ref="BS87">BM87*3+BN87*1+BP87/100+BQ87/10000</f>
        <v>0</v>
      </c>
      <c r="BT87" s="107" cm="1">
        <f t="array" ref="BT87">IF(BL87=0,0,_xlfn.XLOOKUP(BS87,BV84:BV87,BW84:BW87))</f>
        <v>0</v>
      </c>
      <c r="BU87" s="99"/>
      <c r="BV87" s="113" cm="1">
        <f t="array" ref="BV87">LARGE(BS84:BS87,4)</f>
        <v>0</v>
      </c>
      <c r="BW87" s="112" cm="1">
        <f t="array" ref="BW87">BX87/$BW$1</f>
        <v>0</v>
      </c>
      <c r="BX87" s="114">
        <v>0</v>
      </c>
      <c r="BY87" s="108" t="str" cm="1">
        <f t="array" ref="BY87">IF(OR(BZ87="-",CC87="-"),"-","OK")</f>
        <v>-</v>
      </c>
      <c r="BZ87" s="109" t="str" cm="1">
        <f t="array" ref="BZ87">IF(_xlfn.XLOOKUP($E87,$AY1:$AY108,$AZ1:$AZ108,"-",0)=BZ82,$E87,"-")</f>
        <v>-</v>
      </c>
      <c r="CA87" s="110" cm="1">
        <f t="array" ref="CA87">$F87</f>
        <v>0</v>
      </c>
      <c r="CB87" s="110" cm="1">
        <f t="array" ref="CB87">$G87</f>
        <v>1</v>
      </c>
      <c r="CC87" s="109" t="str" cm="1">
        <f t="array" ref="CC87">IF(_xlfn.XLOOKUP($H87,$AY1:$AY108,$AZ1:$AZ108,"-",0)=BZ82,$H87,"-")</f>
        <v>-</v>
      </c>
      <c r="CD87" s="74"/>
      <c r="CE87" s="79" t="str" cm="1">
        <f t="array" ref="CE87">BK87</f>
        <v>Jordania</v>
      </c>
      <c r="CF87" s="111" cm="1">
        <f t="array" ref="CF87">COUNTIFS($BY1:$BY108,"OK",$CC1:$CC108,CE87)+COUNTIFS($BY1:$BY108,"OK",$BZ1:$BZ108,CE87)</f>
        <v>0</v>
      </c>
      <c r="CG87" s="112" cm="1">
        <f t="array" ref="CG87">COUNTIFS(P1:P108,$BK87,$BY1:$BY108,"OK")</f>
        <v>0</v>
      </c>
      <c r="CH87" s="112" cm="1">
        <f t="array" ref="CH87">COUNTIFS(K1:K108,$BK87,$BY1:$BY108,"OK")+COUNTIFS(L1:L108,$BK87,$BY1:$BY108,"OK")</f>
        <v>0</v>
      </c>
      <c r="CI87" s="112" cm="1">
        <f t="array" ref="CI87">COUNTIFS(M1:M108,$CE87,$BY1:$BY108,"OK")</f>
        <v>0</v>
      </c>
      <c r="CJ87" s="112" cm="1">
        <f t="array" ref="CJ87">CK87-CL87</f>
        <v>0</v>
      </c>
      <c r="CK87" s="112" cm="1">
        <f t="array" ref="CK87">SUMIFS(CA1:CA108,$BY1:$BY108,"OK",BZ1:BZ108,$BK87)+SUMIFS(CB1:CB108,$BY1:$BY108,"OK",CC1:CC108,$BK87)</f>
        <v>0</v>
      </c>
      <c r="CL87" s="112" cm="1">
        <f t="array" ref="CL87">SUMIFS(CB1:CB108,$BY1:$BY108,"OK",BZ1:BZ108,$BK87)+SUMIFS(CA1:CA108,$BY1:$BY108,"OK",CC1:CC108,$BK87)</f>
        <v>0</v>
      </c>
      <c r="CM87" s="113" cm="1">
        <f t="array" ref="CM87">CG87*3+CH87*1+CJ87/100+CK87/10000</f>
        <v>0</v>
      </c>
      <c r="CN87" s="107" cm="1">
        <f t="array" ref="CN87">IF(CF87=0,0,_xlfn.XLOOKUP(CM87,CP84:CP87,CQ84:CQ87))</f>
        <v>0</v>
      </c>
      <c r="CO87" s="99"/>
      <c r="CP87" s="113" cm="1">
        <f t="array" ref="CP87">LARGE(CM84:CM87,4)</f>
        <v>0</v>
      </c>
      <c r="CQ87" s="112" cm="1">
        <f t="array" ref="CQ87">CR87/$BW$1</f>
        <v>0</v>
      </c>
      <c r="CR87" s="114">
        <v>0</v>
      </c>
      <c r="CS87" s="74"/>
      <c r="CT87" s="74"/>
      <c r="CU87" s="74"/>
      <c r="CV87" s="74"/>
      <c r="CW87" s="74"/>
      <c r="CX87" s="172"/>
    </row>
    <row r="88" spans="1:102" ht="14.25" customHeight="1">
      <c r="A88" s="85" t="s">
        <v>219</v>
      </c>
      <c r="B88" s="86">
        <v>46200</v>
      </c>
      <c r="C88" s="87"/>
      <c r="D88" s="88"/>
      <c r="E88" s="85" t="s">
        <v>91</v>
      </c>
      <c r="F88" s="89">
        <v>1</v>
      </c>
      <c r="G88" s="89">
        <v>3</v>
      </c>
      <c r="H88" s="90" t="s">
        <v>50</v>
      </c>
      <c r="I88" s="106"/>
      <c r="J88" s="74" t="str" cm="1">
        <f t="array" ref="J88">IF(OR(ISBLANK(F88),ISBLANK(G88)),"",IF(F88&gt;G88,E88,IF(G88&gt;F88,H88,"")))</f>
        <v>Argentina</v>
      </c>
      <c r="K88" s="74" t="str" cm="1">
        <f t="array" ref="K88">IF(OR(ISBLANK(F88),ISBLANK(G88)),"",IF(F88=G88,E88,""))</f>
        <v/>
      </c>
      <c r="L88" s="74" t="str" cm="1">
        <f t="array" ref="L88">IF(OR(ISBLANK(F88),ISBLANK(G88)),"",IF(F88=G88,H88,""))</f>
        <v/>
      </c>
      <c r="M88" s="74" t="str" cm="1">
        <f t="array" ref="M88">IF(OR(ISBLANK(F88),ISBLANK(G88)),"",IF(F88&lt;G88,E88,IF(G88&lt;F88,H88,"")))</f>
        <v>Jordania</v>
      </c>
      <c r="N88" s="74"/>
      <c r="O88" s="74"/>
      <c r="P88" s="74"/>
      <c r="Q88" s="74"/>
      <c r="R88" s="74"/>
      <c r="S88" s="74"/>
      <c r="T88" s="74"/>
      <c r="U88" s="74"/>
      <c r="V88" s="74"/>
      <c r="W88" s="74"/>
      <c r="X88" s="74"/>
      <c r="Y88" s="138"/>
      <c r="Z88" s="138"/>
      <c r="AA88" s="138"/>
      <c r="AB88" s="138"/>
      <c r="AC88" s="138"/>
      <c r="AD88" s="138"/>
      <c r="AE88" s="138"/>
      <c r="AF88" s="138"/>
      <c r="AG88" s="138"/>
      <c r="AH88" s="138"/>
      <c r="AI88" s="74"/>
      <c r="AJ88" s="74"/>
      <c r="AK88" s="74"/>
      <c r="AL88" s="139" t="s">
        <v>128</v>
      </c>
      <c r="AM88" s="74" t="str" cm="1">
        <f t="array" ref="AM88">IF(SUM(AA84:AA87)=12,"si","no")</f>
        <v>si</v>
      </c>
      <c r="AN88" s="74"/>
      <c r="AO88" s="74"/>
      <c r="AP88" s="74"/>
      <c r="AQ88" s="74"/>
      <c r="AR88" s="74"/>
      <c r="AS88" s="74"/>
      <c r="AT88" s="74"/>
      <c r="AU88" s="138"/>
      <c r="AV88" s="138"/>
      <c r="AW88" s="74"/>
      <c r="AX88" s="74"/>
      <c r="AY88" s="74"/>
      <c r="AZ88" s="74"/>
      <c r="BA88" s="74"/>
      <c r="BB88" s="74"/>
      <c r="BC88" s="74"/>
      <c r="BD88" s="74"/>
      <c r="BE88" s="108" t="str" cm="1">
        <f t="array" ref="BE88">IF(OR(BF88="-",BI88="-",BF82=0),"-","OK")</f>
        <v>-</v>
      </c>
      <c r="BF88" s="109" t="str" cm="1">
        <f t="array" ref="BF88">IF(_xlfn.XLOOKUP($E88,$AY1:$AY108,$AZ1:$AZ108,"-",0)=BF82,$E88,"-")</f>
        <v>-</v>
      </c>
      <c r="BG88" s="110" cm="1">
        <f t="array" ref="BG88">$F88</f>
        <v>1</v>
      </c>
      <c r="BH88" s="110" cm="1">
        <f t="array" ref="BH88">$G88</f>
        <v>3</v>
      </c>
      <c r="BI88" s="109" t="str" cm="1">
        <f t="array" ref="BI88">IF(_xlfn.XLOOKUP($H88,$AY1:$AY108,$AZ1:$AZ108,"-",0)=BF82,$H88,"-")</f>
        <v>-</v>
      </c>
      <c r="BJ88" s="74"/>
      <c r="BK88" s="74"/>
      <c r="BL88" s="74"/>
      <c r="BM88" s="74"/>
      <c r="BN88" s="74"/>
      <c r="BO88" s="74"/>
      <c r="BP88" s="74"/>
      <c r="BQ88" s="74"/>
      <c r="BR88" s="74"/>
      <c r="BS88" s="74"/>
      <c r="BT88" s="74"/>
      <c r="BU88" s="74"/>
      <c r="BV88" s="74"/>
      <c r="BW88" s="74"/>
      <c r="BX88" s="74"/>
      <c r="BY88" s="108" t="str" cm="1">
        <f t="array" ref="BY88">IF(OR(BZ88="-",CC88="-"),"-","OK")</f>
        <v>-</v>
      </c>
      <c r="BZ88" s="109" t="str" cm="1">
        <f t="array" ref="BZ88">IF(_xlfn.XLOOKUP($E88,$AY1:$AY108,$AZ1:$AZ108,"-",0)=BZ82,$E88,"-")</f>
        <v>-</v>
      </c>
      <c r="CA88" s="110" cm="1">
        <f t="array" ref="CA88">$F88</f>
        <v>1</v>
      </c>
      <c r="CB88" s="110" cm="1">
        <f t="array" ref="CB88">$G88</f>
        <v>3</v>
      </c>
      <c r="CC88" s="109" t="str" cm="1">
        <f t="array" ref="CC88">IF(_xlfn.XLOOKUP($H88,$AY1:$AY108,$AZ1:$AZ108,"-",0)=BZ82,$H88,"-")</f>
        <v>Argentina</v>
      </c>
      <c r="CD88" s="74"/>
      <c r="CE88" s="74"/>
      <c r="CF88" s="74"/>
      <c r="CG88" s="74"/>
      <c r="CH88" s="74"/>
      <c r="CI88" s="74"/>
      <c r="CJ88" s="74"/>
      <c r="CK88" s="74"/>
      <c r="CL88" s="74"/>
      <c r="CM88" s="74"/>
      <c r="CN88" s="74"/>
      <c r="CO88" s="74"/>
      <c r="CP88" s="74"/>
      <c r="CQ88" s="74"/>
      <c r="CR88" s="74"/>
      <c r="CS88" s="74"/>
      <c r="CT88" s="74"/>
      <c r="CU88" s="74"/>
      <c r="CV88" s="74"/>
      <c r="CW88" s="74"/>
      <c r="CX88" s="172"/>
    </row>
    <row r="89" spans="1:102" ht="14.25" customHeight="1">
      <c r="A89" s="85" t="s">
        <v>220</v>
      </c>
      <c r="B89" s="86">
        <v>46200</v>
      </c>
      <c r="C89" s="87"/>
      <c r="D89" s="88"/>
      <c r="E89" s="85" t="s">
        <v>74</v>
      </c>
      <c r="F89" s="89">
        <v>0</v>
      </c>
      <c r="G89" s="89">
        <v>0</v>
      </c>
      <c r="H89" s="90" t="s">
        <v>72</v>
      </c>
      <c r="I89" s="106"/>
      <c r="J89" s="74" t="str" cm="1">
        <f t="array" ref="J89">IF(OR(ISBLANK(F89),ISBLANK(G89)),"",IF(F89&gt;G89,E89,IF(G89&gt;F89,H89,"")))</f>
        <v/>
      </c>
      <c r="K89" s="74" t="str" cm="1">
        <f t="array" ref="K89">IF(OR(ISBLANK(F89),ISBLANK(G89)),"",IF(F89=G89,E89,""))</f>
        <v>Argelia</v>
      </c>
      <c r="L89" s="74" t="str" cm="1">
        <f t="array" ref="L89">IF(OR(ISBLANK(F89),ISBLANK(G89)),"",IF(F89=G89,H89,""))</f>
        <v>Austria</v>
      </c>
      <c r="M89" s="74" t="str" cm="1">
        <f t="array" ref="M89">IF(OR(ISBLANK(F89),ISBLANK(G89)),"",IF(F89&lt;G89,E89,IF(G89&lt;F89,H89,"")))</f>
        <v/>
      </c>
      <c r="N89" s="74"/>
      <c r="O89" s="74"/>
      <c r="P89" s="74"/>
      <c r="Q89" s="74"/>
      <c r="R89" s="74"/>
      <c r="S89" s="74"/>
      <c r="T89" s="74"/>
      <c r="U89" s="74"/>
      <c r="V89" s="74"/>
      <c r="W89" s="74"/>
      <c r="X89" s="74"/>
      <c r="Y89" s="140" t="s">
        <v>130</v>
      </c>
      <c r="Z89" s="74"/>
      <c r="AA89" s="74"/>
      <c r="AB89" s="74"/>
      <c r="AC89" s="74"/>
      <c r="AD89" s="74"/>
      <c r="AE89" s="74"/>
      <c r="AF89" s="74"/>
      <c r="AG89" s="74"/>
      <c r="AH89" s="74"/>
      <c r="AI89" s="74"/>
      <c r="AJ89" s="74"/>
      <c r="AK89" s="74"/>
      <c r="AL89" s="74"/>
      <c r="AM89" s="74"/>
      <c r="AN89" s="74"/>
      <c r="AO89" s="74"/>
      <c r="AP89" s="74"/>
      <c r="AQ89" s="74"/>
      <c r="AR89" s="114" cm="1">
        <f t="array" ref="AR89">IF(AND(AM88="si",OR(AR84=1,AR85=1,AR86=1)),1,0)</f>
        <v>0</v>
      </c>
      <c r="AS89" s="74"/>
      <c r="AT89" s="74"/>
      <c r="AU89" s="74"/>
      <c r="AV89" s="74"/>
      <c r="AW89" s="74"/>
      <c r="AX89" s="74"/>
      <c r="AY89" s="74"/>
      <c r="AZ89" s="74"/>
      <c r="BA89" s="74"/>
      <c r="BB89" s="74"/>
      <c r="BC89" s="74"/>
      <c r="BD89" s="74"/>
      <c r="BE89" s="108" t="str" cm="1">
        <f t="array" ref="BE89">IF(OR(BF89="-",BI89="-",BF82=0),"-","OK")</f>
        <v>OK</v>
      </c>
      <c r="BF89" s="109" t="str" cm="1">
        <f t="array" ref="BF89">IF(_xlfn.XLOOKUP($E89,$AY1:$AY108,$AZ1:$AZ108,"-",0)=BF82,$E89,"-")</f>
        <v>Argelia</v>
      </c>
      <c r="BG89" s="110" cm="1">
        <f t="array" ref="BG89">$F89</f>
        <v>0</v>
      </c>
      <c r="BH89" s="110" cm="1">
        <f t="array" ref="BH89">$G89</f>
        <v>0</v>
      </c>
      <c r="BI89" s="109" t="str" cm="1">
        <f t="array" ref="BI89">IF(_xlfn.XLOOKUP($H89,$AY1:$AY108,$AZ1:$AZ108,"-",0)=BF82,$H89,"-")</f>
        <v>Austria</v>
      </c>
      <c r="BJ89" s="74"/>
      <c r="BK89" s="74"/>
      <c r="BL89" s="74"/>
      <c r="BM89" s="74"/>
      <c r="BN89" s="74"/>
      <c r="BO89" s="74"/>
      <c r="BP89" s="74"/>
      <c r="BQ89" s="74"/>
      <c r="BR89" s="74"/>
      <c r="BS89" s="74"/>
      <c r="BT89" s="74"/>
      <c r="BU89" s="74"/>
      <c r="BV89" s="74"/>
      <c r="BW89" s="74"/>
      <c r="BX89" s="74"/>
      <c r="BY89" s="108" t="str" cm="1">
        <f t="array" ref="BY89">IF(OR(BZ89="-",CC89="-"),"-","OK")</f>
        <v>-</v>
      </c>
      <c r="BZ89" s="109" t="str" cm="1">
        <f t="array" ref="BZ89">IF(_xlfn.XLOOKUP($E89,$AY1:$AY108,$AZ1:$AZ108,"-",0)=BZ82,$E89,"-")</f>
        <v>-</v>
      </c>
      <c r="CA89" s="110" cm="1">
        <f t="array" ref="CA89">$F89</f>
        <v>0</v>
      </c>
      <c r="CB89" s="110" cm="1">
        <f t="array" ref="CB89">$G89</f>
        <v>0</v>
      </c>
      <c r="CC89" s="109" t="str" cm="1">
        <f t="array" ref="CC89">IF(_xlfn.XLOOKUP($H89,$AY1:$AY108,$AZ1:$AZ108,"-",0)=BZ82,$H89,"-")</f>
        <v>-</v>
      </c>
      <c r="CD89" s="74"/>
      <c r="CE89" s="74"/>
      <c r="CF89" s="74"/>
      <c r="CG89" s="74"/>
      <c r="CH89" s="74"/>
      <c r="CI89" s="74"/>
      <c r="CJ89" s="74"/>
      <c r="CK89" s="74"/>
      <c r="CL89" s="74"/>
      <c r="CM89" s="74"/>
      <c r="CN89" s="74"/>
      <c r="CO89" s="74"/>
      <c r="CP89" s="74"/>
      <c r="CQ89" s="74"/>
      <c r="CR89" s="74"/>
      <c r="CS89" s="74"/>
      <c r="CT89" s="74"/>
      <c r="CU89" s="74"/>
      <c r="CV89" s="74"/>
      <c r="CW89" s="74"/>
      <c r="CX89" s="172"/>
    </row>
    <row r="90" spans="1:102" ht="14.25" customHeight="1">
      <c r="A90" s="141"/>
      <c r="B90" s="142"/>
      <c r="C90" s="143"/>
      <c r="D90" s="144"/>
      <c r="E90" s="145"/>
      <c r="F90" s="143"/>
      <c r="G90" s="143"/>
      <c r="H90" s="146"/>
      <c r="I90" s="78"/>
      <c r="J90" s="77"/>
      <c r="K90" s="77"/>
      <c r="L90" s="77"/>
      <c r="M90" s="77"/>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78"/>
      <c r="AZ90" s="78"/>
      <c r="BA90" s="78"/>
      <c r="BB90" s="78"/>
      <c r="BC90" s="78"/>
      <c r="BD90" s="78"/>
      <c r="BE90" s="77"/>
      <c r="BF90" s="144"/>
      <c r="BG90" s="144"/>
      <c r="BH90" s="144"/>
      <c r="BI90" s="144"/>
      <c r="BJ90" s="78"/>
      <c r="BK90" s="78"/>
      <c r="BL90" s="78"/>
      <c r="BM90" s="78"/>
      <c r="BN90" s="78"/>
      <c r="BO90" s="78"/>
      <c r="BP90" s="78"/>
      <c r="BQ90" s="78"/>
      <c r="BR90" s="78"/>
      <c r="BS90" s="78"/>
      <c r="BT90" s="78"/>
      <c r="BU90" s="78"/>
      <c r="BV90" s="78"/>
      <c r="BW90" s="78"/>
      <c r="BX90" s="78"/>
      <c r="BY90" s="78"/>
      <c r="BZ90" s="144"/>
      <c r="CA90" s="144"/>
      <c r="CB90" s="144"/>
      <c r="CC90" s="144"/>
      <c r="CD90" s="78"/>
      <c r="CE90" s="78"/>
      <c r="CF90" s="78"/>
      <c r="CG90" s="78"/>
      <c r="CH90" s="78"/>
      <c r="CI90" s="78"/>
      <c r="CJ90" s="78"/>
      <c r="CK90" s="78"/>
      <c r="CL90" s="78"/>
      <c r="CM90" s="78"/>
      <c r="CN90" s="78"/>
      <c r="CO90" s="78"/>
      <c r="CP90" s="78"/>
      <c r="CQ90" s="78"/>
      <c r="CR90" s="78"/>
      <c r="CS90" s="78"/>
      <c r="CT90" s="78"/>
      <c r="CU90" s="78"/>
      <c r="CV90" s="78"/>
      <c r="CW90" s="77"/>
      <c r="CX90" s="174"/>
    </row>
    <row r="91" spans="1:102" ht="14.25" customHeight="1">
      <c r="A91" s="150"/>
      <c r="B91" s="144"/>
      <c r="C91" s="144"/>
      <c r="D91" s="144"/>
      <c r="E91" s="144"/>
      <c r="F91" s="144"/>
      <c r="G91" s="144"/>
      <c r="H91" s="144"/>
      <c r="I91" s="138"/>
      <c r="J91" s="138"/>
      <c r="K91" s="138"/>
      <c r="L91" s="138"/>
      <c r="M91" s="138"/>
      <c r="N91" s="138"/>
      <c r="O91" s="138"/>
      <c r="P91" s="138"/>
      <c r="Q91" s="138"/>
      <c r="R91" s="138"/>
      <c r="S91" s="138"/>
      <c r="T91" s="138"/>
      <c r="U91" s="138"/>
      <c r="V91" s="138"/>
      <c r="W91" s="138"/>
      <c r="X91" s="138"/>
      <c r="Y91" s="144"/>
      <c r="Z91" s="144"/>
      <c r="AA91" s="144"/>
      <c r="AB91" s="144"/>
      <c r="AC91" s="144"/>
      <c r="AD91" s="144"/>
      <c r="AE91" s="144"/>
      <c r="AF91" s="144"/>
      <c r="AG91" s="144"/>
      <c r="AH91" s="144"/>
      <c r="AI91" s="138"/>
      <c r="AJ91" s="138"/>
      <c r="AK91" s="138"/>
      <c r="AL91" s="138"/>
      <c r="AM91" s="138"/>
      <c r="AN91" s="138"/>
      <c r="AO91" s="138"/>
      <c r="AP91" s="138"/>
      <c r="AQ91" s="138"/>
      <c r="AR91" s="138"/>
      <c r="AS91" s="138"/>
      <c r="AT91" s="138"/>
      <c r="AU91" s="138"/>
      <c r="AV91" s="138"/>
      <c r="AW91" s="138"/>
      <c r="AX91" s="138"/>
      <c r="AY91" s="138"/>
      <c r="AZ91" s="138"/>
      <c r="BA91" s="138"/>
      <c r="BB91" s="138"/>
      <c r="BC91" s="138"/>
      <c r="BD91" s="138"/>
      <c r="BE91" s="138"/>
      <c r="BF91" s="151" cm="1">
        <f t="array" ref="BF91">IF(BA93&gt;1,AZ93,IF(BA94&gt;1,AZ94,IF(BA95&gt;1,AZ95,IF(BA96&gt;1,AZ96,"-"))))</f>
        <v>1</v>
      </c>
      <c r="BG91" s="138"/>
      <c r="BH91" s="138"/>
      <c r="BI91" s="138"/>
      <c r="BJ91" s="138"/>
      <c r="BK91" s="138"/>
      <c r="BL91" s="138"/>
      <c r="BM91" s="138"/>
      <c r="BN91" s="138"/>
      <c r="BO91" s="138"/>
      <c r="BP91" s="138"/>
      <c r="BQ91" s="138"/>
      <c r="BR91" s="138"/>
      <c r="BS91" s="138"/>
      <c r="BT91" s="138"/>
      <c r="BU91" s="138"/>
      <c r="BV91" s="138"/>
      <c r="BW91" s="152">
        <v>10</v>
      </c>
      <c r="BX91" s="138"/>
      <c r="BY91" s="138"/>
      <c r="BZ91" s="153" cm="1">
        <f t="array" ref="BZ91">IF(BC93&gt;1,BB93,IF(BC94&gt;1,BB94,IF(BC95&gt;1,BB95,IF(BC96&gt;1,BB96,"-"))))</f>
        <v>7</v>
      </c>
      <c r="CA91" s="138"/>
      <c r="CB91" s="138"/>
      <c r="CC91" s="138"/>
      <c r="CD91" s="138"/>
      <c r="CE91" s="138"/>
      <c r="CF91" s="138"/>
      <c r="CG91" s="138"/>
      <c r="CH91" s="138"/>
      <c r="CI91" s="138"/>
      <c r="CJ91" s="138"/>
      <c r="CK91" s="138"/>
      <c r="CL91" s="138"/>
      <c r="CM91" s="138"/>
      <c r="CN91" s="138"/>
      <c r="CO91" s="138"/>
      <c r="CP91" s="138"/>
      <c r="CQ91" s="152">
        <v>10</v>
      </c>
      <c r="CR91" s="138"/>
      <c r="CS91" s="138"/>
      <c r="CT91" s="138"/>
      <c r="CU91" s="138"/>
      <c r="CV91" s="138"/>
      <c r="CW91" s="138"/>
      <c r="CX91" s="175"/>
    </row>
    <row r="92" spans="1:102" ht="14.25" customHeight="1">
      <c r="A92" s="254" t="s">
        <v>101</v>
      </c>
      <c r="B92" s="255" t="s">
        <v>102</v>
      </c>
      <c r="C92" s="255" t="s">
        <v>103</v>
      </c>
      <c r="D92" s="256"/>
      <c r="E92" s="257" t="s">
        <v>221</v>
      </c>
      <c r="F92" s="258"/>
      <c r="G92" s="258"/>
      <c r="H92" s="259"/>
      <c r="I92" s="65"/>
      <c r="J92" s="66" t="s">
        <v>105</v>
      </c>
      <c r="K92" s="66" t="s">
        <v>106</v>
      </c>
      <c r="L92" s="66" t="s">
        <v>106</v>
      </c>
      <c r="M92" s="66" t="s">
        <v>107</v>
      </c>
      <c r="N92" s="65"/>
      <c r="O92" s="67" t="str" cm="1">
        <f t="array" ref="O92">E92</f>
        <v>Grupo K</v>
      </c>
      <c r="P92" s="68" t="s">
        <v>105</v>
      </c>
      <c r="Q92" s="68" t="s">
        <v>106</v>
      </c>
      <c r="R92" s="68" t="s">
        <v>107</v>
      </c>
      <c r="S92" s="68" t="s">
        <v>108</v>
      </c>
      <c r="T92" s="68" t="s">
        <v>109</v>
      </c>
      <c r="U92" s="68" t="s">
        <v>110</v>
      </c>
      <c r="V92" s="68" t="s">
        <v>0</v>
      </c>
      <c r="W92" s="69"/>
      <c r="X92" s="65"/>
      <c r="Y92" s="770" t="s">
        <v>221</v>
      </c>
      <c r="Z92" s="771"/>
      <c r="AA92" s="260" t="s">
        <v>111</v>
      </c>
      <c r="AB92" s="261" t="s">
        <v>105</v>
      </c>
      <c r="AC92" s="261" t="s">
        <v>106</v>
      </c>
      <c r="AD92" s="261" t="s">
        <v>107</v>
      </c>
      <c r="AE92" s="261" t="s">
        <v>108</v>
      </c>
      <c r="AF92" s="261" t="s">
        <v>109</v>
      </c>
      <c r="AG92" s="261" t="s">
        <v>110</v>
      </c>
      <c r="AH92" s="262" t="s">
        <v>0</v>
      </c>
      <c r="AI92" s="234"/>
      <c r="AJ92" s="74"/>
      <c r="AK92" s="74"/>
      <c r="AL92" s="75" t="s">
        <v>0</v>
      </c>
      <c r="AM92" s="75" t="s">
        <v>112</v>
      </c>
      <c r="AN92" s="76"/>
      <c r="AO92" s="76"/>
      <c r="AP92" s="76"/>
      <c r="AQ92" s="76"/>
      <c r="AR92" s="76"/>
      <c r="AS92" s="76"/>
      <c r="AT92" s="76"/>
      <c r="AU92" s="77"/>
      <c r="AV92" s="78"/>
      <c r="AW92" s="74"/>
      <c r="AX92" s="74"/>
      <c r="AY92" s="75" t="s">
        <v>113</v>
      </c>
      <c r="AZ92" s="75" t="s">
        <v>0</v>
      </c>
      <c r="BA92" s="75" t="s">
        <v>114</v>
      </c>
      <c r="BB92" s="76"/>
      <c r="BC92" s="76"/>
      <c r="BD92" s="76"/>
      <c r="BE92" s="74"/>
      <c r="BF92" s="78"/>
      <c r="BG92" s="78"/>
      <c r="BH92" s="78"/>
      <c r="BI92" s="78"/>
      <c r="BJ92" s="74"/>
      <c r="BK92" s="79"/>
      <c r="BL92" s="80" t="s">
        <v>111</v>
      </c>
      <c r="BM92" s="75" t="s">
        <v>105</v>
      </c>
      <c r="BN92" s="75" t="s">
        <v>106</v>
      </c>
      <c r="BO92" s="75" t="s">
        <v>107</v>
      </c>
      <c r="BP92" s="75" t="s">
        <v>108</v>
      </c>
      <c r="BQ92" s="75" t="s">
        <v>109</v>
      </c>
      <c r="BR92" s="75" t="s">
        <v>110</v>
      </c>
      <c r="BS92" s="75" t="s">
        <v>0</v>
      </c>
      <c r="BT92" s="75" t="s">
        <v>115</v>
      </c>
      <c r="BU92" s="76"/>
      <c r="BV92" s="75" t="s">
        <v>116</v>
      </c>
      <c r="BW92" s="75" t="s">
        <v>115</v>
      </c>
      <c r="BX92" s="74"/>
      <c r="BY92" s="74"/>
      <c r="BZ92" s="78"/>
      <c r="CA92" s="78"/>
      <c r="CB92" s="78"/>
      <c r="CC92" s="78"/>
      <c r="CD92" s="74"/>
      <c r="CE92" s="79"/>
      <c r="CF92" s="80" t="s">
        <v>111</v>
      </c>
      <c r="CG92" s="75" t="s">
        <v>105</v>
      </c>
      <c r="CH92" s="75" t="s">
        <v>106</v>
      </c>
      <c r="CI92" s="75" t="s">
        <v>107</v>
      </c>
      <c r="CJ92" s="75" t="s">
        <v>108</v>
      </c>
      <c r="CK92" s="75" t="s">
        <v>109</v>
      </c>
      <c r="CL92" s="75" t="s">
        <v>110</v>
      </c>
      <c r="CM92" s="75" t="s">
        <v>0</v>
      </c>
      <c r="CN92" s="75" t="s">
        <v>115</v>
      </c>
      <c r="CO92" s="76"/>
      <c r="CP92" s="75" t="s">
        <v>116</v>
      </c>
      <c r="CQ92" s="75" t="s">
        <v>115</v>
      </c>
      <c r="CR92" s="74"/>
      <c r="CS92" s="74"/>
      <c r="CT92" s="74"/>
      <c r="CU92" s="74"/>
      <c r="CV92" s="74"/>
      <c r="CW92" s="74"/>
      <c r="CX92" s="172"/>
    </row>
    <row r="93" spans="1:102" ht="14.25" customHeight="1">
      <c r="A93" s="85" t="s">
        <v>222</v>
      </c>
      <c r="B93" s="86">
        <v>46190</v>
      </c>
      <c r="C93" s="87"/>
      <c r="D93" s="88"/>
      <c r="E93" s="85" t="s">
        <v>52</v>
      </c>
      <c r="F93" s="89">
        <v>3</v>
      </c>
      <c r="G93" s="89">
        <v>0</v>
      </c>
      <c r="H93" s="90" t="s">
        <v>87</v>
      </c>
      <c r="I93" s="65"/>
      <c r="J93" s="65" t="str" cm="1">
        <f t="array" ref="J93">IF(OR(ISBLANK(F93),ISBLANK(G93)),"",IF(F93&gt;G93,E93,IF(G93&gt;F93,H93,"")))</f>
        <v>Portugal</v>
      </c>
      <c r="K93" s="65" t="str" cm="1">
        <f t="array" ref="K93">IF(OR(ISBLANK(F93),ISBLANK(G93)),"",IF(F93=G93,E93,""))</f>
        <v/>
      </c>
      <c r="L93" s="65" t="str" cm="1">
        <f t="array" ref="L93">IF(OR(ISBLANK(F93),ISBLANK(G93)),"",IF(F93=G93,H93,""))</f>
        <v/>
      </c>
      <c r="M93" s="65" t="str" cm="1">
        <f t="array" ref="M93">IF(OR(ISBLANK(F93),ISBLANK(G93)),"",IF(F93&lt;G93,E93,IF(G93&lt;F93,H93,"")))</f>
        <v>Congo</v>
      </c>
      <c r="N93" s="65"/>
      <c r="O93" s="67" t="str" cm="1">
        <f t="array" ref="O93">E93</f>
        <v>Portugal</v>
      </c>
      <c r="P93" s="91" cm="1">
        <f t="array" ref="P93">COUNTIF(J93:J98,"="&amp;$O93)</f>
        <v>2</v>
      </c>
      <c r="Q93" s="91" cm="1">
        <f t="array" ref="Q93">COUNTIF(K93:L98,"="&amp;$O93)</f>
        <v>1</v>
      </c>
      <c r="R93" s="91" cm="1">
        <f t="array" ref="R93">COUNTIF(M93:M98,"="&amp;$O93)</f>
        <v>0</v>
      </c>
      <c r="S93" s="91" cm="1">
        <f t="array" ref="S93">T93-U93</f>
        <v>6</v>
      </c>
      <c r="T93" s="91" cm="1">
        <f t="array" ref="T93">SUMIF(E93:E98,$O93,F93:F98)+SUMIF(H93:H98,$O93,G93:G98)</f>
        <v>7</v>
      </c>
      <c r="U93" s="91" cm="1">
        <f t="array" ref="U93">SUMIF(E93:E98,$O93,G93:G98)+SUMIF(H93:H98,$O93,F93:F98)</f>
        <v>1</v>
      </c>
      <c r="V93" s="92" cm="1">
        <f t="array" ref="V93">P93*3+Q93*1+BT93+CN93+S93/1000+T93/10000+AV93/1000000+ROW()/10000000</f>
        <v>7.3067093000000005</v>
      </c>
      <c r="W93" s="67" t="str" cm="1">
        <f t="array" ref="W93">O93</f>
        <v>Portugal</v>
      </c>
      <c r="X93" s="65"/>
      <c r="Y93" s="93" t="str" cm="1">
        <f t="array" ref="Y93">CONCATENATE("1",RIGHT(E92,1))</f>
        <v>1K</v>
      </c>
      <c r="Z93" s="94" t="str" cm="1">
        <f t="array" ref="Z93">VLOOKUP(AL93,V93:W96,2,FALSE)</f>
        <v>Portugal</v>
      </c>
      <c r="AA93" s="95" cm="1">
        <f t="array" ref="AA93">SUM(AB93:AD93)</f>
        <v>3</v>
      </c>
      <c r="AB93" s="96" cm="1">
        <f t="array" ref="AB93">_xlfn.XLOOKUP($Z93,$O1:$O108,P1:P108,"Error",0)</f>
        <v>2</v>
      </c>
      <c r="AC93" s="96" cm="1">
        <f t="array" ref="AC93">_xlfn.XLOOKUP($Z93,$O1:$O108,Q1:Q108,"Error",0)</f>
        <v>1</v>
      </c>
      <c r="AD93" s="96" cm="1">
        <f t="array" ref="AD93">_xlfn.XLOOKUP($Z93,$O1:$O108,R1:R108,"Error",0)</f>
        <v>0</v>
      </c>
      <c r="AE93" s="96" cm="1">
        <f t="array" ref="AE93">_xlfn.XLOOKUP($Z93,$O1:$O108,S1:S108,"Error",0)</f>
        <v>6</v>
      </c>
      <c r="AF93" s="96" cm="1">
        <f t="array" ref="AF93">_xlfn.XLOOKUP($Z93,$O1:$O108,T1:T108,"Error",0)</f>
        <v>7</v>
      </c>
      <c r="AG93" s="96" cm="1">
        <f t="array" ref="AG93">_xlfn.XLOOKUP($Z93,$O1:$O108,U1:U108,"Error",0)</f>
        <v>1</v>
      </c>
      <c r="AH93" s="97" cm="1">
        <f t="array" ref="AH93">_xlfn.XLOOKUP($Z93,$O1:$O108,V1:V108,"Error",0)</f>
        <v>7.3067093000000005</v>
      </c>
      <c r="AI93" s="98"/>
      <c r="AJ93" s="74"/>
      <c r="AK93" s="74"/>
      <c r="AL93" s="99" cm="1">
        <f t="array" ref="AL93">LARGE(V93:V96,1)</f>
        <v>7.3067093000000005</v>
      </c>
      <c r="AM93" s="100" cm="1">
        <f t="array" ref="AM93">(AH93-AL93)*100000000000000000000</f>
        <v>0</v>
      </c>
      <c r="AN93" s="74"/>
      <c r="AO93" s="74"/>
      <c r="AP93" s="101" t="str" cm="1">
        <f t="array" ref="AP93">O93</f>
        <v>Portugal</v>
      </c>
      <c r="AQ93" s="102" cm="1">
        <f t="array" ref="AQ93">P93*3+Q93*1+BT93+CN93+S93/1000+T93/10000</f>
        <v>7.3067000000000002</v>
      </c>
      <c r="AR93" s="102" t="b" cm="1">
        <f t="array" ref="AR93">IF(OR(AQ93=AQ94,AQ93=AQ95,AQ93=AQ96),1)</f>
        <v>0</v>
      </c>
      <c r="AS93" s="103" cm="1">
        <f t="array" ref="AS93">AV93</f>
        <v>0</v>
      </c>
      <c r="AT93" s="103" cm="1">
        <f t="array" ref="AT93">IF(AND(AM97="si",OR(AR93=1,AR94=1,AR95=1)),1,0)</f>
        <v>0</v>
      </c>
      <c r="AU93" s="104" t="str" cm="1">
        <f t="array" ref="AU93">O93</f>
        <v>Portugal</v>
      </c>
      <c r="AV93" s="105"/>
      <c r="AW93" s="106"/>
      <c r="AX93" s="74" t="str" cm="1">
        <f t="array" ref="AX93">Y92</f>
        <v>Grupo K</v>
      </c>
      <c r="AY93" s="76" t="str" cm="1">
        <f t="array" ref="AY93">O93</f>
        <v>Portugal</v>
      </c>
      <c r="AZ93" s="107" cm="1">
        <f t="array" ref="AZ93">P93*3+Q93</f>
        <v>7</v>
      </c>
      <c r="BA93" s="107" cm="1">
        <f t="array" ref="BA93">COUNTIFS($AX$1:AX93,AX93,$AZ$1:AZ93,AZ93)</f>
        <v>1</v>
      </c>
      <c r="BB93" s="107" cm="1">
        <f t="array" ref="BB93">IF(AZ93=BF91,ROW()*0.001,AZ93)</f>
        <v>7</v>
      </c>
      <c r="BC93" s="107" cm="1">
        <f t="array" ref="BC93">COUNTIFS($AX$1:AZ93,AZ93,$AZ$1:BB93,BB93)</f>
        <v>4</v>
      </c>
      <c r="BD93" s="107"/>
      <c r="BE93" s="108" t="str" cm="1">
        <f t="array" ref="BE93">IF(OR(BF93="-",BI93="-",BF91=0),"-","OK")</f>
        <v>-</v>
      </c>
      <c r="BF93" s="109" t="str" cm="1">
        <f t="array" ref="BF93">IF(_xlfn.XLOOKUP($E93,$AY1:$AY108,$AZ1:$AZ108,"-",0)=BF91,$E93,"-")</f>
        <v>-</v>
      </c>
      <c r="BG93" s="110" cm="1">
        <f t="array" ref="BG93">$F93</f>
        <v>3</v>
      </c>
      <c r="BH93" s="110" cm="1">
        <f t="array" ref="BH93">$G93</f>
        <v>0</v>
      </c>
      <c r="BI93" s="109" t="str" cm="1">
        <f t="array" ref="BI93">IF(_xlfn.XLOOKUP($H93,$AY1:$AY108,$AZ1:$AZ108,"-",0)=BF91,$H93,"-")</f>
        <v>Congo</v>
      </c>
      <c r="BJ93" s="74"/>
      <c r="BK93" s="79" t="str" cm="1">
        <f t="array" ref="BK93">O93</f>
        <v>Portugal</v>
      </c>
      <c r="BL93" s="111" cm="1">
        <f t="array" ref="BL93">COUNTIFS($BE1:$BE108,"OK",$BI1:$BI108,BK93)+COUNTIFS($BE1:$BE108,"OK",$BF1:$BF108,BK93)</f>
        <v>0</v>
      </c>
      <c r="BM93" s="112" cm="1">
        <f t="array" ref="BM93">COUNTIFS(J1:J108,$BK93,$BE1:$BE108,"OK")</f>
        <v>0</v>
      </c>
      <c r="BN93" s="112" cm="1">
        <f t="array" ref="BN93">COUNTIFS(K1:K108,$BK93,$BE1:$BE108,"OK")+COUNTIFS(L1:L108,$BK93,$BE1:$BE108,"OK")</f>
        <v>0</v>
      </c>
      <c r="BO93" s="112" cm="1">
        <f t="array" ref="BO93">COUNTIFS(M1:M108,$BK93,$BE1:$BE108,"OK")</f>
        <v>0</v>
      </c>
      <c r="BP93" s="112" cm="1">
        <f t="array" ref="BP93">BQ93-BR93</f>
        <v>0</v>
      </c>
      <c r="BQ93" s="112" cm="1">
        <f t="array" ref="BQ93">SUMIFS(BG1:BG108,$BE1:$BE108,"OK",BF1:BF108,$BK93)+SUMIFS(BH1:BH108,$BE1:$BE108,"OK",BI1:BI108,$BK93)</f>
        <v>0</v>
      </c>
      <c r="BR93" s="112" cm="1">
        <f t="array" ref="BR93">SUMIFS(BH1:BH108,$BE1:$BE108,"OK",BF1:BF108,$BK93)+SUMIFS(BG1:BG108,$BE1:$BE108,"OK",BI1:BI108,$BK93)</f>
        <v>0</v>
      </c>
      <c r="BS93" s="113" cm="1">
        <f t="array" ref="BS93">BM93*3+BN93*1+BP93/100+BQ93/10000</f>
        <v>0</v>
      </c>
      <c r="BT93" s="107" cm="1">
        <f t="array" ref="BT93">IF(BL93=0,0,_xlfn.XLOOKUP(BS93,BV93:BV96,BW93:BW96))</f>
        <v>0</v>
      </c>
      <c r="BU93" s="99"/>
      <c r="BV93" s="113" cm="1">
        <f t="array" ref="BV93">LARGE(BS93:BS96,1)</f>
        <v>1.0001</v>
      </c>
      <c r="BW93" s="112" cm="1">
        <f t="array" ref="BW93">BX93/$BW$1</f>
        <v>0.3</v>
      </c>
      <c r="BX93" s="114">
        <v>3</v>
      </c>
      <c r="BY93" s="108" t="str" cm="1">
        <f t="array" ref="BY93">IF(OR(BZ93="-",CC93="-"),"-","OK")</f>
        <v>-</v>
      </c>
      <c r="BZ93" s="109" t="str" cm="1">
        <f t="array" ref="BZ93">IF(_xlfn.XLOOKUP($E93,$AY1:$AY108,$AZ1:$AZ108,"-",0)=BZ91,$E93,"-")</f>
        <v>Portugal</v>
      </c>
      <c r="CA93" s="110" cm="1">
        <f t="array" ref="CA93">$F93</f>
        <v>3</v>
      </c>
      <c r="CB93" s="110" cm="1">
        <f t="array" ref="CB93">$G93</f>
        <v>0</v>
      </c>
      <c r="CC93" s="109" t="str" cm="1">
        <f t="array" ref="CC93">IF(_xlfn.XLOOKUP($H93,$AY1:$AY108,$AZ1:$AZ108,"-",0)=BZ91,$H93,"-")</f>
        <v>-</v>
      </c>
      <c r="CD93" s="74"/>
      <c r="CE93" s="79" t="str" cm="1">
        <f t="array" ref="CE93">BK93</f>
        <v>Portugal</v>
      </c>
      <c r="CF93" s="111" cm="1">
        <f t="array" ref="CF93">COUNTIFS($BY1:$BY108,"OK",$CC1:$CC108,CE93)+COUNTIFS($BY1:$BY108,"OK",$BZ1:$BZ108,CE93)</f>
        <v>1</v>
      </c>
      <c r="CG93" s="112" cm="1">
        <f t="array" ref="CG93">COUNTIFS(P1:P108,$BK93,$BY1:$BY108,"OK")</f>
        <v>0</v>
      </c>
      <c r="CH93" s="112" cm="1">
        <f t="array" ref="CH93">COUNTIFS(K1:K108,$BK93,$BY1:$BY108,"OK")+COUNTIFS(L1:L108,$BK93,$BY1:$BY108,"OK")</f>
        <v>1</v>
      </c>
      <c r="CI93" s="112" cm="1">
        <f t="array" ref="CI93">COUNTIFS(M1:M108,$CE93,$BY1:$BY108,"OK")</f>
        <v>0</v>
      </c>
      <c r="CJ93" s="112" cm="1">
        <f t="array" ref="CJ93">CK93-CL93</f>
        <v>0</v>
      </c>
      <c r="CK93" s="112" cm="1">
        <f t="array" ref="CK93">SUMIFS(CA1:CA108,$BY1:$BY108,"OK",BZ1:BZ108,$BK93)+SUMIFS(CB1:CB108,$BY1:$BY108,"OK",CC1:CC108,$BK93)</f>
        <v>1</v>
      </c>
      <c r="CL93" s="112" cm="1">
        <f t="array" ref="CL93">SUMIFS(CB1:CB108,$BY1:$BY108,"OK",BZ1:BZ108,$BK93)+SUMIFS(CA1:CA108,$BY1:$BY108,"OK",CC1:CC108,$BK93)</f>
        <v>1</v>
      </c>
      <c r="CM93" s="113" cm="1">
        <f t="array" ref="CM93">CG93*3+CH93*1+CJ93/100+CK93/10000</f>
        <v>1.0001</v>
      </c>
      <c r="CN93" s="107" cm="1">
        <f t="array" ref="CN93">IF(CF93=0,0,_xlfn.XLOOKUP(CM93,CP93:CP96,CQ93:CQ96))</f>
        <v>0.3</v>
      </c>
      <c r="CO93" s="99"/>
      <c r="CP93" s="113" cm="1">
        <f t="array" ref="CP93">LARGE(CM93:CM96,1)</f>
        <v>1.0001</v>
      </c>
      <c r="CQ93" s="112" cm="1">
        <f t="array" ref="CQ93">CR93/$BW$1</f>
        <v>0.3</v>
      </c>
      <c r="CR93" s="114">
        <v>3</v>
      </c>
      <c r="CS93" s="74"/>
      <c r="CT93" s="74"/>
      <c r="CU93" s="74"/>
      <c r="CV93" s="74"/>
      <c r="CW93" s="74"/>
      <c r="CX93" s="172"/>
    </row>
    <row r="94" spans="1:102" ht="14.25" customHeight="1">
      <c r="A94" s="85" t="s">
        <v>224</v>
      </c>
      <c r="B94" s="86">
        <v>46190</v>
      </c>
      <c r="C94" s="87"/>
      <c r="D94" s="88"/>
      <c r="E94" s="85" t="s">
        <v>88</v>
      </c>
      <c r="F94" s="89">
        <v>0</v>
      </c>
      <c r="G94" s="89">
        <v>2</v>
      </c>
      <c r="H94" s="90" t="s">
        <v>60</v>
      </c>
      <c r="I94" s="65"/>
      <c r="J94" s="65" t="str" cm="1">
        <f t="array" ref="J94">IF(OR(ISBLANK(F94),ISBLANK(G94)),"",IF(F94&gt;G94,E94,IF(G94&gt;F94,H94,"")))</f>
        <v>Colombia</v>
      </c>
      <c r="K94" s="65" t="str" cm="1">
        <f t="array" ref="K94">IF(OR(ISBLANK(F94),ISBLANK(G94)),"",IF(F94=G94,E94,""))</f>
        <v/>
      </c>
      <c r="L94" s="65" t="str" cm="1">
        <f t="array" ref="L94">IF(OR(ISBLANK(F94),ISBLANK(G94)),"",IF(F94=G94,H94,""))</f>
        <v/>
      </c>
      <c r="M94" s="65" t="str" cm="1">
        <f t="array" ref="M94">IF(OR(ISBLANK(F94),ISBLANK(G94)),"",IF(F94&lt;G94,E94,IF(G94&lt;F94,H94,"")))</f>
        <v>Uzbekistan</v>
      </c>
      <c r="N94" s="65"/>
      <c r="O94" s="67" t="str" cm="1">
        <f t="array" ref="O94">H93</f>
        <v>Congo</v>
      </c>
      <c r="P94" s="91" cm="1">
        <f t="array" ref="P94">COUNTIF(J93:J98,"="&amp;$O94)</f>
        <v>0</v>
      </c>
      <c r="Q94" s="91" cm="1">
        <f t="array" ref="Q94">COUNTIF(K93:L98,"="&amp;$O94)</f>
        <v>1</v>
      </c>
      <c r="R94" s="91" cm="1">
        <f t="array" ref="R94">COUNTIF(M93:M98,"="&amp;$O94)</f>
        <v>2</v>
      </c>
      <c r="S94" s="91" cm="1">
        <f t="array" ref="S94">T94-U94</f>
        <v>-5</v>
      </c>
      <c r="T94" s="91" cm="1">
        <f t="array" ref="T94">SUMIF(E93:E98,$O94,F93:F98)+SUMIF(H93:H98,$O94,G93:G98)</f>
        <v>2</v>
      </c>
      <c r="U94" s="91" cm="1">
        <f t="array" ref="U94">SUMIF(E93:E98,$O94,G93:G98)+SUMIF(H93:H98,$O94,F93:F98)</f>
        <v>7</v>
      </c>
      <c r="V94" s="92" cm="1">
        <f t="array" ref="V94">P94*3+Q94*1+BT94+CN94+S94/1000+T94/10000+AV94/1000000+ROW()/10000000</f>
        <v>1.2952094000000001</v>
      </c>
      <c r="W94" s="67" t="str" cm="1">
        <f t="array" ref="W94">O94</f>
        <v>Congo</v>
      </c>
      <c r="X94" s="65"/>
      <c r="Y94" s="117" t="str" cm="1">
        <f t="array" ref="Y94">CONCATENATE("2",RIGHT(E92,1))</f>
        <v>2K</v>
      </c>
      <c r="Z94" s="118" t="str" cm="1">
        <f t="array" ref="Z94">VLOOKUP(AL94,V93:W96,2,FALSE)</f>
        <v>Colombia</v>
      </c>
      <c r="AA94" s="119" cm="1">
        <f t="array" ref="AA94">SUM(AB94:AD94)</f>
        <v>3</v>
      </c>
      <c r="AB94" s="120" cm="1">
        <f t="array" ref="AB94">_xlfn.XLOOKUP($Z94,$O1:$O108,P1:P108,"Error",0)</f>
        <v>2</v>
      </c>
      <c r="AC94" s="120" cm="1">
        <f t="array" ref="AC94">_xlfn.XLOOKUP($Z94,$O1:$O108,Q1:Q108,"Error",0)</f>
        <v>1</v>
      </c>
      <c r="AD94" s="120" cm="1">
        <f t="array" ref="AD94">_xlfn.XLOOKUP($Z94,$O1:$O108,R1:R108,"Error",0)</f>
        <v>0</v>
      </c>
      <c r="AE94" s="120" cm="1">
        <f t="array" ref="AE94">_xlfn.XLOOKUP($Z94,$O1:$O108,S1:S108,"Error",0)</f>
        <v>4</v>
      </c>
      <c r="AF94" s="120" cm="1">
        <f t="array" ref="AF94">_xlfn.XLOOKUP($Z94,$O1:$O108,T1:T108,"Error",0)</f>
        <v>6</v>
      </c>
      <c r="AG94" s="120" cm="1">
        <f t="array" ref="AG94">_xlfn.XLOOKUP($Z94,$O1:$O108,U1:U108,"Error",0)</f>
        <v>2</v>
      </c>
      <c r="AH94" s="121" cm="1">
        <f t="array" ref="AH94">_xlfn.XLOOKUP($Z94,$O1:$O108,V1:V108,"Error",0)</f>
        <v>7.3046096</v>
      </c>
      <c r="AI94" s="98"/>
      <c r="AJ94" s="74"/>
      <c r="AK94" s="74"/>
      <c r="AL94" s="99" cm="1">
        <f t="array" ref="AL94">LARGE(V93:V96,2)</f>
        <v>7.3046096</v>
      </c>
      <c r="AM94" s="100" cm="1">
        <f t="array" ref="AM94">(AH94-AL94)*100000000000000000000</f>
        <v>0</v>
      </c>
      <c r="AN94" s="74"/>
      <c r="AO94" s="74"/>
      <c r="AP94" s="101" t="str" cm="1">
        <f t="array" ref="AP94">O94</f>
        <v>Congo</v>
      </c>
      <c r="AQ94" s="102" cm="1">
        <f t="array" ref="AQ94">P94*3+Q94*1+BT94+CN94+S94/1000+T94/10000</f>
        <v>1.2952000000000001</v>
      </c>
      <c r="AR94" s="102" t="b" cm="1">
        <f t="array" ref="AR94">IF(OR(AQ94=AQ95,AQ94=AQ96),1)</f>
        <v>0</v>
      </c>
      <c r="AS94" s="103" cm="1">
        <f t="array" ref="AS94">AV94</f>
        <v>0</v>
      </c>
      <c r="AT94" s="103" cm="1">
        <f t="array" ref="AT94">IF(AND(AM97="si",OR(AR93=1,AR94=1,AR95=1)),1,0)</f>
        <v>0</v>
      </c>
      <c r="AU94" s="122" t="str" cm="1">
        <f t="array" ref="AU94">O94</f>
        <v>Congo</v>
      </c>
      <c r="AV94" s="101"/>
      <c r="AW94" s="106"/>
      <c r="AX94" s="74" t="str" cm="1">
        <f t="array" ref="AX94">Y92</f>
        <v>Grupo K</v>
      </c>
      <c r="AY94" s="76" t="str" cm="1">
        <f t="array" ref="AY94">O94</f>
        <v>Congo</v>
      </c>
      <c r="AZ94" s="107" cm="1">
        <f t="array" ref="AZ94">P94*3+Q94</f>
        <v>1</v>
      </c>
      <c r="BA94" s="107" cm="1">
        <f t="array" ref="BA94">COUNTIFS($AX$1:AX94,AX94,$AZ$1:AZ94,AZ94)</f>
        <v>1</v>
      </c>
      <c r="BB94" s="107" cm="1">
        <f t="array" ref="BB94">IF(AZ94=BF91,ROW()*0.001,AZ94)</f>
        <v>9.4E-2</v>
      </c>
      <c r="BC94" s="107" cm="1">
        <f t="array" ref="BC94">COUNTIFS($AX$1:AZ94,AZ94,$AZ$1:BB94,BB94)</f>
        <v>1</v>
      </c>
      <c r="BD94" s="107"/>
      <c r="BE94" s="108" t="str" cm="1">
        <f t="array" ref="BE94">IF(OR(BF94="-",BI94="-",BF91=0),"-","OK")</f>
        <v>-</v>
      </c>
      <c r="BF94" s="109" t="str" cm="1">
        <f t="array" ref="BF94">IF(_xlfn.XLOOKUP($E94,$AY1:$AY108,$AZ1:$AZ108,"-",0)=BF91,$E94,"-")</f>
        <v>Uzbekistan</v>
      </c>
      <c r="BG94" s="110" cm="1">
        <f t="array" ref="BG94">$F94</f>
        <v>0</v>
      </c>
      <c r="BH94" s="110" cm="1">
        <f t="array" ref="BH94">$G94</f>
        <v>2</v>
      </c>
      <c r="BI94" s="109" t="str" cm="1">
        <f t="array" ref="BI94">IF(_xlfn.XLOOKUP($H94,$AY1:$AY108,$AZ1:$AZ108,"-",0)=BF91,$H94,"-")</f>
        <v>-</v>
      </c>
      <c r="BJ94" s="74"/>
      <c r="BK94" s="79" t="str" cm="1">
        <f t="array" ref="BK94">O94</f>
        <v>Congo</v>
      </c>
      <c r="BL94" s="111" cm="1">
        <f t="array" ref="BL94">COUNTIFS($BE1:$BE108,"OK",$BI1:$BI108,BK94)+COUNTIFS($BE1:$BE108,"OK",$BF1:$BF108,BK94)</f>
        <v>1</v>
      </c>
      <c r="BM94" s="112" cm="1">
        <f t="array" ref="BM94">COUNTIFS(J1:J108,$BK94,$BE1:$BE108,"OK")</f>
        <v>0</v>
      </c>
      <c r="BN94" s="112" cm="1">
        <f t="array" ref="BN94">COUNTIFS(K1:K108,$BK94,$BE1:$BE108,"OK")+COUNTIFS(L1:L108,$BK94,$BE1:$BE108,"OK")</f>
        <v>1</v>
      </c>
      <c r="BO94" s="112" cm="1">
        <f t="array" ref="BO94">COUNTIFS(M1:M108,$BK94,$BE1:$BE108,"OK")</f>
        <v>0</v>
      </c>
      <c r="BP94" s="112" cm="1">
        <f t="array" ref="BP94">BQ94-BR94</f>
        <v>0</v>
      </c>
      <c r="BQ94" s="112" cm="1">
        <f t="array" ref="BQ94">SUMIFS(BG1:BG108,$BE1:$BE108,"OK",BF1:BF108,$BK94)+SUMIFS(BH1:BH108,$BE1:$BE108,"OK",BI1:BI108,$BK94)</f>
        <v>1</v>
      </c>
      <c r="BR94" s="112" cm="1">
        <f t="array" ref="BR94">SUMIFS(BH1:BH108,$BE1:$BE108,"OK",BF1:BF108,$BK94)+SUMIFS(BG1:BG108,$BE1:$BE108,"OK",BI1:BI108,$BK94)</f>
        <v>1</v>
      </c>
      <c r="BS94" s="113" cm="1">
        <f t="array" ref="BS94">BM94*3+BN94*1+BP94/100+BQ94/10000</f>
        <v>1.0001</v>
      </c>
      <c r="BT94" s="107" cm="1">
        <f t="array" ref="BT94">IF(BL94=0,0,_xlfn.XLOOKUP(BS94,BV93:BV96,BW93:BW96))</f>
        <v>0.3</v>
      </c>
      <c r="BU94" s="99"/>
      <c r="BV94" s="113" cm="1">
        <f t="array" ref="BV94">LARGE(BS93:BS96,2)</f>
        <v>1.0001</v>
      </c>
      <c r="BW94" s="112" cm="1">
        <f t="array" ref="BW94">BX94/$BW$1</f>
        <v>0.2</v>
      </c>
      <c r="BX94" s="114">
        <v>2</v>
      </c>
      <c r="BY94" s="108" t="str" cm="1">
        <f t="array" ref="BY94">IF(OR(BZ94="-",CC94="-"),"-","OK")</f>
        <v>-</v>
      </c>
      <c r="BZ94" s="109" t="str" cm="1">
        <f t="array" ref="BZ94">IF(_xlfn.XLOOKUP($E94,$AY1:$AY108,$AZ1:$AZ108,"-",0)=BZ91,$E94,"-")</f>
        <v>-</v>
      </c>
      <c r="CA94" s="110" cm="1">
        <f t="array" ref="CA94">$F94</f>
        <v>0</v>
      </c>
      <c r="CB94" s="110" cm="1">
        <f t="array" ref="CB94">$G94</f>
        <v>2</v>
      </c>
      <c r="CC94" s="109" t="str" cm="1">
        <f t="array" ref="CC94">IF(_xlfn.XLOOKUP($H94,$AY1:$AY108,$AZ1:$AZ108,"-",0)=BZ91,$H94,"-")</f>
        <v>Colombia</v>
      </c>
      <c r="CD94" s="74"/>
      <c r="CE94" s="79" t="str" cm="1">
        <f t="array" ref="CE94">BK94</f>
        <v>Congo</v>
      </c>
      <c r="CF94" s="111" cm="1">
        <f t="array" ref="CF94">COUNTIFS($BY1:$BY108,"OK",$CC1:$CC108,CE94)+COUNTIFS($BY1:$BY108,"OK",$BZ1:$BZ108,CE94)</f>
        <v>0</v>
      </c>
      <c r="CG94" s="112" cm="1">
        <f t="array" ref="CG94">COUNTIFS(P1:P108,$BK94,$BY1:$BY108,"OK")</f>
        <v>0</v>
      </c>
      <c r="CH94" s="112" cm="1">
        <f t="array" ref="CH94">COUNTIFS(K1:K108,$BK94,$BY1:$BY108,"OK")+COUNTIFS(L1:L108,$BK94,$BY1:$BY108,"OK")</f>
        <v>0</v>
      </c>
      <c r="CI94" s="112" cm="1">
        <f t="array" ref="CI94">COUNTIFS(M1:M108,$CE94,$BY1:$BY108,"OK")</f>
        <v>0</v>
      </c>
      <c r="CJ94" s="112" cm="1">
        <f t="array" ref="CJ94">CK94-CL94</f>
        <v>0</v>
      </c>
      <c r="CK94" s="112" cm="1">
        <f t="array" ref="CK94">SUMIFS(CA1:CA108,$BY1:$BY108,"OK",BZ1:BZ108,$BK94)+SUMIFS(CB1:CB108,$BY1:$BY108,"OK",CC1:CC108,$BK94)</f>
        <v>0</v>
      </c>
      <c r="CL94" s="112" cm="1">
        <f t="array" ref="CL94">SUMIFS(CB1:CB108,$BY1:$BY108,"OK",BZ1:BZ108,$BK94)+SUMIFS(CA1:CA108,$BY1:$BY108,"OK",CC1:CC108,$BK94)</f>
        <v>0</v>
      </c>
      <c r="CM94" s="113" cm="1">
        <f t="array" ref="CM94">CG94*3+CH94*1+CJ94/100+CK94/10000</f>
        <v>0</v>
      </c>
      <c r="CN94" s="107" cm="1">
        <f t="array" ref="CN94">IF(CF94=0,0,_xlfn.XLOOKUP(CM94,CP93:CP96,CQ93:CQ96))</f>
        <v>0</v>
      </c>
      <c r="CO94" s="99"/>
      <c r="CP94" s="113" cm="1">
        <f t="array" ref="CP94">LARGE(CM93:CM96,2)</f>
        <v>1.0001</v>
      </c>
      <c r="CQ94" s="112" cm="1">
        <f t="array" ref="CQ94">CR94/$BW$1</f>
        <v>0.2</v>
      </c>
      <c r="CR94" s="114">
        <v>2</v>
      </c>
      <c r="CS94" s="74"/>
      <c r="CT94" s="74"/>
      <c r="CU94" s="74"/>
      <c r="CV94" s="74"/>
      <c r="CW94" s="74"/>
      <c r="CX94" s="172"/>
    </row>
    <row r="95" spans="1:102" ht="14.25" customHeight="1">
      <c r="A95" s="85" t="s">
        <v>226</v>
      </c>
      <c r="B95" s="86">
        <v>46196</v>
      </c>
      <c r="C95" s="87"/>
      <c r="D95" s="88"/>
      <c r="E95" s="85" t="s">
        <v>52</v>
      </c>
      <c r="F95" s="89">
        <v>3</v>
      </c>
      <c r="G95" s="89">
        <v>0</v>
      </c>
      <c r="H95" s="90" t="s">
        <v>88</v>
      </c>
      <c r="I95" s="65"/>
      <c r="J95" s="65" t="str" cm="1">
        <f t="array" ref="J95">IF(OR(ISBLANK(F95),ISBLANK(G95)),"",IF(F95&gt;G95,E95,IF(G95&gt;F95,H95,"")))</f>
        <v>Portugal</v>
      </c>
      <c r="K95" s="65" t="str" cm="1">
        <f t="array" ref="K95">IF(OR(ISBLANK(F95),ISBLANK(G95)),"",IF(F95=G95,E95,""))</f>
        <v/>
      </c>
      <c r="L95" s="65" t="str" cm="1">
        <f t="array" ref="L95">IF(OR(ISBLANK(F95),ISBLANK(G95)),"",IF(F95=G95,H95,""))</f>
        <v/>
      </c>
      <c r="M95" s="65" t="str" cm="1">
        <f t="array" ref="M95">IF(OR(ISBLANK(F95),ISBLANK(G95)),"",IF(F95&lt;G95,E95,IF(G95&lt;F95,H95,"")))</f>
        <v>Uzbekistan</v>
      </c>
      <c r="N95" s="65"/>
      <c r="O95" s="67" t="str" cm="1">
        <f t="array" ref="O95">E94</f>
        <v>Uzbekistan</v>
      </c>
      <c r="P95" s="91" cm="1">
        <f t="array" ref="P95">COUNTIF(J93:J98,"="&amp;$O95)</f>
        <v>0</v>
      </c>
      <c r="Q95" s="91" cm="1">
        <f t="array" ref="Q95">COUNTIF(K93:L98,"="&amp;$O95)</f>
        <v>1</v>
      </c>
      <c r="R95" s="91" cm="1">
        <f t="array" ref="R95">COUNTIF(M93:M98,"="&amp;$O95)</f>
        <v>2</v>
      </c>
      <c r="S95" s="91" cm="1">
        <f t="array" ref="S95">T95-U95</f>
        <v>-5</v>
      </c>
      <c r="T95" s="91" cm="1">
        <f t="array" ref="T95">SUMIF(E93:E98,$O95,F93:F98)+SUMIF(H93:H98,$O95,G93:G98)</f>
        <v>1</v>
      </c>
      <c r="U95" s="91" cm="1">
        <f t="array" ref="U95">SUMIF(E93:E98,$O95,G93:G98)+SUMIF(H93:H98,$O95,F93:F98)</f>
        <v>6</v>
      </c>
      <c r="V95" s="92" cm="1">
        <f t="array" ref="V95">P95*3+Q95*1+BT95+CN95+S95/1000+T95/10000+AV95/1000000+ROW()/10000000</f>
        <v>1.2951095000000001</v>
      </c>
      <c r="W95" s="67" t="str" cm="1">
        <f t="array" ref="W95">O95</f>
        <v>Uzbekistan</v>
      </c>
      <c r="X95" s="65"/>
      <c r="Y95" s="125" t="str" cm="1">
        <f t="array" ref="Y95">CONCATENATE("3",RIGHT(E92,1))</f>
        <v>3K</v>
      </c>
      <c r="Z95" s="126" t="str" cm="1">
        <f t="array" ref="Z95">VLOOKUP(AL95,V93:W96,2,FALSE)</f>
        <v>Congo</v>
      </c>
      <c r="AA95" s="127" cm="1">
        <f t="array" ref="AA95">SUM(AB95:AD95)</f>
        <v>3</v>
      </c>
      <c r="AB95" s="128" cm="1">
        <f t="array" ref="AB95">_xlfn.XLOOKUP($Z95,$O1:$O108,P1:P108,"Error",0)</f>
        <v>0</v>
      </c>
      <c r="AC95" s="128" cm="1">
        <f t="array" ref="AC95">_xlfn.XLOOKUP($Z95,$O1:$O108,Q1:Q108,"Error",0)</f>
        <v>1</v>
      </c>
      <c r="AD95" s="128" cm="1">
        <f t="array" ref="AD95">_xlfn.XLOOKUP($Z95,$O1:$O108,R1:R108,"Error",0)</f>
        <v>2</v>
      </c>
      <c r="AE95" s="128" cm="1">
        <f t="array" ref="AE95">_xlfn.XLOOKUP($Z95,$O1:$O108,S1:S108,"Error",0)</f>
        <v>-5</v>
      </c>
      <c r="AF95" s="128" cm="1">
        <f t="array" ref="AF95">_xlfn.XLOOKUP($Z95,$O1:$O108,T1:T108,"Error",0)</f>
        <v>2</v>
      </c>
      <c r="AG95" s="128" cm="1">
        <f t="array" ref="AG95">_xlfn.XLOOKUP($Z95,$O1:$O108,U1:U108,"Error",0)</f>
        <v>7</v>
      </c>
      <c r="AH95" s="129" cm="1">
        <f t="array" ref="AH95">_xlfn.XLOOKUP($Z95,$O1:$O108,V1:V108,"Error",0)</f>
        <v>1.2952094000000001</v>
      </c>
      <c r="AI95" s="130" cm="1">
        <f t="array" ref="AI95">(COUNTIFS($CV$2:$CV$13,Z95,$CX$2:$CX$13,"IN")+COUNTIFS($CV$2:$CV$13,Z95,$CW$2:$CW$13,"IN"))*IF(SUM(AA93:AA96)=12,1,0)</f>
        <v>0</v>
      </c>
      <c r="AJ95" s="74"/>
      <c r="AK95" s="74"/>
      <c r="AL95" s="99" cm="1">
        <f t="array" ref="AL95">LARGE(V93:V96,3)</f>
        <v>1.2952094000000001</v>
      </c>
      <c r="AM95" s="100" cm="1">
        <f t="array" ref="AM95">(AH95-AL95)*100000000000000000000</f>
        <v>0</v>
      </c>
      <c r="AN95" s="74"/>
      <c r="AO95" s="74"/>
      <c r="AP95" s="101" t="str" cm="1">
        <f t="array" ref="AP95">O95</f>
        <v>Uzbekistan</v>
      </c>
      <c r="AQ95" s="102" cm="1">
        <f t="array" ref="AQ95">P95*3+Q95*1+BT95+CN95+S95/1000+T95/10000</f>
        <v>1.2951000000000001</v>
      </c>
      <c r="AR95" s="102" t="b" cm="1">
        <f t="array" ref="AR95">IF(OR(AQ95=AQ96),1)</f>
        <v>0</v>
      </c>
      <c r="AS95" s="103" cm="1">
        <f t="array" ref="AS95">AV95</f>
        <v>0</v>
      </c>
      <c r="AT95" s="103" cm="1">
        <f t="array" ref="AT95">IF(AND(AM97="si",OR(AR93=1,AR94=1,AR95=1)),1,0)</f>
        <v>0</v>
      </c>
      <c r="AU95" s="122" t="str" cm="1">
        <f t="array" ref="AU95">O95</f>
        <v>Uzbekistan</v>
      </c>
      <c r="AV95" s="101"/>
      <c r="AW95" s="106"/>
      <c r="AX95" s="74" t="str" cm="1">
        <f t="array" ref="AX95">Y92</f>
        <v>Grupo K</v>
      </c>
      <c r="AY95" s="76" t="str" cm="1">
        <f t="array" ref="AY95">O95</f>
        <v>Uzbekistan</v>
      </c>
      <c r="AZ95" s="107" cm="1">
        <f t="array" ref="AZ95">P95*3+Q95</f>
        <v>1</v>
      </c>
      <c r="BA95" s="107" cm="1">
        <f t="array" ref="BA95">COUNTIFS($AX$1:AX95,AX95,$AZ$1:AZ95,AZ95)</f>
        <v>2</v>
      </c>
      <c r="BB95" s="107" cm="1">
        <f t="array" ref="BB95">IF(AZ95=BF91,ROW()*0.001,AZ95)</f>
        <v>9.5000000000000001E-2</v>
      </c>
      <c r="BC95" s="107" cm="1">
        <f t="array" ref="BC95">COUNTIFS($AX$1:AZ95,AZ95,$AZ$1:BB95,BB95)</f>
        <v>1</v>
      </c>
      <c r="BD95" s="107"/>
      <c r="BE95" s="108" t="str" cm="1">
        <f t="array" ref="BE95">IF(OR(BF95="-",BI95="-",BF91=0),"-","OK")</f>
        <v>-</v>
      </c>
      <c r="BF95" s="109" t="str" cm="1">
        <f t="array" ref="BF95">IF(_xlfn.XLOOKUP($E95,$AY1:$AY108,$AZ1:$AZ108,"-",0)=BF91,$E95,"-")</f>
        <v>-</v>
      </c>
      <c r="BG95" s="110" cm="1">
        <f t="array" ref="BG95">$F95</f>
        <v>3</v>
      </c>
      <c r="BH95" s="110" cm="1">
        <f t="array" ref="BH95">$G95</f>
        <v>0</v>
      </c>
      <c r="BI95" s="109" t="str" cm="1">
        <f t="array" ref="BI95">IF(_xlfn.XLOOKUP($H95,$AY1:$AY108,$AZ1:$AZ108,"-",0)=BF91,$H95,"-")</f>
        <v>Uzbekistan</v>
      </c>
      <c r="BJ95" s="74"/>
      <c r="BK95" s="79" t="str" cm="1">
        <f t="array" ref="BK95">O95</f>
        <v>Uzbekistan</v>
      </c>
      <c r="BL95" s="111" cm="1">
        <f t="array" ref="BL95">COUNTIFS($BE1:$BE108,"OK",$BI1:$BI108,BK95)+COUNTIFS($BE1:$BE108,"OK",$BF1:$BF108,BK95)</f>
        <v>1</v>
      </c>
      <c r="BM95" s="112" cm="1">
        <f t="array" ref="BM95">COUNTIFS(J1:J108,$BK95,$BE1:$BE108,"OK")</f>
        <v>0</v>
      </c>
      <c r="BN95" s="112" cm="1">
        <f t="array" ref="BN95">COUNTIFS(K1:K108,$BK95,$BE1:$BE108,"OK")+COUNTIFS(L1:L108,$BK95,$BE1:$BE108,"OK")</f>
        <v>1</v>
      </c>
      <c r="BO95" s="112" cm="1">
        <f t="array" ref="BO95">COUNTIFS(M1:M108,$BK95,$BE1:$BE108,"OK")</f>
        <v>0</v>
      </c>
      <c r="BP95" s="112" cm="1">
        <f t="array" ref="BP95">BQ95-BR95</f>
        <v>0</v>
      </c>
      <c r="BQ95" s="112" cm="1">
        <f t="array" ref="BQ95">SUMIFS(BG1:BG108,$BE1:$BE108,"OK",BF1:BF108,$BK95)+SUMIFS(BH1:BH108,$BE1:$BE108,"OK",BI1:BI108,$BK95)</f>
        <v>1</v>
      </c>
      <c r="BR95" s="112" cm="1">
        <f t="array" ref="BR95">SUMIFS(BH1:BH108,$BE1:$BE108,"OK",BF1:BF108,$BK95)+SUMIFS(BG1:BG108,$BE1:$BE108,"OK",BI1:BI108,$BK95)</f>
        <v>1</v>
      </c>
      <c r="BS95" s="113" cm="1">
        <f t="array" ref="BS95">BM95*3+BN95*1+BP95/100+BQ95/10000</f>
        <v>1.0001</v>
      </c>
      <c r="BT95" s="107" cm="1">
        <f t="array" ref="BT95">IF(BL95=0,0,_xlfn.XLOOKUP(BS95,BV93:BV96,BW93:BW96))</f>
        <v>0.3</v>
      </c>
      <c r="BU95" s="99"/>
      <c r="BV95" s="113" cm="1">
        <f t="array" ref="BV95">LARGE(BS93:BS96,3)</f>
        <v>0</v>
      </c>
      <c r="BW95" s="112" cm="1">
        <f t="array" ref="BW95">BX95/$BW$1</f>
        <v>0.1</v>
      </c>
      <c r="BX95" s="114">
        <v>1</v>
      </c>
      <c r="BY95" s="108" t="str" cm="1">
        <f t="array" ref="BY95">IF(OR(BZ95="-",CC95="-"),"-","OK")</f>
        <v>-</v>
      </c>
      <c r="BZ95" s="109" t="str" cm="1">
        <f t="array" ref="BZ95">IF(_xlfn.XLOOKUP($E95,$AY1:$AY108,$AZ1:$AZ108,"-",0)=BZ91,$E95,"-")</f>
        <v>Portugal</v>
      </c>
      <c r="CA95" s="110" cm="1">
        <f t="array" ref="CA95">$F95</f>
        <v>3</v>
      </c>
      <c r="CB95" s="110" cm="1">
        <f t="array" ref="CB95">$G95</f>
        <v>0</v>
      </c>
      <c r="CC95" s="109" t="str" cm="1">
        <f t="array" ref="CC95">IF(_xlfn.XLOOKUP($H95,$AY1:$AY108,$AZ1:$AZ108,"-",0)=BZ91,$H95,"-")</f>
        <v>-</v>
      </c>
      <c r="CD95" s="74"/>
      <c r="CE95" s="79" t="str" cm="1">
        <f t="array" ref="CE95">BK95</f>
        <v>Uzbekistan</v>
      </c>
      <c r="CF95" s="111" cm="1">
        <f t="array" ref="CF95">COUNTIFS($BY1:$BY108,"OK",$CC1:$CC108,CE95)+COUNTIFS($BY1:$BY108,"OK",$BZ1:$BZ108,CE95)</f>
        <v>0</v>
      </c>
      <c r="CG95" s="112" cm="1">
        <f t="array" ref="CG95">COUNTIFS(P1:P108,$BK95,$BY1:$BY108,"OK")</f>
        <v>0</v>
      </c>
      <c r="CH95" s="112" cm="1">
        <f t="array" ref="CH95">COUNTIFS(K1:K108,$BK95,$BY1:$BY108,"OK")+COUNTIFS(L1:L108,$BK95,$BY1:$BY108,"OK")</f>
        <v>0</v>
      </c>
      <c r="CI95" s="112" cm="1">
        <f t="array" ref="CI95">COUNTIFS(M1:M108,$CE95,$BY1:$BY108,"OK")</f>
        <v>0</v>
      </c>
      <c r="CJ95" s="112" cm="1">
        <f t="array" ref="CJ95">CK95-CL95</f>
        <v>0</v>
      </c>
      <c r="CK95" s="112" cm="1">
        <f t="array" ref="CK95">SUMIFS(CA1:CA108,$BY1:$BY108,"OK",BZ1:BZ108,$BK95)+SUMIFS(CB1:CB108,$BY1:$BY108,"OK",CC1:CC108,$BK95)</f>
        <v>0</v>
      </c>
      <c r="CL95" s="112" cm="1">
        <f t="array" ref="CL95">SUMIFS(CB1:CB108,$BY1:$BY108,"OK",BZ1:BZ108,$BK95)+SUMIFS(CA1:CA108,$BY1:$BY108,"OK",CC1:CC108,$BK95)</f>
        <v>0</v>
      </c>
      <c r="CM95" s="113" cm="1">
        <f t="array" ref="CM95">CG95*3+CH95*1+CJ95/100+CK95/10000</f>
        <v>0</v>
      </c>
      <c r="CN95" s="107" cm="1">
        <f t="array" ref="CN95">IF(CF95=0,0,_xlfn.XLOOKUP(CM95,CP93:CP96,CQ93:CQ96))</f>
        <v>0</v>
      </c>
      <c r="CO95" s="99"/>
      <c r="CP95" s="113" cm="1">
        <f t="array" ref="CP95">LARGE(CM93:CM96,3)</f>
        <v>0</v>
      </c>
      <c r="CQ95" s="112" cm="1">
        <f t="array" ref="CQ95">CR95/$BW$1</f>
        <v>0.1</v>
      </c>
      <c r="CR95" s="114">
        <v>1</v>
      </c>
      <c r="CS95" s="74"/>
      <c r="CT95" s="74"/>
      <c r="CU95" s="74"/>
      <c r="CV95" s="74"/>
      <c r="CW95" s="74"/>
      <c r="CX95" s="172"/>
    </row>
    <row r="96" spans="1:102" ht="14.25" customHeight="1">
      <c r="A96" s="85" t="s">
        <v>228</v>
      </c>
      <c r="B96" s="86">
        <v>46196</v>
      </c>
      <c r="C96" s="87"/>
      <c r="D96" s="88"/>
      <c r="E96" s="85" t="s">
        <v>60</v>
      </c>
      <c r="F96" s="89">
        <v>3</v>
      </c>
      <c r="G96" s="89">
        <v>1</v>
      </c>
      <c r="H96" s="90" t="s">
        <v>87</v>
      </c>
      <c r="I96" s="65"/>
      <c r="J96" s="65" t="str" cm="1">
        <f t="array" ref="J96">IF(OR(ISBLANK(F96),ISBLANK(G96)),"",IF(F96&gt;G96,E96,IF(G96&gt;F96,H96,"")))</f>
        <v>Colombia</v>
      </c>
      <c r="K96" s="65" t="str" cm="1">
        <f t="array" ref="K96">IF(OR(ISBLANK(F96),ISBLANK(G96)),"",IF(F96=G96,E96,""))</f>
        <v/>
      </c>
      <c r="L96" s="65" t="str" cm="1">
        <f t="array" ref="L96">IF(OR(ISBLANK(F96),ISBLANK(G96)),"",IF(F96=G96,H96,""))</f>
        <v/>
      </c>
      <c r="M96" s="65" t="str" cm="1">
        <f t="array" ref="M96">IF(OR(ISBLANK(F96),ISBLANK(G96)),"",IF(F96&lt;G96,E96,IF(G96&lt;F96,H96,"")))</f>
        <v>Congo</v>
      </c>
      <c r="N96" s="65"/>
      <c r="O96" s="67" t="str" cm="1">
        <f t="array" ref="O96">H94</f>
        <v>Colombia</v>
      </c>
      <c r="P96" s="91" cm="1">
        <f t="array" ref="P96">COUNTIF(J93:J98,"="&amp;$O96)</f>
        <v>2</v>
      </c>
      <c r="Q96" s="91" cm="1">
        <f t="array" ref="Q96">COUNTIF(K93:L98,"="&amp;$O96)</f>
        <v>1</v>
      </c>
      <c r="R96" s="91" cm="1">
        <f t="array" ref="R96">COUNTIF(M93:M98,"="&amp;$O96)</f>
        <v>0</v>
      </c>
      <c r="S96" s="91" cm="1">
        <f t="array" ref="S96">T96-U96</f>
        <v>4</v>
      </c>
      <c r="T96" s="91" cm="1">
        <f t="array" ref="T96">SUMIF(E93:E98,$O96,F93:F98)+SUMIF(H93:H98,$O96,G93:G98)</f>
        <v>6</v>
      </c>
      <c r="U96" s="91" cm="1">
        <f t="array" ref="U96">SUMIF(E93:E98,$O96,G93:G98)+SUMIF(H93:H98,$O96,F93:F98)</f>
        <v>2</v>
      </c>
      <c r="V96" s="92" cm="1">
        <f t="array" ref="V96">P96*3+Q96*1+BT96+CN96+S96/1000+T96/10000+AV96/1000000+ROW()/10000000</f>
        <v>7.3046096</v>
      </c>
      <c r="W96" s="67" t="str" cm="1">
        <f t="array" ref="W96">O96</f>
        <v>Colombia</v>
      </c>
      <c r="X96" s="65"/>
      <c r="Y96" s="131" t="str" cm="1">
        <f t="array" ref="Y96">CONCATENATE("4",RIGHT(E92,1))</f>
        <v>4K</v>
      </c>
      <c r="Z96" s="132" t="str" cm="1">
        <f t="array" ref="Z96">VLOOKUP(AL96,V93:W96,2,FALSE)</f>
        <v>Uzbekistan</v>
      </c>
      <c r="AA96" s="133" cm="1">
        <f t="array" ref="AA96">SUM(AB96:AD96)</f>
        <v>3</v>
      </c>
      <c r="AB96" s="134" cm="1">
        <f t="array" ref="AB96">_xlfn.XLOOKUP($Z96,$O1:$O108,P1:P108,"Error",0)</f>
        <v>0</v>
      </c>
      <c r="AC96" s="134" cm="1">
        <f t="array" ref="AC96">_xlfn.XLOOKUP($Z96,$O1:$O108,Q1:Q108,"Error",0)</f>
        <v>1</v>
      </c>
      <c r="AD96" s="134" cm="1">
        <f t="array" ref="AD96">_xlfn.XLOOKUP($Z96,$O1:$O108,R1:R108,"Error",0)</f>
        <v>2</v>
      </c>
      <c r="AE96" s="134" cm="1">
        <f t="array" ref="AE96">_xlfn.XLOOKUP($Z96,$O1:$O108,S1:S108,"Error",0)</f>
        <v>-5</v>
      </c>
      <c r="AF96" s="134" cm="1">
        <f t="array" ref="AF96">_xlfn.XLOOKUP($Z96,$O1:$O108,T1:T108,"Error",0)</f>
        <v>1</v>
      </c>
      <c r="AG96" s="134" cm="1">
        <f t="array" ref="AG96">_xlfn.XLOOKUP($Z96,$O1:$O108,U1:U108,"Error",0)</f>
        <v>6</v>
      </c>
      <c r="AH96" s="135" cm="1">
        <f t="array" ref="AH96">_xlfn.XLOOKUP($Z96,$O1:$O108,V1:V108,"Error",0)</f>
        <v>1.2951095000000001</v>
      </c>
      <c r="AI96" s="130"/>
      <c r="AJ96" s="74"/>
      <c r="AK96" s="74"/>
      <c r="AL96" s="99" cm="1">
        <f t="array" ref="AL96">LARGE(V93:V96,4)</f>
        <v>1.2951095000000001</v>
      </c>
      <c r="AM96" s="100" cm="1">
        <f t="array" ref="AM96">(AH96-AL96)*100000000000000000000</f>
        <v>0</v>
      </c>
      <c r="AN96" s="74"/>
      <c r="AO96" s="74"/>
      <c r="AP96" s="101" t="str" cm="1">
        <f t="array" ref="AP96">O96</f>
        <v>Colombia</v>
      </c>
      <c r="AQ96" s="102" cm="1">
        <f t="array" ref="AQ96">P96*3+Q96*1+BT96+CN96+S96/1000+T96/10000</f>
        <v>7.3045999999999998</v>
      </c>
      <c r="AR96" s="65"/>
      <c r="AS96" s="103" cm="1">
        <f t="array" ref="AS96">AV96</f>
        <v>0</v>
      </c>
      <c r="AT96" s="103" cm="1">
        <f t="array" ref="AT96">IF(AND(AM97="si",OR(AR93=1,AR94=1,AR95=1)),1,0)</f>
        <v>0</v>
      </c>
      <c r="AU96" s="136" t="str" cm="1">
        <f t="array" ref="AU96">O96</f>
        <v>Colombia</v>
      </c>
      <c r="AV96" s="137"/>
      <c r="AW96" s="106"/>
      <c r="AX96" s="74" t="str" cm="1">
        <f t="array" ref="AX96">Y92</f>
        <v>Grupo K</v>
      </c>
      <c r="AY96" s="76" t="str" cm="1">
        <f t="array" ref="AY96">O96</f>
        <v>Colombia</v>
      </c>
      <c r="AZ96" s="107" cm="1">
        <f t="array" ref="AZ96">P96*3+Q96</f>
        <v>7</v>
      </c>
      <c r="BA96" s="107" cm="1">
        <f t="array" ref="BA96">COUNTIFS($AX$1:AX96,AX96,$AZ$1:AZ96,AZ96)</f>
        <v>2</v>
      </c>
      <c r="BB96" s="107" cm="1">
        <f t="array" ref="BB96">IF(AZ96=BF91,ROW()*0.001,AZ96)</f>
        <v>7</v>
      </c>
      <c r="BC96" s="107" cm="1">
        <f t="array" ref="BC96">COUNTIFS($AX$1:AZ96,AZ96,$AZ$1:BB96,BB96)</f>
        <v>5</v>
      </c>
      <c r="BD96" s="107"/>
      <c r="BE96" s="108" t="str" cm="1">
        <f t="array" ref="BE96">IF(OR(BF96="-",BI96="-",BF91=0),"-","OK")</f>
        <v>-</v>
      </c>
      <c r="BF96" s="109" t="str" cm="1">
        <f t="array" ref="BF96">IF(_xlfn.XLOOKUP($E96,$AY1:$AY108,$AZ1:$AZ108,"-",0)=BF91,$E96,"-")</f>
        <v>-</v>
      </c>
      <c r="BG96" s="110" cm="1">
        <f t="array" ref="BG96">$F96</f>
        <v>3</v>
      </c>
      <c r="BH96" s="110" cm="1">
        <f t="array" ref="BH96">$G96</f>
        <v>1</v>
      </c>
      <c r="BI96" s="109" t="str" cm="1">
        <f t="array" ref="BI96">IF(_xlfn.XLOOKUP($H96,$AY1:$AY108,$AZ1:$AZ108,"-",0)=BF91,$H96,"-")</f>
        <v>Congo</v>
      </c>
      <c r="BJ96" s="74"/>
      <c r="BK96" s="79" t="str" cm="1">
        <f t="array" ref="BK96">O96</f>
        <v>Colombia</v>
      </c>
      <c r="BL96" s="111" cm="1">
        <f t="array" ref="BL96">COUNTIFS($BE1:$BE108,"OK",$BI1:$BI108,BK96)+COUNTIFS($BE1:$BE108,"OK",$BF1:$BF108,BK96)</f>
        <v>0</v>
      </c>
      <c r="BM96" s="112" cm="1">
        <f t="array" ref="BM96">COUNTIFS(J1:J108,$BK96,$BE1:$BE108,"OK")</f>
        <v>0</v>
      </c>
      <c r="BN96" s="112" cm="1">
        <f t="array" ref="BN96">COUNTIFS(K1:K108,$BK96,$BE1:$BE108,"OK")+COUNTIFS(L1:L108,$BK96,$BE1:$BE108,"OK")</f>
        <v>0</v>
      </c>
      <c r="BO96" s="112" cm="1">
        <f t="array" ref="BO96">COUNTIFS(M1:M108,$BK96,$BE1:$BE108,"OK")</f>
        <v>0</v>
      </c>
      <c r="BP96" s="112" cm="1">
        <f t="array" ref="BP96">BQ96-BR96</f>
        <v>0</v>
      </c>
      <c r="BQ96" s="112" cm="1">
        <f t="array" ref="BQ96">SUMIFS(BG1:BG108,$BE1:$BE108,"OK",BF1:BF108,$BK96)+SUMIFS(BH1:BH108,$BE1:$BE108,"OK",BI1:BI108,$BK96)</f>
        <v>0</v>
      </c>
      <c r="BR96" s="112" cm="1">
        <f t="array" ref="BR96">SUMIFS(BH1:BH108,$BE1:$BE108,"OK",BF1:BF108,$BK96)+SUMIFS(BG1:BG108,$BE1:$BE108,"OK",BI1:BI108,$BK96)</f>
        <v>0</v>
      </c>
      <c r="BS96" s="113" cm="1">
        <f t="array" ref="BS96">BM96*3+BN96*1+BP96/100+BQ96/10000</f>
        <v>0</v>
      </c>
      <c r="BT96" s="107" cm="1">
        <f t="array" ref="BT96">IF(BL96=0,0,_xlfn.XLOOKUP(BS96,BV93:BV96,BW93:BW96))</f>
        <v>0</v>
      </c>
      <c r="BU96" s="99"/>
      <c r="BV96" s="113" cm="1">
        <f t="array" ref="BV96">LARGE(BS93:BS96,4)</f>
        <v>0</v>
      </c>
      <c r="BW96" s="112" cm="1">
        <f t="array" ref="BW96">BX96/$BW$1</f>
        <v>0</v>
      </c>
      <c r="BX96" s="114">
        <v>0</v>
      </c>
      <c r="BY96" s="108" t="str" cm="1">
        <f t="array" ref="BY96">IF(OR(BZ96="-",CC96="-"),"-","OK")</f>
        <v>-</v>
      </c>
      <c r="BZ96" s="109" t="str" cm="1">
        <f t="array" ref="BZ96">IF(_xlfn.XLOOKUP($E96,$AY1:$AY108,$AZ1:$AZ108,"-",0)=BZ91,$E96,"-")</f>
        <v>Colombia</v>
      </c>
      <c r="CA96" s="110" cm="1">
        <f t="array" ref="CA96">$F96</f>
        <v>3</v>
      </c>
      <c r="CB96" s="110" cm="1">
        <f t="array" ref="CB96">$G96</f>
        <v>1</v>
      </c>
      <c r="CC96" s="109" t="str" cm="1">
        <f t="array" ref="CC96">IF(_xlfn.XLOOKUP($H96,$AY1:$AY108,$AZ1:$AZ108,"-",0)=BZ91,$H96,"-")</f>
        <v>-</v>
      </c>
      <c r="CD96" s="74"/>
      <c r="CE96" s="79" t="str" cm="1">
        <f t="array" ref="CE96">BK96</f>
        <v>Colombia</v>
      </c>
      <c r="CF96" s="111" cm="1">
        <f t="array" ref="CF96">COUNTIFS($BY1:$BY108,"OK",$CC1:$CC108,CE96)+COUNTIFS($BY1:$BY108,"OK",$BZ1:$BZ108,CE96)</f>
        <v>1</v>
      </c>
      <c r="CG96" s="112" cm="1">
        <f t="array" ref="CG96">COUNTIFS(P1:P108,$BK96,$BY1:$BY108,"OK")</f>
        <v>0</v>
      </c>
      <c r="CH96" s="112" cm="1">
        <f t="array" ref="CH96">COUNTIFS(K1:K108,$BK96,$BY1:$BY108,"OK")+COUNTIFS(L1:L108,$BK96,$BY1:$BY108,"OK")</f>
        <v>1</v>
      </c>
      <c r="CI96" s="112" cm="1">
        <f t="array" ref="CI96">COUNTIFS(M1:M108,$CE96,$BY1:$BY108,"OK")</f>
        <v>0</v>
      </c>
      <c r="CJ96" s="112" cm="1">
        <f t="array" ref="CJ96">CK96-CL96</f>
        <v>0</v>
      </c>
      <c r="CK96" s="112" cm="1">
        <f t="array" ref="CK96">SUMIFS(CA1:CA108,$BY1:$BY108,"OK",BZ1:BZ108,$BK96)+SUMIFS(CB1:CB108,$BY1:$BY108,"OK",CC1:CC108,$BK96)</f>
        <v>1</v>
      </c>
      <c r="CL96" s="112" cm="1">
        <f t="array" ref="CL96">SUMIFS(CB1:CB108,$BY1:$BY108,"OK",BZ1:BZ108,$BK96)+SUMIFS(CA1:CA108,$BY1:$BY108,"OK",CC1:CC108,$BK96)</f>
        <v>1</v>
      </c>
      <c r="CM96" s="113" cm="1">
        <f t="array" ref="CM96">CG96*3+CH96*1+CJ96/100+CK96/10000</f>
        <v>1.0001</v>
      </c>
      <c r="CN96" s="107" cm="1">
        <f t="array" ref="CN96">IF(CF96=0,0,_xlfn.XLOOKUP(CM96,CP93:CP96,CQ93:CQ96))</f>
        <v>0.3</v>
      </c>
      <c r="CO96" s="99"/>
      <c r="CP96" s="113" cm="1">
        <f t="array" ref="CP96">LARGE(CM93:CM96,4)</f>
        <v>0</v>
      </c>
      <c r="CQ96" s="112" cm="1">
        <f t="array" ref="CQ96">CR96/$BW$1</f>
        <v>0</v>
      </c>
      <c r="CR96" s="114">
        <v>0</v>
      </c>
      <c r="CS96" s="74"/>
      <c r="CT96" s="74"/>
      <c r="CU96" s="74"/>
      <c r="CV96" s="74"/>
      <c r="CW96" s="74"/>
      <c r="CX96" s="172"/>
    </row>
    <row r="97" spans="1:102" ht="14.25" customHeight="1">
      <c r="A97" s="85" t="s">
        <v>229</v>
      </c>
      <c r="B97" s="86">
        <v>46200</v>
      </c>
      <c r="C97" s="87"/>
      <c r="D97" s="88"/>
      <c r="E97" s="85" t="s">
        <v>60</v>
      </c>
      <c r="F97" s="89">
        <v>1</v>
      </c>
      <c r="G97" s="89">
        <v>1</v>
      </c>
      <c r="H97" s="90" t="s">
        <v>52</v>
      </c>
      <c r="I97" s="106"/>
      <c r="J97" s="74" t="str" cm="1">
        <f t="array" ref="J97">IF(OR(ISBLANK(F97),ISBLANK(G97)),"",IF(F97&gt;G97,E97,IF(G97&gt;F97,H97,"")))</f>
        <v/>
      </c>
      <c r="K97" s="74" t="str" cm="1">
        <f t="array" ref="K97">IF(OR(ISBLANK(F97),ISBLANK(G97)),"",IF(F97=G97,E97,""))</f>
        <v>Colombia</v>
      </c>
      <c r="L97" s="74" t="str" cm="1">
        <f t="array" ref="L97">IF(OR(ISBLANK(F97),ISBLANK(G97)),"",IF(F97=G97,H97,""))</f>
        <v>Portugal</v>
      </c>
      <c r="M97" s="74" t="str" cm="1">
        <f t="array" ref="M97">IF(OR(ISBLANK(F97),ISBLANK(G97)),"",IF(F97&lt;G97,E97,IF(G97&lt;F97,H97,"")))</f>
        <v/>
      </c>
      <c r="N97" s="74"/>
      <c r="O97" s="74"/>
      <c r="P97" s="74"/>
      <c r="Q97" s="74"/>
      <c r="R97" s="74"/>
      <c r="S97" s="74"/>
      <c r="T97" s="74"/>
      <c r="U97" s="74"/>
      <c r="V97" s="74"/>
      <c r="W97" s="74"/>
      <c r="X97" s="74"/>
      <c r="Y97" s="138"/>
      <c r="Z97" s="138"/>
      <c r="AA97" s="138"/>
      <c r="AB97" s="138"/>
      <c r="AC97" s="138"/>
      <c r="AD97" s="138"/>
      <c r="AE97" s="138"/>
      <c r="AF97" s="138"/>
      <c r="AG97" s="138"/>
      <c r="AH97" s="138"/>
      <c r="AI97" s="74"/>
      <c r="AJ97" s="74"/>
      <c r="AK97" s="74"/>
      <c r="AL97" s="139" t="s">
        <v>128</v>
      </c>
      <c r="AM97" s="74" t="str" cm="1">
        <f t="array" ref="AM97">IF(SUM(AA93:AA96)=12,"si","no")</f>
        <v>si</v>
      </c>
      <c r="AN97" s="74"/>
      <c r="AO97" s="74"/>
      <c r="AP97" s="74"/>
      <c r="AQ97" s="74"/>
      <c r="AR97" s="74"/>
      <c r="AS97" s="74"/>
      <c r="AT97" s="74"/>
      <c r="AU97" s="138"/>
      <c r="AV97" s="138"/>
      <c r="AW97" s="74"/>
      <c r="AX97" s="74"/>
      <c r="AY97" s="74"/>
      <c r="AZ97" s="74"/>
      <c r="BA97" s="74"/>
      <c r="BB97" s="74"/>
      <c r="BC97" s="74"/>
      <c r="BD97" s="74"/>
      <c r="BE97" s="108" t="str" cm="1">
        <f t="array" ref="BE97">IF(OR(BF97="-",BI97="-",BF91=0),"-","OK")</f>
        <v>-</v>
      </c>
      <c r="BF97" s="109" t="str" cm="1">
        <f t="array" ref="BF97">IF(_xlfn.XLOOKUP($E97,$AY1:$AY108,$AZ1:$AZ108,"-",0)=BF91,$E97,"-")</f>
        <v>-</v>
      </c>
      <c r="BG97" s="110" cm="1">
        <f t="array" ref="BG97">$F97</f>
        <v>1</v>
      </c>
      <c r="BH97" s="110" cm="1">
        <f t="array" ref="BH97">$G97</f>
        <v>1</v>
      </c>
      <c r="BI97" s="109" t="str" cm="1">
        <f t="array" ref="BI97">IF(_xlfn.XLOOKUP($H97,$AY1:$AY108,$AZ1:$AZ108,"-",0)=BF91,$H97,"-")</f>
        <v>-</v>
      </c>
      <c r="BJ97" s="74"/>
      <c r="BK97" s="74"/>
      <c r="BL97" s="74"/>
      <c r="BM97" s="74"/>
      <c r="BN97" s="74"/>
      <c r="BO97" s="74"/>
      <c r="BP97" s="74"/>
      <c r="BQ97" s="74"/>
      <c r="BR97" s="74"/>
      <c r="BS97" s="74"/>
      <c r="BT97" s="74"/>
      <c r="BU97" s="74"/>
      <c r="BV97" s="74"/>
      <c r="BW97" s="74"/>
      <c r="BX97" s="74"/>
      <c r="BY97" s="108" t="str" cm="1">
        <f t="array" ref="BY97">IF(OR(BZ97="-",CC97="-"),"-","OK")</f>
        <v>OK</v>
      </c>
      <c r="BZ97" s="109" t="str" cm="1">
        <f t="array" ref="BZ97">IF(_xlfn.XLOOKUP($E97,$AY1:$AY108,$AZ1:$AZ108,"-",0)=BZ91,$E97,"-")</f>
        <v>Colombia</v>
      </c>
      <c r="CA97" s="110" cm="1">
        <f t="array" ref="CA97">$F97</f>
        <v>1</v>
      </c>
      <c r="CB97" s="110" cm="1">
        <f t="array" ref="CB97">$G97</f>
        <v>1</v>
      </c>
      <c r="CC97" s="109" t="str" cm="1">
        <f t="array" ref="CC97">IF(_xlfn.XLOOKUP($H97,$AY1:$AY108,$AZ1:$AZ108,"-",0)=BZ91,$H97,"-")</f>
        <v>Portugal</v>
      </c>
      <c r="CD97" s="74"/>
      <c r="CE97" s="74"/>
      <c r="CF97" s="74"/>
      <c r="CG97" s="74"/>
      <c r="CH97" s="74"/>
      <c r="CI97" s="74"/>
      <c r="CJ97" s="74"/>
      <c r="CK97" s="74"/>
      <c r="CL97" s="74"/>
      <c r="CM97" s="74"/>
      <c r="CN97" s="74"/>
      <c r="CO97" s="74"/>
      <c r="CP97" s="74"/>
      <c r="CQ97" s="74"/>
      <c r="CR97" s="74"/>
      <c r="CS97" s="74"/>
      <c r="CT97" s="74"/>
      <c r="CU97" s="74"/>
      <c r="CV97" s="74"/>
      <c r="CW97" s="74"/>
      <c r="CX97" s="172"/>
    </row>
    <row r="98" spans="1:102" ht="14.25" customHeight="1">
      <c r="A98" s="85" t="s">
        <v>230</v>
      </c>
      <c r="B98" s="86">
        <v>46200</v>
      </c>
      <c r="C98" s="87"/>
      <c r="D98" s="88"/>
      <c r="E98" s="85" t="s">
        <v>87</v>
      </c>
      <c r="F98" s="89">
        <v>1</v>
      </c>
      <c r="G98" s="89">
        <v>1</v>
      </c>
      <c r="H98" s="90" t="s">
        <v>88</v>
      </c>
      <c r="I98" s="106"/>
      <c r="J98" s="74" t="str" cm="1">
        <f t="array" ref="J98">IF(OR(ISBLANK(F98),ISBLANK(G98)),"",IF(F98&gt;G98,E98,IF(G98&gt;F98,H98,"")))</f>
        <v/>
      </c>
      <c r="K98" s="74" t="str" cm="1">
        <f t="array" ref="K98">IF(OR(ISBLANK(F98),ISBLANK(G98)),"",IF(F98=G98,E98,""))</f>
        <v>Congo</v>
      </c>
      <c r="L98" s="74" t="str" cm="1">
        <f t="array" ref="L98">IF(OR(ISBLANK(F98),ISBLANK(G98)),"",IF(F98=G98,H98,""))</f>
        <v>Uzbekistan</v>
      </c>
      <c r="M98" s="74" t="str" cm="1">
        <f t="array" ref="M98">IF(OR(ISBLANK(F98),ISBLANK(G98)),"",IF(F98&lt;G98,E98,IF(G98&lt;F98,H98,"")))</f>
        <v/>
      </c>
      <c r="N98" s="74"/>
      <c r="O98" s="74"/>
      <c r="P98" s="74"/>
      <c r="Q98" s="74"/>
      <c r="R98" s="74"/>
      <c r="S98" s="74"/>
      <c r="T98" s="74"/>
      <c r="U98" s="74"/>
      <c r="V98" s="74"/>
      <c r="W98" s="74"/>
      <c r="X98" s="74"/>
      <c r="Y98" s="140" t="s">
        <v>130</v>
      </c>
      <c r="Z98" s="74"/>
      <c r="AA98" s="74"/>
      <c r="AB98" s="74"/>
      <c r="AC98" s="74"/>
      <c r="AD98" s="74"/>
      <c r="AE98" s="74"/>
      <c r="AF98" s="74"/>
      <c r="AG98" s="74"/>
      <c r="AH98" s="74"/>
      <c r="AI98" s="74"/>
      <c r="AJ98" s="74"/>
      <c r="AK98" s="74"/>
      <c r="AL98" s="74"/>
      <c r="AM98" s="74"/>
      <c r="AN98" s="74"/>
      <c r="AO98" s="74"/>
      <c r="AP98" s="74"/>
      <c r="AQ98" s="74"/>
      <c r="AR98" s="114" cm="1">
        <f t="array" ref="AR98">IF(AND(AM97="si",OR(AR93=1,AR94=1,AR95=1)),1,0)</f>
        <v>0</v>
      </c>
      <c r="AS98" s="74"/>
      <c r="AT98" s="74"/>
      <c r="AU98" s="74"/>
      <c r="AV98" s="74"/>
      <c r="AW98" s="74"/>
      <c r="AX98" s="74"/>
      <c r="AY98" s="74"/>
      <c r="AZ98" s="74"/>
      <c r="BA98" s="74"/>
      <c r="BB98" s="74"/>
      <c r="BC98" s="74"/>
      <c r="BD98" s="74"/>
      <c r="BE98" s="108" t="str" cm="1">
        <f t="array" ref="BE98">IF(OR(BF98="-",BI98="-",BF91=0),"-","OK")</f>
        <v>OK</v>
      </c>
      <c r="BF98" s="109" t="str" cm="1">
        <f t="array" ref="BF98">IF(_xlfn.XLOOKUP($E98,$AY1:$AY108,$AZ1:$AZ108,"-",0)=BF91,$E98,"-")</f>
        <v>Congo</v>
      </c>
      <c r="BG98" s="110" cm="1">
        <f t="array" ref="BG98">$F98</f>
        <v>1</v>
      </c>
      <c r="BH98" s="110" cm="1">
        <f t="array" ref="BH98">$G98</f>
        <v>1</v>
      </c>
      <c r="BI98" s="109" t="str" cm="1">
        <f t="array" ref="BI98">IF(_xlfn.XLOOKUP($H98,$AY1:$AY108,$AZ1:$AZ108,"-",0)=BF91,$H98,"-")</f>
        <v>Uzbekistan</v>
      </c>
      <c r="BJ98" s="74"/>
      <c r="BK98" s="74"/>
      <c r="BL98" s="74"/>
      <c r="BM98" s="74"/>
      <c r="BN98" s="74"/>
      <c r="BO98" s="74"/>
      <c r="BP98" s="74"/>
      <c r="BQ98" s="74"/>
      <c r="BR98" s="74"/>
      <c r="BS98" s="74"/>
      <c r="BT98" s="74"/>
      <c r="BU98" s="74"/>
      <c r="BV98" s="74"/>
      <c r="BW98" s="74"/>
      <c r="BX98" s="74"/>
      <c r="BY98" s="108" t="str" cm="1">
        <f t="array" ref="BY98">IF(OR(BZ98="-",CC98="-"),"-","OK")</f>
        <v>-</v>
      </c>
      <c r="BZ98" s="109" t="str" cm="1">
        <f t="array" ref="BZ98">IF(_xlfn.XLOOKUP($E98,$AY1:$AY108,$AZ1:$AZ108,"-",0)=BZ91,$E98,"-")</f>
        <v>-</v>
      </c>
      <c r="CA98" s="110" cm="1">
        <f t="array" ref="CA98">$F98</f>
        <v>1</v>
      </c>
      <c r="CB98" s="110" cm="1">
        <f t="array" ref="CB98">$G98</f>
        <v>1</v>
      </c>
      <c r="CC98" s="109" t="str" cm="1">
        <f t="array" ref="CC98">IF(_xlfn.XLOOKUP($H98,$AY1:$AY108,$AZ1:$AZ108,"-",0)=BZ91,$H98,"-")</f>
        <v>-</v>
      </c>
      <c r="CD98" s="74"/>
      <c r="CE98" s="74"/>
      <c r="CF98" s="74"/>
      <c r="CG98" s="74"/>
      <c r="CH98" s="74"/>
      <c r="CI98" s="74"/>
      <c r="CJ98" s="74"/>
      <c r="CK98" s="74"/>
      <c r="CL98" s="74"/>
      <c r="CM98" s="74"/>
      <c r="CN98" s="74"/>
      <c r="CO98" s="74"/>
      <c r="CP98" s="74"/>
      <c r="CQ98" s="74"/>
      <c r="CR98" s="74"/>
      <c r="CS98" s="74"/>
      <c r="CT98" s="74"/>
      <c r="CU98" s="74"/>
      <c r="CV98" s="74"/>
      <c r="CW98" s="74"/>
      <c r="CX98" s="172"/>
    </row>
    <row r="99" spans="1:102" ht="14.25" customHeight="1">
      <c r="A99" s="141"/>
      <c r="B99" s="142"/>
      <c r="C99" s="143"/>
      <c r="D99" s="144"/>
      <c r="E99" s="145"/>
      <c r="F99" s="143"/>
      <c r="G99" s="143"/>
      <c r="H99" s="146"/>
      <c r="I99" s="78"/>
      <c r="J99" s="77"/>
      <c r="K99" s="77"/>
      <c r="L99" s="77"/>
      <c r="M99" s="77"/>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78"/>
      <c r="AZ99" s="78"/>
      <c r="BA99" s="78"/>
      <c r="BB99" s="78"/>
      <c r="BC99" s="78"/>
      <c r="BD99" s="78"/>
      <c r="BE99" s="77"/>
      <c r="BF99" s="144"/>
      <c r="BG99" s="144"/>
      <c r="BH99" s="144"/>
      <c r="BI99" s="144"/>
      <c r="BJ99" s="78"/>
      <c r="BK99" s="78"/>
      <c r="BL99" s="78"/>
      <c r="BM99" s="78"/>
      <c r="BN99" s="78"/>
      <c r="BO99" s="78"/>
      <c r="BP99" s="78"/>
      <c r="BQ99" s="78"/>
      <c r="BR99" s="78"/>
      <c r="BS99" s="78"/>
      <c r="BT99" s="78"/>
      <c r="BU99" s="78"/>
      <c r="BV99" s="78"/>
      <c r="BW99" s="78"/>
      <c r="BX99" s="78"/>
      <c r="BY99" s="78"/>
      <c r="BZ99" s="144"/>
      <c r="CA99" s="144"/>
      <c r="CB99" s="144"/>
      <c r="CC99" s="144"/>
      <c r="CD99" s="78"/>
      <c r="CE99" s="78"/>
      <c r="CF99" s="78"/>
      <c r="CG99" s="78"/>
      <c r="CH99" s="78"/>
      <c r="CI99" s="78"/>
      <c r="CJ99" s="78"/>
      <c r="CK99" s="78"/>
      <c r="CL99" s="78"/>
      <c r="CM99" s="78"/>
      <c r="CN99" s="78"/>
      <c r="CO99" s="78"/>
      <c r="CP99" s="78"/>
      <c r="CQ99" s="78"/>
      <c r="CR99" s="78"/>
      <c r="CS99" s="78"/>
      <c r="CT99" s="78"/>
      <c r="CU99" s="78"/>
      <c r="CV99" s="78"/>
      <c r="CW99" s="77"/>
      <c r="CX99" s="174"/>
    </row>
    <row r="100" spans="1:102" ht="14.25" customHeight="1">
      <c r="A100" s="150"/>
      <c r="B100" s="144"/>
      <c r="C100" s="144"/>
      <c r="D100" s="144"/>
      <c r="E100" s="144"/>
      <c r="F100" s="144"/>
      <c r="G100" s="144"/>
      <c r="H100" s="144"/>
      <c r="I100" s="138"/>
      <c r="J100" s="138"/>
      <c r="K100" s="138"/>
      <c r="L100" s="138"/>
      <c r="M100" s="138"/>
      <c r="N100" s="138"/>
      <c r="O100" s="138"/>
      <c r="P100" s="138"/>
      <c r="Q100" s="138"/>
      <c r="R100" s="138"/>
      <c r="S100" s="138"/>
      <c r="T100" s="138"/>
      <c r="U100" s="138"/>
      <c r="V100" s="138"/>
      <c r="W100" s="138"/>
      <c r="X100" s="138"/>
      <c r="Y100" s="144"/>
      <c r="Z100" s="144"/>
      <c r="AA100" s="144"/>
      <c r="AB100" s="144"/>
      <c r="AC100" s="144"/>
      <c r="AD100" s="144"/>
      <c r="AE100" s="144"/>
      <c r="AF100" s="144"/>
      <c r="AG100" s="144"/>
      <c r="AH100" s="144"/>
      <c r="AI100" s="138"/>
      <c r="AJ100" s="138"/>
      <c r="AK100" s="138"/>
      <c r="AL100" s="138"/>
      <c r="AM100" s="138"/>
      <c r="AN100" s="138"/>
      <c r="AO100" s="138"/>
      <c r="AP100" s="138"/>
      <c r="AQ100" s="138"/>
      <c r="AR100" s="138"/>
      <c r="AS100" s="138"/>
      <c r="AT100" s="138"/>
      <c r="AU100" s="138"/>
      <c r="AV100" s="138"/>
      <c r="AW100" s="138"/>
      <c r="AX100" s="138"/>
      <c r="AY100" s="138"/>
      <c r="AZ100" s="138"/>
      <c r="BA100" s="138"/>
      <c r="BB100" s="138"/>
      <c r="BC100" s="138"/>
      <c r="BD100" s="138"/>
      <c r="BE100" s="138"/>
      <c r="BF100" s="138" t="str" cm="1">
        <f t="array" ref="BF100">IF(BA102&gt;1,AZ102,IF(BA103&gt;1,AZ103,IF(BA104&gt;1,AZ104,IF(BA105&gt;1,AZ105,"-"))))</f>
        <v>-</v>
      </c>
      <c r="BG100" s="138"/>
      <c r="BH100" s="138"/>
      <c r="BI100" s="138"/>
      <c r="BJ100" s="138"/>
      <c r="BK100" s="138"/>
      <c r="BL100" s="138"/>
      <c r="BM100" s="138"/>
      <c r="BN100" s="138"/>
      <c r="BO100" s="138"/>
      <c r="BP100" s="138"/>
      <c r="BQ100" s="138"/>
      <c r="BR100" s="138"/>
      <c r="BS100" s="138"/>
      <c r="BT100" s="138"/>
      <c r="BU100" s="138"/>
      <c r="BV100" s="138"/>
      <c r="BW100" s="152">
        <v>10</v>
      </c>
      <c r="BX100" s="138"/>
      <c r="BY100" s="138"/>
      <c r="BZ100" s="153" cm="1">
        <f t="array" ref="BZ100">IF(BC102&gt;1,BB102,IF(BC103&gt;1,BB103,IF(BC104&gt;1,BB104,IF(BC105&gt;1,BB105,"-"))))</f>
        <v>7</v>
      </c>
      <c r="CA100" s="138"/>
      <c r="CB100" s="138"/>
      <c r="CC100" s="138"/>
      <c r="CD100" s="138"/>
      <c r="CE100" s="138"/>
      <c r="CF100" s="138"/>
      <c r="CG100" s="138"/>
      <c r="CH100" s="138"/>
      <c r="CI100" s="138"/>
      <c r="CJ100" s="138"/>
      <c r="CK100" s="138"/>
      <c r="CL100" s="138"/>
      <c r="CM100" s="138"/>
      <c r="CN100" s="138"/>
      <c r="CO100" s="138"/>
      <c r="CP100" s="138"/>
      <c r="CQ100" s="152">
        <v>10</v>
      </c>
      <c r="CR100" s="138"/>
      <c r="CS100" s="138"/>
      <c r="CT100" s="138"/>
      <c r="CU100" s="138"/>
      <c r="CV100" s="138"/>
      <c r="CW100" s="138"/>
      <c r="CX100" s="175"/>
    </row>
    <row r="101" spans="1:102" ht="14.25" customHeight="1">
      <c r="A101" s="263" t="s">
        <v>101</v>
      </c>
      <c r="B101" s="264" t="s">
        <v>102</v>
      </c>
      <c r="C101" s="264" t="s">
        <v>103</v>
      </c>
      <c r="D101" s="265"/>
      <c r="E101" s="266" t="s">
        <v>231</v>
      </c>
      <c r="F101" s="267"/>
      <c r="G101" s="267"/>
      <c r="H101" s="268"/>
      <c r="I101" s="65"/>
      <c r="J101" s="66" t="s">
        <v>105</v>
      </c>
      <c r="K101" s="66" t="s">
        <v>106</v>
      </c>
      <c r="L101" s="66" t="s">
        <v>106</v>
      </c>
      <c r="M101" s="66" t="s">
        <v>107</v>
      </c>
      <c r="N101" s="65"/>
      <c r="O101" s="67" t="str" cm="1">
        <f t="array" ref="O101">E101</f>
        <v>Grupo L</v>
      </c>
      <c r="P101" s="68" t="s">
        <v>105</v>
      </c>
      <c r="Q101" s="68" t="s">
        <v>106</v>
      </c>
      <c r="R101" s="68" t="s">
        <v>107</v>
      </c>
      <c r="S101" s="68" t="s">
        <v>108</v>
      </c>
      <c r="T101" s="68" t="s">
        <v>109</v>
      </c>
      <c r="U101" s="68" t="s">
        <v>110</v>
      </c>
      <c r="V101" s="68" t="s">
        <v>0</v>
      </c>
      <c r="W101" s="69"/>
      <c r="X101" s="65"/>
      <c r="Y101" s="772" t="s">
        <v>231</v>
      </c>
      <c r="Z101" s="773"/>
      <c r="AA101" s="269" t="s">
        <v>111</v>
      </c>
      <c r="AB101" s="270" t="s">
        <v>105</v>
      </c>
      <c r="AC101" s="270" t="s">
        <v>106</v>
      </c>
      <c r="AD101" s="270" t="s">
        <v>107</v>
      </c>
      <c r="AE101" s="270" t="s">
        <v>108</v>
      </c>
      <c r="AF101" s="270" t="s">
        <v>109</v>
      </c>
      <c r="AG101" s="270" t="s">
        <v>110</v>
      </c>
      <c r="AH101" s="271" t="s">
        <v>0</v>
      </c>
      <c r="AI101" s="234"/>
      <c r="AJ101" s="74"/>
      <c r="AK101" s="74"/>
      <c r="AL101" s="75" t="s">
        <v>0</v>
      </c>
      <c r="AM101" s="75" t="s">
        <v>112</v>
      </c>
      <c r="AN101" s="76"/>
      <c r="AO101" s="76"/>
      <c r="AP101" s="76"/>
      <c r="AQ101" s="76"/>
      <c r="AR101" s="76"/>
      <c r="AS101" s="76"/>
      <c r="AT101" s="76"/>
      <c r="AU101" s="77"/>
      <c r="AV101" s="78"/>
      <c r="AW101" s="74"/>
      <c r="AX101" s="74"/>
      <c r="AY101" s="75" t="s">
        <v>113</v>
      </c>
      <c r="AZ101" s="75" t="s">
        <v>0</v>
      </c>
      <c r="BA101" s="75" t="s">
        <v>114</v>
      </c>
      <c r="BB101" s="76"/>
      <c r="BC101" s="76"/>
      <c r="BD101" s="76"/>
      <c r="BE101" s="74"/>
      <c r="BF101" s="78"/>
      <c r="BG101" s="78"/>
      <c r="BH101" s="78"/>
      <c r="BI101" s="78"/>
      <c r="BJ101" s="74"/>
      <c r="BK101" s="79"/>
      <c r="BL101" s="80" t="s">
        <v>111</v>
      </c>
      <c r="BM101" s="75" t="s">
        <v>105</v>
      </c>
      <c r="BN101" s="75" t="s">
        <v>106</v>
      </c>
      <c r="BO101" s="75" t="s">
        <v>107</v>
      </c>
      <c r="BP101" s="75" t="s">
        <v>108</v>
      </c>
      <c r="BQ101" s="75" t="s">
        <v>109</v>
      </c>
      <c r="BR101" s="75" t="s">
        <v>110</v>
      </c>
      <c r="BS101" s="75" t="s">
        <v>0</v>
      </c>
      <c r="BT101" s="75" t="s">
        <v>115</v>
      </c>
      <c r="BU101" s="76"/>
      <c r="BV101" s="75" t="s">
        <v>116</v>
      </c>
      <c r="BW101" s="75" t="s">
        <v>115</v>
      </c>
      <c r="BX101" s="74"/>
      <c r="BY101" s="74"/>
      <c r="BZ101" s="78"/>
      <c r="CA101" s="78"/>
      <c r="CB101" s="78"/>
      <c r="CC101" s="78"/>
      <c r="CD101" s="74"/>
      <c r="CE101" s="79"/>
      <c r="CF101" s="80" t="s">
        <v>111</v>
      </c>
      <c r="CG101" s="75" t="s">
        <v>105</v>
      </c>
      <c r="CH101" s="75" t="s">
        <v>106</v>
      </c>
      <c r="CI101" s="75" t="s">
        <v>107</v>
      </c>
      <c r="CJ101" s="75" t="s">
        <v>108</v>
      </c>
      <c r="CK101" s="75" t="s">
        <v>109</v>
      </c>
      <c r="CL101" s="75" t="s">
        <v>110</v>
      </c>
      <c r="CM101" s="75" t="s">
        <v>0</v>
      </c>
      <c r="CN101" s="75" t="s">
        <v>115</v>
      </c>
      <c r="CO101" s="76"/>
      <c r="CP101" s="75" t="s">
        <v>116</v>
      </c>
      <c r="CQ101" s="75" t="s">
        <v>115</v>
      </c>
      <c r="CR101" s="74"/>
      <c r="CS101" s="74"/>
      <c r="CT101" s="74"/>
      <c r="CU101" s="74"/>
      <c r="CV101" s="74"/>
      <c r="CW101" s="74"/>
      <c r="CX101" s="172"/>
    </row>
    <row r="102" spans="1:102" ht="14.25" customHeight="1">
      <c r="A102" s="85" t="s">
        <v>232</v>
      </c>
      <c r="B102" s="86">
        <v>46190</v>
      </c>
      <c r="C102" s="87"/>
      <c r="D102" s="88"/>
      <c r="E102" s="85" t="s">
        <v>51</v>
      </c>
      <c r="F102" s="89">
        <v>1</v>
      </c>
      <c r="G102" s="89">
        <v>1</v>
      </c>
      <c r="H102" s="90" t="s">
        <v>57</v>
      </c>
      <c r="I102" s="65"/>
      <c r="J102" s="65" t="str" cm="1">
        <f t="array" ref="J102">IF(OR(ISBLANK(F102),ISBLANK(G102)),"",IF(F102&gt;G102,E102,IF(G102&gt;F102,H102,"")))</f>
        <v/>
      </c>
      <c r="K102" s="65" t="str" cm="1">
        <f t="array" ref="K102">IF(OR(ISBLANK(F102),ISBLANK(G102)),"",IF(F102=G102,E102,""))</f>
        <v>Inglaterra</v>
      </c>
      <c r="L102" s="65" t="str" cm="1">
        <f t="array" ref="L102">IF(OR(ISBLANK(F102),ISBLANK(G102)),"",IF(F102=G102,H102,""))</f>
        <v>Croacia</v>
      </c>
      <c r="M102" s="65" t="str" cm="1">
        <f t="array" ref="M102">IF(OR(ISBLANK(F102),ISBLANK(G102)),"",IF(F102&lt;G102,E102,IF(G102&lt;F102,H102,"")))</f>
        <v/>
      </c>
      <c r="N102" s="65"/>
      <c r="O102" s="67" t="str" cm="1">
        <f t="array" ref="O102">E102</f>
        <v>Inglaterra</v>
      </c>
      <c r="P102" s="91" cm="1">
        <f t="array" ref="P102">COUNTIF(J102:J107,"="&amp;$O102)</f>
        <v>2</v>
      </c>
      <c r="Q102" s="91" cm="1">
        <f t="array" ref="Q102">COUNTIF(K102:L107,"="&amp;$O102)</f>
        <v>1</v>
      </c>
      <c r="R102" s="91" cm="1">
        <f t="array" ref="R102">COUNTIF(M102:M107,"="&amp;$O102)</f>
        <v>0</v>
      </c>
      <c r="S102" s="91" cm="1">
        <f t="array" ref="S102">T102-U102</f>
        <v>4</v>
      </c>
      <c r="T102" s="91" cm="1">
        <f t="array" ref="T102">SUMIF(E102:E107,$O102,F102:F107)+SUMIF(H102:H107,$O102,G102:G107)</f>
        <v>6</v>
      </c>
      <c r="U102" s="91" cm="1">
        <f t="array" ref="U102">SUMIF(E102:E107,$O102,G102:G107)+SUMIF(H102:H107,$O102,F102:F107)</f>
        <v>2</v>
      </c>
      <c r="V102" s="92" cm="1">
        <f t="array" ref="V102">P102*3+Q102*1+BT102+CN102+S102/1000+T102/10000+AV102/1000000+ROW()/10000000</f>
        <v>7.0046132000000005</v>
      </c>
      <c r="W102" s="67" t="str" cm="1">
        <f t="array" ref="W102">O102</f>
        <v>Inglaterra</v>
      </c>
      <c r="X102" s="65"/>
      <c r="Y102" s="93" t="str" cm="1">
        <f t="array" ref="Y102">CONCATENATE("1",RIGHT(E101,1))</f>
        <v>1L</v>
      </c>
      <c r="Z102" s="94" t="str" cm="1">
        <f t="array" ref="Z102">VLOOKUP(AL102,V102:W105,2,FALSE)</f>
        <v>Inglaterra</v>
      </c>
      <c r="AA102" s="95" cm="1">
        <f t="array" ref="AA102">SUM(AB102:AD102)</f>
        <v>3</v>
      </c>
      <c r="AB102" s="96" cm="1">
        <f t="array" ref="AB102">_xlfn.XLOOKUP($Z102,$O1:$O108,P1:P108,"Error",0)</f>
        <v>2</v>
      </c>
      <c r="AC102" s="96" cm="1">
        <f t="array" ref="AC102">_xlfn.XLOOKUP($Z102,$O1:$O108,Q1:Q108,"Error",0)</f>
        <v>1</v>
      </c>
      <c r="AD102" s="96" cm="1">
        <f t="array" ref="AD102">_xlfn.XLOOKUP($Z102,$O1:$O108,R1:R108,"Error",0)</f>
        <v>0</v>
      </c>
      <c r="AE102" s="96" cm="1">
        <f t="array" ref="AE102">_xlfn.XLOOKUP($Z102,$O1:$O108,S1:S108,"Error",0)</f>
        <v>4</v>
      </c>
      <c r="AF102" s="96" cm="1">
        <f t="array" ref="AF102">_xlfn.XLOOKUP($Z102,$O1:$O108,T1:T108,"Error",0)</f>
        <v>6</v>
      </c>
      <c r="AG102" s="96" cm="1">
        <f t="array" ref="AG102">_xlfn.XLOOKUP($Z102,$O1:$O108,U1:U108,"Error",0)</f>
        <v>2</v>
      </c>
      <c r="AH102" s="97" cm="1">
        <f t="array" ref="AH102">_xlfn.XLOOKUP($Z102,$O1:$O108,V1:V108,"Error",0)</f>
        <v>7.0046132000000005</v>
      </c>
      <c r="AI102" s="98"/>
      <c r="AJ102" s="74"/>
      <c r="AK102" s="74"/>
      <c r="AL102" s="99" cm="1">
        <f t="array" ref="AL102">LARGE(V102:V105,1)</f>
        <v>7.0046132000000005</v>
      </c>
      <c r="AM102" s="100" cm="1">
        <f t="array" ref="AM102">(AH102-AL102)*100000000000000000000</f>
        <v>0</v>
      </c>
      <c r="AN102" s="74"/>
      <c r="AO102" s="74"/>
      <c r="AP102" s="101" t="str" cm="1">
        <f t="array" ref="AP102">O102</f>
        <v>Inglaterra</v>
      </c>
      <c r="AQ102" s="102" cm="1">
        <f t="array" ref="AQ102">P102*3+Q102*1+BT102+CN102+S102/1000+T102/10000</f>
        <v>7.0045999999999999</v>
      </c>
      <c r="AR102" s="102" t="b" cm="1">
        <f t="array" ref="AR102">IF(OR(AQ102=AQ103,AQ102=AQ104,AQ102=AQ105),1)</f>
        <v>0</v>
      </c>
      <c r="AS102" s="103" cm="1">
        <f t="array" ref="AS102">AV102</f>
        <v>3</v>
      </c>
      <c r="AT102" s="103" cm="1">
        <f t="array" ref="AT102">IF(AND(AM106="si",OR(AR102=1,AR103=1,AR104=1)),1,0)</f>
        <v>0</v>
      </c>
      <c r="AU102" s="104" t="str" cm="1">
        <f t="array" ref="AU102">O102</f>
        <v>Inglaterra</v>
      </c>
      <c r="AV102" s="272">
        <v>3</v>
      </c>
      <c r="AW102" s="106"/>
      <c r="AX102" s="74" t="str" cm="1">
        <f t="array" ref="AX102">Y101</f>
        <v>Grupo L</v>
      </c>
      <c r="AY102" s="76" t="str" cm="1">
        <f t="array" ref="AY102">O102</f>
        <v>Inglaterra</v>
      </c>
      <c r="AZ102" s="107" cm="1">
        <f t="array" ref="AZ102">P102*3+Q102</f>
        <v>7</v>
      </c>
      <c r="BA102" s="107" cm="1">
        <f t="array" ref="BA102">COUNTIFS($AX$1:AX102,AX102,$AZ$1:AZ102,AZ102)</f>
        <v>1</v>
      </c>
      <c r="BB102" s="107" cm="1">
        <f t="array" ref="BB102">IF(AZ102=BF100,ROW()*0.001,AZ102)</f>
        <v>7</v>
      </c>
      <c r="BC102" s="107" cm="1">
        <f t="array" ref="BC102">COUNTIFS($AX$1:AZ102,AZ102,$AZ$1:BB102,BB102)</f>
        <v>6</v>
      </c>
      <c r="BD102" s="107"/>
      <c r="BE102" s="108" t="str" cm="1">
        <f t="array" ref="BE102">IF(OR(BF102="-",BI102="-",BF100=0),"-","OK")</f>
        <v>-</v>
      </c>
      <c r="BF102" s="109" t="str" cm="1">
        <f t="array" ref="BF102">IF(_xlfn.XLOOKUP($E102,$AY1:$AY108,$AZ1:$AZ108,"-",0)=BF100,$E102,"-")</f>
        <v>-</v>
      </c>
      <c r="BG102" s="110" cm="1">
        <f t="array" ref="BG102">$F102</f>
        <v>1</v>
      </c>
      <c r="BH102" s="110" cm="1">
        <f t="array" ref="BH102">$G102</f>
        <v>1</v>
      </c>
      <c r="BI102" s="109" t="str" cm="1">
        <f t="array" ref="BI102">IF(_xlfn.XLOOKUP($H102,$AY1:$AY108,$AZ1:$AZ108,"-",0)=BF100,$H102,"-")</f>
        <v>-</v>
      </c>
      <c r="BJ102" s="74"/>
      <c r="BK102" s="79" t="str" cm="1">
        <f t="array" ref="BK102">O102</f>
        <v>Inglaterra</v>
      </c>
      <c r="BL102" s="111" cm="1">
        <f t="array" ref="BL102">COUNTIFS($BE1:$BE108,"OK",$BI1:$BI108,BK102)+COUNTIFS($BE1:$BE108,"OK",$BF1:$BF108,BK102)</f>
        <v>0</v>
      </c>
      <c r="BM102" s="112" cm="1">
        <f t="array" ref="BM102">COUNTIFS(J1:J108,$BK102,$BE1:$BE108,"OK")</f>
        <v>0</v>
      </c>
      <c r="BN102" s="112" cm="1">
        <f t="array" ref="BN102">COUNTIFS(K1:K108,$BK102,$BE1:$BE108,"OK")+COUNTIFS(L1:L108,$BK102,$BE1:$BE108,"OK")</f>
        <v>0</v>
      </c>
      <c r="BO102" s="112" cm="1">
        <f t="array" ref="BO102">COUNTIFS(M1:M108,$BK102,$BE1:$BE108,"OK")</f>
        <v>0</v>
      </c>
      <c r="BP102" s="112" cm="1">
        <f t="array" ref="BP102">BQ102-BR102</f>
        <v>0</v>
      </c>
      <c r="BQ102" s="112" cm="1">
        <f t="array" ref="BQ102">SUMIFS(BG1:BG108,$BE1:$BE108,"OK",BF1:BF108,$BK102)+SUMIFS(BH1:BH108,$BE1:$BE108,"OK",BI1:BI108,$BK102)</f>
        <v>0</v>
      </c>
      <c r="BR102" s="112" cm="1">
        <f t="array" ref="BR102">SUMIFS(BH1:BH108,$BE1:$BE108,"OK",BF1:BF108,$BK102)+SUMIFS(BG1:BG108,$BE1:$BE108,"OK",BI1:BI108,$BK102)</f>
        <v>0</v>
      </c>
      <c r="BS102" s="113" cm="1">
        <f t="array" ref="BS102">BM102*3+BN102*1+BP102/100+BQ102/10000</f>
        <v>0</v>
      </c>
      <c r="BT102" s="107" cm="1">
        <f t="array" ref="BT102">IF(BL102=0,0,_xlfn.XLOOKUP(BS102,BV102:BV105,BW102:BW105))</f>
        <v>0</v>
      </c>
      <c r="BU102" s="99"/>
      <c r="BV102" s="113" cm="1">
        <f t="array" ref="BV102">LARGE(BS102:BS105,1)</f>
        <v>0</v>
      </c>
      <c r="BW102" s="112" cm="1">
        <f t="array" ref="BW102">BX102/$BW$1</f>
        <v>0.3</v>
      </c>
      <c r="BX102" s="114">
        <v>3</v>
      </c>
      <c r="BY102" s="108" t="str" cm="1">
        <f t="array" ref="BY102">IF(OR(BZ102="-",CC102="-"),"-","OK")</f>
        <v>-</v>
      </c>
      <c r="BZ102" s="109" t="str" cm="1">
        <f t="array" ref="BZ102">IF(_xlfn.XLOOKUP($E102,$AY1:$AY108,$AZ1:$AZ108,"-",0)=BZ100,$E102,"-")</f>
        <v>Inglaterra</v>
      </c>
      <c r="CA102" s="110" cm="1">
        <f t="array" ref="CA102">$F102</f>
        <v>1</v>
      </c>
      <c r="CB102" s="110" cm="1">
        <f t="array" ref="CB102">$G102</f>
        <v>1</v>
      </c>
      <c r="CC102" s="109" t="str" cm="1">
        <f t="array" ref="CC102">IF(_xlfn.XLOOKUP($H102,$AY1:$AY108,$AZ1:$AZ108,"-",0)=BZ100,$H102,"-")</f>
        <v>-</v>
      </c>
      <c r="CD102" s="74"/>
      <c r="CE102" s="79" t="str" cm="1">
        <f t="array" ref="CE102">BK102</f>
        <v>Inglaterra</v>
      </c>
      <c r="CF102" s="111" cm="1">
        <f t="array" ref="CF102">COUNTIFS($BY1:$BY108,"OK",$CC1:$CC108,CE102)+COUNTIFS($BY1:$BY108,"OK",$BZ1:$BZ108,CE102)</f>
        <v>0</v>
      </c>
      <c r="CG102" s="112" cm="1">
        <f t="array" ref="CG102">COUNTIFS(P1:P108,$BK102,$BY1:$BY108,"OK")</f>
        <v>0</v>
      </c>
      <c r="CH102" s="112" cm="1">
        <f t="array" ref="CH102">COUNTIFS(K1:K108,$BK102,$BY1:$BY108,"OK")+COUNTIFS(L1:L108,$BK102,$BY1:$BY108,"OK")</f>
        <v>0</v>
      </c>
      <c r="CI102" s="112" cm="1">
        <f t="array" ref="CI102">COUNTIFS(M1:M108,$CE102,$BY1:$BY108,"OK")</f>
        <v>0</v>
      </c>
      <c r="CJ102" s="112" cm="1">
        <f t="array" ref="CJ102">CK102-CL102</f>
        <v>0</v>
      </c>
      <c r="CK102" s="112" cm="1">
        <f t="array" ref="CK102">SUMIFS(CA1:CA108,$BY1:$BY108,"OK",BZ1:BZ108,$BK102)+SUMIFS(CB1:CB108,$BY1:$BY108,"OK",CC1:CC108,$BK102)</f>
        <v>0</v>
      </c>
      <c r="CL102" s="112" cm="1">
        <f t="array" ref="CL102">SUMIFS(CB1:CB108,$BY1:$BY108,"OK",BZ1:BZ108,$BK102)+SUMIFS(CA1:CA108,$BY1:$BY108,"OK",CC1:CC108,$BK102)</f>
        <v>0</v>
      </c>
      <c r="CM102" s="113" cm="1">
        <f t="array" ref="CM102">CG102*3+CH102*1+CJ102/100+CK102/10000</f>
        <v>0</v>
      </c>
      <c r="CN102" s="107" cm="1">
        <f t="array" ref="CN102">IF(CF102=0,0,_xlfn.XLOOKUP(CM102,CP102:CP105,CQ102:CQ105))</f>
        <v>0</v>
      </c>
      <c r="CO102" s="99"/>
      <c r="CP102" s="113" cm="1">
        <f t="array" ref="CP102">LARGE(CM102:CM105,1)</f>
        <v>0</v>
      </c>
      <c r="CQ102" s="112" cm="1">
        <f t="array" ref="CQ102">CR102/$BW$1</f>
        <v>0.3</v>
      </c>
      <c r="CR102" s="114">
        <v>3</v>
      </c>
      <c r="CS102" s="74"/>
      <c r="CT102" s="74"/>
      <c r="CU102" s="74"/>
      <c r="CV102" s="74"/>
      <c r="CW102" s="74"/>
      <c r="CX102" s="172"/>
    </row>
    <row r="103" spans="1:102" ht="14.25" customHeight="1">
      <c r="A103" s="85" t="s">
        <v>234</v>
      </c>
      <c r="B103" s="86">
        <v>46190</v>
      </c>
      <c r="C103" s="87"/>
      <c r="D103" s="88"/>
      <c r="E103" s="85" t="s">
        <v>85</v>
      </c>
      <c r="F103" s="89">
        <v>2</v>
      </c>
      <c r="G103" s="89">
        <v>1</v>
      </c>
      <c r="H103" s="90" t="s">
        <v>77</v>
      </c>
      <c r="I103" s="65"/>
      <c r="J103" s="65" t="str" cm="1">
        <f t="array" ref="J103">IF(OR(ISBLANK(F103),ISBLANK(G103)),"",IF(F103&gt;G103,E103,IF(G103&gt;F103,H103,"")))</f>
        <v>Ghana</v>
      </c>
      <c r="K103" s="65" t="str" cm="1">
        <f t="array" ref="K103">IF(OR(ISBLANK(F103),ISBLANK(G103)),"",IF(F103=G103,E103,""))</f>
        <v/>
      </c>
      <c r="L103" s="65" t="str" cm="1">
        <f t="array" ref="L103">IF(OR(ISBLANK(F103),ISBLANK(G103)),"",IF(F103=G103,H103,""))</f>
        <v/>
      </c>
      <c r="M103" s="65" t="str" cm="1">
        <f t="array" ref="M103">IF(OR(ISBLANK(F103),ISBLANK(G103)),"",IF(F103&lt;G103,E103,IF(G103&lt;F103,H103,"")))</f>
        <v>Panama</v>
      </c>
      <c r="N103" s="65"/>
      <c r="O103" s="67" t="str" cm="1">
        <f t="array" ref="O103">H102</f>
        <v>Croacia</v>
      </c>
      <c r="P103" s="91" cm="1">
        <f t="array" ref="P103">COUNTIF(J102:J107,"="&amp;$O103)</f>
        <v>1</v>
      </c>
      <c r="Q103" s="91" cm="1">
        <f t="array" ref="Q103">COUNTIF(K102:L107,"="&amp;$O103)</f>
        <v>2</v>
      </c>
      <c r="R103" s="91" cm="1">
        <f t="array" ref="R103">COUNTIF(M102:M107,"="&amp;$O103)</f>
        <v>0</v>
      </c>
      <c r="S103" s="91" cm="1">
        <f t="array" ref="S103">T103-U103</f>
        <v>2</v>
      </c>
      <c r="T103" s="91" cm="1">
        <f t="array" ref="T103">SUMIF(E102:E107,$O103,F102:F107)+SUMIF(H102:H107,$O103,G102:G107)</f>
        <v>4</v>
      </c>
      <c r="U103" s="91" cm="1">
        <f t="array" ref="U103">SUMIF(E102:E107,$O103,G102:G107)+SUMIF(H102:H107,$O103,F102:F107)</f>
        <v>2</v>
      </c>
      <c r="V103" s="92" cm="1">
        <f t="array" ref="V103">P103*3+Q103*1+BT103+CN103+S103/1000+T103/10000+AV103/1000000+ROW()/10000000</f>
        <v>5.0024102999999993</v>
      </c>
      <c r="W103" s="67" t="str" cm="1">
        <f t="array" ref="W103">O103</f>
        <v>Croacia</v>
      </c>
      <c r="X103" s="65"/>
      <c r="Y103" s="117" t="str" cm="1">
        <f t="array" ref="Y103">CONCATENATE("2",RIGHT(E101,1))</f>
        <v>2L</v>
      </c>
      <c r="Z103" s="118" t="str" cm="1">
        <f t="array" ref="Z103">VLOOKUP(AL103,V102:W105,2,FALSE)</f>
        <v>Croacia</v>
      </c>
      <c r="AA103" s="119" cm="1">
        <f t="array" ref="AA103">SUM(AB103:AD103)</f>
        <v>3</v>
      </c>
      <c r="AB103" s="120" cm="1">
        <f t="array" ref="AB103">_xlfn.XLOOKUP($Z103,$O1:$O108,P1:P108,"Error",0)</f>
        <v>1</v>
      </c>
      <c r="AC103" s="120" cm="1">
        <f t="array" ref="AC103">_xlfn.XLOOKUP($Z103,$O1:$O108,Q1:Q108,"Error",0)</f>
        <v>2</v>
      </c>
      <c r="AD103" s="120" cm="1">
        <f t="array" ref="AD103">_xlfn.XLOOKUP($Z103,$O1:$O108,R1:R108,"Error",0)</f>
        <v>0</v>
      </c>
      <c r="AE103" s="120" cm="1">
        <f t="array" ref="AE103">_xlfn.XLOOKUP($Z103,$O1:$O108,S1:S108,"Error",0)</f>
        <v>2</v>
      </c>
      <c r="AF103" s="120" cm="1">
        <f t="array" ref="AF103">_xlfn.XLOOKUP($Z103,$O1:$O108,T1:T108,"Error",0)</f>
        <v>4</v>
      </c>
      <c r="AG103" s="120" cm="1">
        <f t="array" ref="AG103">_xlfn.XLOOKUP($Z103,$O1:$O108,U1:U108,"Error",0)</f>
        <v>2</v>
      </c>
      <c r="AH103" s="121" cm="1">
        <f t="array" ref="AH103">_xlfn.XLOOKUP($Z103,$O1:$O108,V1:V108,"Error",0)</f>
        <v>5.0024102999999993</v>
      </c>
      <c r="AI103" s="98"/>
      <c r="AJ103" s="74"/>
      <c r="AK103" s="74"/>
      <c r="AL103" s="99" cm="1">
        <f t="array" ref="AL103">LARGE(V102:V105,2)</f>
        <v>5.0024102999999993</v>
      </c>
      <c r="AM103" s="100" cm="1">
        <f t="array" ref="AM103">(AH103-AL103)*100000000000000000000</f>
        <v>0</v>
      </c>
      <c r="AN103" s="74"/>
      <c r="AO103" s="74"/>
      <c r="AP103" s="101" t="str" cm="1">
        <f t="array" ref="AP103">O103</f>
        <v>Croacia</v>
      </c>
      <c r="AQ103" s="102" cm="1">
        <f t="array" ref="AQ103">P103*3+Q103*1+BT103+CN103+S103/1000+T103/10000</f>
        <v>5.0023999999999997</v>
      </c>
      <c r="AR103" s="102" t="b" cm="1">
        <f t="array" ref="AR103">IF(OR(AQ103=AQ104,AQ103=AQ105),1)</f>
        <v>0</v>
      </c>
      <c r="AS103" s="103" cm="1">
        <f t="array" ref="AS103">AV103</f>
        <v>0</v>
      </c>
      <c r="AT103" s="103" cm="1">
        <f t="array" ref="AT103">IF(AND(AM106="si",OR(AR102=1,AR103=1,AR104=1)),1,0)</f>
        <v>0</v>
      </c>
      <c r="AU103" s="122" t="str" cm="1">
        <f t="array" ref="AU103">O103</f>
        <v>Croacia</v>
      </c>
      <c r="AV103" s="101"/>
      <c r="AW103" s="106"/>
      <c r="AX103" s="74" t="str" cm="1">
        <f t="array" ref="AX103">Y101</f>
        <v>Grupo L</v>
      </c>
      <c r="AY103" s="76" t="str" cm="1">
        <f t="array" ref="AY103">O103</f>
        <v>Croacia</v>
      </c>
      <c r="AZ103" s="107" cm="1">
        <f t="array" ref="AZ103">P103*3+Q103</f>
        <v>5</v>
      </c>
      <c r="BA103" s="107" cm="1">
        <f t="array" ref="BA103">COUNTIFS($AX$1:AX103,AX103,$AZ$1:AZ103,AZ103)</f>
        <v>1</v>
      </c>
      <c r="BB103" s="107" cm="1">
        <f t="array" ref="BB103">IF(AZ103=BF100,ROW()*0.001,AZ103)</f>
        <v>5</v>
      </c>
      <c r="BC103" s="107" cm="1">
        <f t="array" ref="BC103">COUNTIFS($AX$1:AZ103,AZ103,$AZ$1:BB103,BB103)</f>
        <v>2</v>
      </c>
      <c r="BD103" s="107"/>
      <c r="BE103" s="108" t="str" cm="1">
        <f t="array" ref="BE103">IF(OR(BF103="-",BI103="-",BF100=0),"-","OK")</f>
        <v>-</v>
      </c>
      <c r="BF103" s="109" t="str" cm="1">
        <f t="array" ref="BF103">IF(_xlfn.XLOOKUP($E103,$AY1:$AY108,$AZ1:$AZ108,"-",0)=BF100,$E103,"-")</f>
        <v>-</v>
      </c>
      <c r="BG103" s="110" cm="1">
        <f t="array" ref="BG103">$F103</f>
        <v>2</v>
      </c>
      <c r="BH103" s="110" cm="1">
        <f t="array" ref="BH103">$G103</f>
        <v>1</v>
      </c>
      <c r="BI103" s="109" t="str" cm="1">
        <f t="array" ref="BI103">IF(_xlfn.XLOOKUP($H103,$AY1:$AY108,$AZ1:$AZ108,"-",0)=BF100,$H103,"-")</f>
        <v>-</v>
      </c>
      <c r="BJ103" s="74"/>
      <c r="BK103" s="79" t="str" cm="1">
        <f t="array" ref="BK103">O103</f>
        <v>Croacia</v>
      </c>
      <c r="BL103" s="111" cm="1">
        <f t="array" ref="BL103">COUNTIFS($BE1:$BE108,"OK",$BI1:$BI108,BK103)+COUNTIFS($BE1:$BE108,"OK",$BF1:$BF108,BK103)</f>
        <v>0</v>
      </c>
      <c r="BM103" s="112" cm="1">
        <f t="array" ref="BM103">COUNTIFS(J1:J108,$BK103,$BE1:$BE108,"OK")</f>
        <v>0</v>
      </c>
      <c r="BN103" s="112" cm="1">
        <f t="array" ref="BN103">COUNTIFS(K1:K108,$BK103,$BE1:$BE108,"OK")+COUNTIFS(L1:L108,$BK103,$BE1:$BE108,"OK")</f>
        <v>0</v>
      </c>
      <c r="BO103" s="112" cm="1">
        <f t="array" ref="BO103">COUNTIFS(M1:M108,$BK103,$BE1:$BE108,"OK")</f>
        <v>0</v>
      </c>
      <c r="BP103" s="112" cm="1">
        <f t="array" ref="BP103">BQ103-BR103</f>
        <v>0</v>
      </c>
      <c r="BQ103" s="112" cm="1">
        <f t="array" ref="BQ103">SUMIFS(BG1:BG108,$BE1:$BE108,"OK",BF1:BF108,$BK103)+SUMIFS(BH1:BH108,$BE1:$BE108,"OK",BI1:BI108,$BK103)</f>
        <v>0</v>
      </c>
      <c r="BR103" s="112" cm="1">
        <f t="array" ref="BR103">SUMIFS(BH1:BH108,$BE1:$BE108,"OK",BF1:BF108,$BK103)+SUMIFS(BG1:BG108,$BE1:$BE108,"OK",BI1:BI108,$BK103)</f>
        <v>0</v>
      </c>
      <c r="BS103" s="113" cm="1">
        <f t="array" ref="BS103">BM103*3+BN103*1+BP103/100+BQ103/10000</f>
        <v>0</v>
      </c>
      <c r="BT103" s="107" cm="1">
        <f t="array" ref="BT103">IF(BL103=0,0,_xlfn.XLOOKUP(BS103,BV102:BV105,BW102:BW105))</f>
        <v>0</v>
      </c>
      <c r="BU103" s="99"/>
      <c r="BV103" s="113" cm="1">
        <f t="array" ref="BV103">LARGE(BS102:BS105,2)</f>
        <v>0</v>
      </c>
      <c r="BW103" s="112" cm="1">
        <f t="array" ref="BW103">BX103/$BW$1</f>
        <v>0.2</v>
      </c>
      <c r="BX103" s="114">
        <v>2</v>
      </c>
      <c r="BY103" s="108" t="str" cm="1">
        <f t="array" ref="BY103">IF(OR(BZ103="-",CC103="-"),"-","OK")</f>
        <v>-</v>
      </c>
      <c r="BZ103" s="109" t="str" cm="1">
        <f t="array" ref="BZ103">IF(_xlfn.XLOOKUP($E103,$AY1:$AY108,$AZ1:$AZ108,"-",0)=BZ100,$E103,"-")</f>
        <v>-</v>
      </c>
      <c r="CA103" s="110" cm="1">
        <f t="array" ref="CA103">$F103</f>
        <v>2</v>
      </c>
      <c r="CB103" s="110" cm="1">
        <f t="array" ref="CB103">$G103</f>
        <v>1</v>
      </c>
      <c r="CC103" s="109" t="str" cm="1">
        <f t="array" ref="CC103">IF(_xlfn.XLOOKUP($H103,$AY1:$AY108,$AZ1:$AZ108,"-",0)=BZ100,$H103,"-")</f>
        <v>-</v>
      </c>
      <c r="CD103" s="74"/>
      <c r="CE103" s="79" t="str" cm="1">
        <f t="array" ref="CE103">BK103</f>
        <v>Croacia</v>
      </c>
      <c r="CF103" s="111" cm="1">
        <f t="array" ref="CF103">COUNTIFS($BY1:$BY108,"OK",$CC1:$CC108,CE103)+COUNTIFS($BY1:$BY108,"OK",$BZ1:$BZ108,CE103)</f>
        <v>0</v>
      </c>
      <c r="CG103" s="112" cm="1">
        <f t="array" ref="CG103">COUNTIFS(P1:P108,$BK103,$BY1:$BY108,"OK")</f>
        <v>0</v>
      </c>
      <c r="CH103" s="112" cm="1">
        <f t="array" ref="CH103">COUNTIFS(K1:K108,$BK103,$BY1:$BY108,"OK")+COUNTIFS(L1:L108,$BK103,$BY1:$BY108,"OK")</f>
        <v>0</v>
      </c>
      <c r="CI103" s="112" cm="1">
        <f t="array" ref="CI103">COUNTIFS(M1:M108,$CE103,$BY1:$BY108,"OK")</f>
        <v>0</v>
      </c>
      <c r="CJ103" s="112" cm="1">
        <f t="array" ref="CJ103">CK103-CL103</f>
        <v>0</v>
      </c>
      <c r="CK103" s="112" cm="1">
        <f t="array" ref="CK103">SUMIFS(CA1:CA108,$BY1:$BY108,"OK",BZ1:BZ108,$BK103)+SUMIFS(CB1:CB108,$BY1:$BY108,"OK",CC1:CC108,$BK103)</f>
        <v>0</v>
      </c>
      <c r="CL103" s="112" cm="1">
        <f t="array" ref="CL103">SUMIFS(CB1:CB108,$BY1:$BY108,"OK",BZ1:BZ108,$BK103)+SUMIFS(CA1:CA108,$BY1:$BY108,"OK",CC1:CC108,$BK103)</f>
        <v>0</v>
      </c>
      <c r="CM103" s="113" cm="1">
        <f t="array" ref="CM103">CG103*3+CH103*1+CJ103/100+CK103/10000</f>
        <v>0</v>
      </c>
      <c r="CN103" s="107" cm="1">
        <f t="array" ref="CN103">IF(CF103=0,0,_xlfn.XLOOKUP(CM103,CP102:CP105,CQ102:CQ105))</f>
        <v>0</v>
      </c>
      <c r="CO103" s="99"/>
      <c r="CP103" s="113" cm="1">
        <f t="array" ref="CP103">LARGE(CM102:CM105,2)</f>
        <v>0</v>
      </c>
      <c r="CQ103" s="112" cm="1">
        <f t="array" ref="CQ103">CR103/$BW$1</f>
        <v>0.2</v>
      </c>
      <c r="CR103" s="114">
        <v>2</v>
      </c>
      <c r="CS103" s="74"/>
      <c r="CT103" s="74"/>
      <c r="CU103" s="74"/>
      <c r="CV103" s="74"/>
      <c r="CW103" s="74"/>
      <c r="CX103" s="172"/>
    </row>
    <row r="104" spans="1:102" ht="14.25" customHeight="1">
      <c r="A104" s="85" t="s">
        <v>236</v>
      </c>
      <c r="B104" s="86">
        <v>46196</v>
      </c>
      <c r="C104" s="87"/>
      <c r="D104" s="88"/>
      <c r="E104" s="85" t="s">
        <v>51</v>
      </c>
      <c r="F104" s="89">
        <v>2</v>
      </c>
      <c r="G104" s="89">
        <v>1</v>
      </c>
      <c r="H104" s="90" t="s">
        <v>85</v>
      </c>
      <c r="I104" s="65"/>
      <c r="J104" s="65" t="str" cm="1">
        <f t="array" ref="J104">IF(OR(ISBLANK(F104),ISBLANK(G104)),"",IF(F104&gt;G104,E104,IF(G104&gt;F104,H104,"")))</f>
        <v>Inglaterra</v>
      </c>
      <c r="K104" s="65" t="str" cm="1">
        <f t="array" ref="K104">IF(OR(ISBLANK(F104),ISBLANK(G104)),"",IF(F104=G104,E104,""))</f>
        <v/>
      </c>
      <c r="L104" s="65" t="str" cm="1">
        <f t="array" ref="L104">IF(OR(ISBLANK(F104),ISBLANK(G104)),"",IF(F104=G104,H104,""))</f>
        <v/>
      </c>
      <c r="M104" s="65" t="str" cm="1">
        <f t="array" ref="M104">IF(OR(ISBLANK(F104),ISBLANK(G104)),"",IF(F104&lt;G104,E104,IF(G104&lt;F104,H104,"")))</f>
        <v>Ghana</v>
      </c>
      <c r="N104" s="65"/>
      <c r="O104" s="67" t="str" cm="1">
        <f t="array" ref="O104">E103</f>
        <v>Ghana</v>
      </c>
      <c r="P104" s="91" cm="1">
        <f t="array" ref="P104">COUNTIF(J102:J107,"="&amp;$O104)</f>
        <v>1</v>
      </c>
      <c r="Q104" s="91" cm="1">
        <f t="array" ref="Q104">COUNTIF(K102:L107,"="&amp;$O104)</f>
        <v>1</v>
      </c>
      <c r="R104" s="91" cm="1">
        <f t="array" ref="R104">COUNTIF(M102:M107,"="&amp;$O104)</f>
        <v>1</v>
      </c>
      <c r="S104" s="91" cm="1">
        <f t="array" ref="S104">T104-U104</f>
        <v>0</v>
      </c>
      <c r="T104" s="91" cm="1">
        <f t="array" ref="T104">SUMIF(E102:E107,$O104,F102:F107)+SUMIF(H102:H107,$O104,G102:G107)</f>
        <v>4</v>
      </c>
      <c r="U104" s="91" cm="1">
        <f t="array" ref="U104">SUMIF(E102:E107,$O104,G102:G107)+SUMIF(H102:H107,$O104,F102:F107)</f>
        <v>4</v>
      </c>
      <c r="V104" s="92" cm="1">
        <f t="array" ref="V104">P104*3+Q104*1+BT104+CN104+S104/1000+T104/10000+AV104/1000000+ROW()/10000000</f>
        <v>4.0004103999999998</v>
      </c>
      <c r="W104" s="67" t="str" cm="1">
        <f t="array" ref="W104">O104</f>
        <v>Ghana</v>
      </c>
      <c r="X104" s="65"/>
      <c r="Y104" s="125" t="str" cm="1">
        <f t="array" ref="Y104">CONCATENATE("3",RIGHT(E101,1))</f>
        <v>3L</v>
      </c>
      <c r="Z104" s="126" t="str" cm="1">
        <f t="array" ref="Z104">VLOOKUP(AL104,V102:W105,2,FALSE)</f>
        <v>Ghana</v>
      </c>
      <c r="AA104" s="127" cm="1">
        <f t="array" ref="AA104">SUM(AB104:AD104)</f>
        <v>3</v>
      </c>
      <c r="AB104" s="128" cm="1">
        <f t="array" ref="AB104">_xlfn.XLOOKUP($Z104,$O1:$O108,P1:P108,"Error",0)</f>
        <v>1</v>
      </c>
      <c r="AC104" s="128" cm="1">
        <f t="array" ref="AC104">_xlfn.XLOOKUP($Z104,$O1:$O108,Q1:Q108,"Error",0)</f>
        <v>1</v>
      </c>
      <c r="AD104" s="128" cm="1">
        <f t="array" ref="AD104">_xlfn.XLOOKUP($Z104,$O1:$O108,R1:R108,"Error",0)</f>
        <v>1</v>
      </c>
      <c r="AE104" s="128" cm="1">
        <f t="array" ref="AE104">_xlfn.XLOOKUP($Z104,$O1:$O108,S1:S108,"Error",0)</f>
        <v>0</v>
      </c>
      <c r="AF104" s="128" cm="1">
        <f t="array" ref="AF104">_xlfn.XLOOKUP($Z104,$O1:$O108,T1:T108,"Error",0)</f>
        <v>4</v>
      </c>
      <c r="AG104" s="128" cm="1">
        <f t="array" ref="AG104">_xlfn.XLOOKUP($Z104,$O1:$O108,U1:U108,"Error",0)</f>
        <v>4</v>
      </c>
      <c r="AH104" s="129" cm="1">
        <f t="array" ref="AH104">_xlfn.XLOOKUP($Z104,$O1:$O108,V1:V108,"Error",0)</f>
        <v>4.0004103999999998</v>
      </c>
      <c r="AI104" s="130" cm="1">
        <f t="array" ref="AI104">(COUNTIFS($CV$2:$CV$13,Z104,$CX$2:$CX$13,"IN")+COUNTIFS($CV$2:$CV$13,Z104,$CW$2:$CW$13,"IN"))*IF(SUM(AA102:AA105)=12,1,0)</f>
        <v>1</v>
      </c>
      <c r="AJ104" s="74"/>
      <c r="AK104" s="74"/>
      <c r="AL104" s="99" cm="1">
        <f t="array" ref="AL104">LARGE(V102:V105,3)</f>
        <v>4.0004103999999998</v>
      </c>
      <c r="AM104" s="100" cm="1">
        <f t="array" ref="AM104">(AH104-AL104)*100000000000000000000</f>
        <v>0</v>
      </c>
      <c r="AN104" s="74"/>
      <c r="AO104" s="74"/>
      <c r="AP104" s="101" t="str" cm="1">
        <f t="array" ref="AP104">O104</f>
        <v>Ghana</v>
      </c>
      <c r="AQ104" s="102" cm="1">
        <f t="array" ref="AQ104">P104*3+Q104*1+BT104+CN104+S104/1000+T104/10000</f>
        <v>4.0004</v>
      </c>
      <c r="AR104" s="102" t="b" cm="1">
        <f t="array" ref="AR104">IF(OR(AQ104=AQ105),1)</f>
        <v>0</v>
      </c>
      <c r="AS104" s="103" cm="1">
        <f t="array" ref="AS104">AV104</f>
        <v>0</v>
      </c>
      <c r="AT104" s="103" cm="1">
        <f t="array" ref="AT104">IF(AND(AM106="si",OR(AR102=1,AR103=1,AR104=1)),1,0)</f>
        <v>0</v>
      </c>
      <c r="AU104" s="122" t="str" cm="1">
        <f t="array" ref="AU104">O104</f>
        <v>Ghana</v>
      </c>
      <c r="AV104" s="101"/>
      <c r="AW104" s="106"/>
      <c r="AX104" s="74" t="str" cm="1">
        <f t="array" ref="AX104">Y101</f>
        <v>Grupo L</v>
      </c>
      <c r="AY104" s="76" t="str" cm="1">
        <f t="array" ref="AY104">O104</f>
        <v>Ghana</v>
      </c>
      <c r="AZ104" s="107" cm="1">
        <f t="array" ref="AZ104">P104*3+Q104</f>
        <v>4</v>
      </c>
      <c r="BA104" s="107" cm="1">
        <f t="array" ref="BA104">COUNTIFS($AX$1:AX104,AX104,$AZ$1:AZ104,AZ104)</f>
        <v>1</v>
      </c>
      <c r="BB104" s="107" cm="1">
        <f t="array" ref="BB104">IF(AZ104=BF100,ROW()*0.001,AZ104)</f>
        <v>4</v>
      </c>
      <c r="BC104" s="107" cm="1">
        <f t="array" ref="BC104">COUNTIFS($AX$1:AZ104,AZ104,$AZ$1:BB104,BB104)</f>
        <v>2</v>
      </c>
      <c r="BD104" s="107"/>
      <c r="BE104" s="108" t="str" cm="1">
        <f t="array" ref="BE104">IF(OR(BF104="-",BI104="-",BF100=0),"-","OK")</f>
        <v>-</v>
      </c>
      <c r="BF104" s="109" t="str" cm="1">
        <f t="array" ref="BF104">IF(_xlfn.XLOOKUP($E104,$AY1:$AY108,$AZ1:$AZ108,"-",0)=BF100,$E104,"-")</f>
        <v>-</v>
      </c>
      <c r="BG104" s="110" cm="1">
        <f t="array" ref="BG104">$F104</f>
        <v>2</v>
      </c>
      <c r="BH104" s="110" cm="1">
        <f t="array" ref="BH104">$G104</f>
        <v>1</v>
      </c>
      <c r="BI104" s="109" t="str" cm="1">
        <f t="array" ref="BI104">IF(_xlfn.XLOOKUP($H104,$AY1:$AY108,$AZ1:$AZ108,"-",0)=BF100,$H104,"-")</f>
        <v>-</v>
      </c>
      <c r="BJ104" s="74"/>
      <c r="BK104" s="79" t="str" cm="1">
        <f t="array" ref="BK104">O104</f>
        <v>Ghana</v>
      </c>
      <c r="BL104" s="111" cm="1">
        <f t="array" ref="BL104">COUNTIFS($BE1:$BE108,"OK",$BI1:$BI108,BK104)+COUNTIFS($BE1:$BE108,"OK",$BF1:$BF108,BK104)</f>
        <v>0</v>
      </c>
      <c r="BM104" s="112" cm="1">
        <f t="array" ref="BM104">COUNTIFS(J1:J108,$BK104,$BE1:$BE108,"OK")</f>
        <v>0</v>
      </c>
      <c r="BN104" s="112" cm="1">
        <f t="array" ref="BN104">COUNTIFS(K1:K108,$BK104,$BE1:$BE108,"OK")+COUNTIFS(L1:L108,$BK104,$BE1:$BE108,"OK")</f>
        <v>0</v>
      </c>
      <c r="BO104" s="112" cm="1">
        <f t="array" ref="BO104">COUNTIFS(M1:M108,$BK104,$BE1:$BE108,"OK")</f>
        <v>0</v>
      </c>
      <c r="BP104" s="112" cm="1">
        <f t="array" ref="BP104">BQ104-BR104</f>
        <v>0</v>
      </c>
      <c r="BQ104" s="112" cm="1">
        <f t="array" ref="BQ104">SUMIFS(BG1:BG108,$BE1:$BE108,"OK",BF1:BF108,$BK104)+SUMIFS(BH1:BH108,$BE1:$BE108,"OK",BI1:BI108,$BK104)</f>
        <v>0</v>
      </c>
      <c r="BR104" s="112" cm="1">
        <f t="array" ref="BR104">SUMIFS(BH1:BH108,$BE1:$BE108,"OK",BF1:BF108,$BK104)+SUMIFS(BG1:BG108,$BE1:$BE108,"OK",BI1:BI108,$BK104)</f>
        <v>0</v>
      </c>
      <c r="BS104" s="113" cm="1">
        <f t="array" ref="BS104">BM104*3+BN104*1+BP104/100+BQ104/10000</f>
        <v>0</v>
      </c>
      <c r="BT104" s="107" cm="1">
        <f t="array" ref="BT104">IF(BL104=0,0,_xlfn.XLOOKUP(BS104,BV102:BV105,BW102:BW105))</f>
        <v>0</v>
      </c>
      <c r="BU104" s="99"/>
      <c r="BV104" s="113" cm="1">
        <f t="array" ref="BV104">LARGE(BS102:BS105,3)</f>
        <v>0</v>
      </c>
      <c r="BW104" s="112" cm="1">
        <f t="array" ref="BW104">BX104/$BW$1</f>
        <v>0.1</v>
      </c>
      <c r="BX104" s="114">
        <v>1</v>
      </c>
      <c r="BY104" s="108" t="str" cm="1">
        <f t="array" ref="BY104">IF(OR(BZ104="-",CC104="-"),"-","OK")</f>
        <v>-</v>
      </c>
      <c r="BZ104" s="109" t="str" cm="1">
        <f t="array" ref="BZ104">IF(_xlfn.XLOOKUP($E104,$AY1:$AY108,$AZ1:$AZ108,"-",0)=BZ100,$E104,"-")</f>
        <v>Inglaterra</v>
      </c>
      <c r="CA104" s="110" cm="1">
        <f t="array" ref="CA104">$F104</f>
        <v>2</v>
      </c>
      <c r="CB104" s="110" cm="1">
        <f t="array" ref="CB104">$G104</f>
        <v>1</v>
      </c>
      <c r="CC104" s="109" t="str" cm="1">
        <f t="array" ref="CC104">IF(_xlfn.XLOOKUP($H104,$AY1:$AY108,$AZ1:$AZ108,"-",0)=BZ100,$H104,"-")</f>
        <v>-</v>
      </c>
      <c r="CD104" s="74"/>
      <c r="CE104" s="79" t="str" cm="1">
        <f t="array" ref="CE104">BK104</f>
        <v>Ghana</v>
      </c>
      <c r="CF104" s="111" cm="1">
        <f t="array" ref="CF104">COUNTIFS($BY1:$BY108,"OK",$CC1:$CC108,CE104)+COUNTIFS($BY1:$BY108,"OK",$BZ1:$BZ108,CE104)</f>
        <v>0</v>
      </c>
      <c r="CG104" s="112" cm="1">
        <f t="array" ref="CG104">COUNTIFS(P1:P108,$BK104,$BY1:$BY108,"OK")</f>
        <v>0</v>
      </c>
      <c r="CH104" s="112" cm="1">
        <f t="array" ref="CH104">COUNTIFS(K1:K108,$BK104,$BY1:$BY108,"OK")+COUNTIFS(L1:L108,$BK104,$BY1:$BY108,"OK")</f>
        <v>0</v>
      </c>
      <c r="CI104" s="112" cm="1">
        <f t="array" ref="CI104">COUNTIFS(M1:M108,$CE104,$BY1:$BY108,"OK")</f>
        <v>0</v>
      </c>
      <c r="CJ104" s="112" cm="1">
        <f t="array" ref="CJ104">CK104-CL104</f>
        <v>0</v>
      </c>
      <c r="CK104" s="112" cm="1">
        <f t="array" ref="CK104">SUMIFS(CA1:CA108,$BY1:$BY108,"OK",BZ1:BZ108,$BK104)+SUMIFS(CB1:CB108,$BY1:$BY108,"OK",CC1:CC108,$BK104)</f>
        <v>0</v>
      </c>
      <c r="CL104" s="112" cm="1">
        <f t="array" ref="CL104">SUMIFS(CB1:CB108,$BY1:$BY108,"OK",BZ1:BZ108,$BK104)+SUMIFS(CA1:CA108,$BY1:$BY108,"OK",CC1:CC108,$BK104)</f>
        <v>0</v>
      </c>
      <c r="CM104" s="113" cm="1">
        <f t="array" ref="CM104">CG104*3+CH104*1+CJ104/100+CK104/10000</f>
        <v>0</v>
      </c>
      <c r="CN104" s="107" cm="1">
        <f t="array" ref="CN104">IF(CF104=0,0,_xlfn.XLOOKUP(CM104,CP102:CP105,CQ102:CQ105))</f>
        <v>0</v>
      </c>
      <c r="CO104" s="99"/>
      <c r="CP104" s="113" cm="1">
        <f t="array" ref="CP104">LARGE(CM102:CM105,3)</f>
        <v>0</v>
      </c>
      <c r="CQ104" s="112" cm="1">
        <f t="array" ref="CQ104">CR104/$BW$1</f>
        <v>0.1</v>
      </c>
      <c r="CR104" s="114">
        <v>1</v>
      </c>
      <c r="CS104" s="74"/>
      <c r="CT104" s="74"/>
      <c r="CU104" s="74"/>
      <c r="CV104" s="74"/>
      <c r="CW104" s="74"/>
      <c r="CX104" s="172"/>
    </row>
    <row r="105" spans="1:102" ht="14.25" customHeight="1">
      <c r="A105" s="85" t="s">
        <v>238</v>
      </c>
      <c r="B105" s="86">
        <v>46196</v>
      </c>
      <c r="C105" s="87"/>
      <c r="D105" s="88"/>
      <c r="E105" s="85" t="s">
        <v>77</v>
      </c>
      <c r="F105" s="89">
        <v>0</v>
      </c>
      <c r="G105" s="89">
        <v>2</v>
      </c>
      <c r="H105" s="90" t="s">
        <v>57</v>
      </c>
      <c r="I105" s="65"/>
      <c r="J105" s="65" t="str" cm="1">
        <f t="array" ref="J105">IF(OR(ISBLANK(F105),ISBLANK(G105)),"",IF(F105&gt;G105,E105,IF(G105&gt;F105,H105,"")))</f>
        <v>Croacia</v>
      </c>
      <c r="K105" s="65" t="str" cm="1">
        <f t="array" ref="K105">IF(OR(ISBLANK(F105),ISBLANK(G105)),"",IF(F105=G105,E105,""))</f>
        <v/>
      </c>
      <c r="L105" s="65" t="str" cm="1">
        <f t="array" ref="L105">IF(OR(ISBLANK(F105),ISBLANK(G105)),"",IF(F105=G105,H105,""))</f>
        <v/>
      </c>
      <c r="M105" s="65" t="str" cm="1">
        <f t="array" ref="M105">IF(OR(ISBLANK(F105),ISBLANK(G105)),"",IF(F105&lt;G105,E105,IF(G105&lt;F105,H105,"")))</f>
        <v>Panama</v>
      </c>
      <c r="N105" s="65"/>
      <c r="O105" s="67" t="str" cm="1">
        <f t="array" ref="O105">H103</f>
        <v>Panama</v>
      </c>
      <c r="P105" s="91" cm="1">
        <f t="array" ref="P105">COUNTIF(J102:J107,"="&amp;$O105)</f>
        <v>0</v>
      </c>
      <c r="Q105" s="91" cm="1">
        <f t="array" ref="Q105">COUNTIF(K102:L107,"="&amp;$O105)</f>
        <v>0</v>
      </c>
      <c r="R105" s="91" cm="1">
        <f t="array" ref="R105">COUNTIF(M102:M107,"="&amp;$O105)</f>
        <v>3</v>
      </c>
      <c r="S105" s="91" cm="1">
        <f t="array" ref="S105">T105-U105</f>
        <v>-6</v>
      </c>
      <c r="T105" s="91" cm="1">
        <f t="array" ref="T105">SUMIF(E102:E107,$O105,F102:F107)+SUMIF(H102:H107,$O105,G102:G107)</f>
        <v>1</v>
      </c>
      <c r="U105" s="91" cm="1">
        <f t="array" ref="U105">SUMIF(E102:E107,$O105,G102:G107)+SUMIF(H102:H107,$O105,F102:F107)</f>
        <v>7</v>
      </c>
      <c r="V105" s="92" cm="1">
        <f t="array" ref="V105">P105*3+Q105*1+BT105+CN105+S105/1000+T105/10000+AV105/1000000+ROW()/10000000</f>
        <v>-5.8894999999999998E-3</v>
      </c>
      <c r="W105" s="67" t="str" cm="1">
        <f t="array" ref="W105">O105</f>
        <v>Panama</v>
      </c>
      <c r="X105" s="65"/>
      <c r="Y105" s="131" t="str" cm="1">
        <f t="array" ref="Y105">CONCATENATE("4",RIGHT(E101,1))</f>
        <v>4L</v>
      </c>
      <c r="Z105" s="132" t="str" cm="1">
        <f t="array" ref="Z105">VLOOKUP(AL105,V102:W105,2,FALSE)</f>
        <v>Panama</v>
      </c>
      <c r="AA105" s="133" cm="1">
        <f t="array" ref="AA105">SUM(AB105:AD105)</f>
        <v>3</v>
      </c>
      <c r="AB105" s="134" cm="1">
        <f t="array" ref="AB105">_xlfn.XLOOKUP($Z105,$O1:$O108,P1:P108,"Error",0)</f>
        <v>0</v>
      </c>
      <c r="AC105" s="134" cm="1">
        <f t="array" ref="AC105">_xlfn.XLOOKUP($Z105,$O1:$O108,Q1:Q108,"Error",0)</f>
        <v>0</v>
      </c>
      <c r="AD105" s="134" cm="1">
        <f t="array" ref="AD105">_xlfn.XLOOKUP($Z105,$O1:$O108,R1:R108,"Error",0)</f>
        <v>3</v>
      </c>
      <c r="AE105" s="134" cm="1">
        <f t="array" ref="AE105">_xlfn.XLOOKUP($Z105,$O1:$O108,S1:S108,"Error",0)</f>
        <v>-6</v>
      </c>
      <c r="AF105" s="134" cm="1">
        <f t="array" ref="AF105">_xlfn.XLOOKUP($Z105,$O1:$O108,T1:T108,"Error",0)</f>
        <v>1</v>
      </c>
      <c r="AG105" s="134" cm="1">
        <f t="array" ref="AG105">_xlfn.XLOOKUP($Z105,$O1:$O108,U1:U108,"Error",0)</f>
        <v>7</v>
      </c>
      <c r="AH105" s="135" cm="1">
        <f t="array" ref="AH105">_xlfn.XLOOKUP($Z105,$O1:$O108,V1:V108,"Error",0)</f>
        <v>-5.8894999999999998E-3</v>
      </c>
      <c r="AI105" s="130"/>
      <c r="AJ105" s="74"/>
      <c r="AK105" s="74"/>
      <c r="AL105" s="99" cm="1">
        <f t="array" ref="AL105">LARGE(V102:V105,4)</f>
        <v>-5.8894999999999998E-3</v>
      </c>
      <c r="AM105" s="100" cm="1">
        <f t="array" ref="AM105">(AH105-AL105)*100000000000000000000</f>
        <v>0</v>
      </c>
      <c r="AN105" s="74"/>
      <c r="AO105" s="74"/>
      <c r="AP105" s="101" t="str" cm="1">
        <f t="array" ref="AP105">O105</f>
        <v>Panama</v>
      </c>
      <c r="AQ105" s="102" cm="1">
        <f t="array" ref="AQ105">P105*3+Q105*1+BT105+CN105+S105/1000+T105/10000</f>
        <v>-5.8999999999999999E-3</v>
      </c>
      <c r="AR105" s="65"/>
      <c r="AS105" s="103" cm="1">
        <f t="array" ref="AS105">AV105</f>
        <v>0</v>
      </c>
      <c r="AT105" s="103" cm="1">
        <f t="array" ref="AT105">IF(AND(AM106="si",OR(AR102=1,AR103=1,AR104=1)),1,0)</f>
        <v>0</v>
      </c>
      <c r="AU105" s="136" t="str" cm="1">
        <f t="array" ref="AU105">O105</f>
        <v>Panama</v>
      </c>
      <c r="AV105" s="137"/>
      <c r="AW105" s="106"/>
      <c r="AX105" s="74" t="str" cm="1">
        <f t="array" ref="AX105">Y101</f>
        <v>Grupo L</v>
      </c>
      <c r="AY105" s="76" t="str" cm="1">
        <f t="array" ref="AY105">O105</f>
        <v>Panama</v>
      </c>
      <c r="AZ105" s="107" cm="1">
        <f t="array" ref="AZ105">P105*3+Q105</f>
        <v>0</v>
      </c>
      <c r="BA105" s="107" cm="1">
        <f t="array" ref="BA105">COUNTIFS($AX$1:AX105,AX105,$AZ$1:AZ105,AZ105)</f>
        <v>1</v>
      </c>
      <c r="BB105" s="107" cm="1">
        <f t="array" ref="BB105">IF(AZ105=BF100,ROW()*0.001,AZ105)</f>
        <v>0</v>
      </c>
      <c r="BC105" s="107" cm="1">
        <f t="array" ref="BC105">COUNTIFS($AX$1:AZ105,AZ105,$AZ$1:BB105,BB105)</f>
        <v>9</v>
      </c>
      <c r="BD105" s="107"/>
      <c r="BE105" s="108" t="str" cm="1">
        <f t="array" ref="BE105">IF(OR(BF105="-",BI105="-",BF100=0),"-","OK")</f>
        <v>-</v>
      </c>
      <c r="BF105" s="109" t="str" cm="1">
        <f t="array" ref="BF105">IF(_xlfn.XLOOKUP($E105,$AY1:$AY108,$AZ1:$AZ108,"-",0)=BF100,$E105,"-")</f>
        <v>-</v>
      </c>
      <c r="BG105" s="110" cm="1">
        <f t="array" ref="BG105">$F105</f>
        <v>0</v>
      </c>
      <c r="BH105" s="110" cm="1">
        <f t="array" ref="BH105">$G105</f>
        <v>2</v>
      </c>
      <c r="BI105" s="109" t="str" cm="1">
        <f t="array" ref="BI105">IF(_xlfn.XLOOKUP($H105,$AY1:$AY108,$AZ1:$AZ108,"-",0)=BF100,$H105,"-")</f>
        <v>-</v>
      </c>
      <c r="BJ105" s="74"/>
      <c r="BK105" s="79" t="str" cm="1">
        <f t="array" ref="BK105">O105</f>
        <v>Panama</v>
      </c>
      <c r="BL105" s="111" cm="1">
        <f t="array" ref="BL105">COUNTIFS($BE1:$BE108,"OK",$BI1:$BI108,BK105)+COUNTIFS($BE1:$BE108,"OK",$BF1:$BF108,BK105)</f>
        <v>0</v>
      </c>
      <c r="BM105" s="112" cm="1">
        <f t="array" ref="BM105">COUNTIFS(J1:J108,$BK105,$BE1:$BE108,"OK")</f>
        <v>0</v>
      </c>
      <c r="BN105" s="112" cm="1">
        <f t="array" ref="BN105">COUNTIFS(K1:K108,$BK105,$BE1:$BE108,"OK")+COUNTIFS(L1:L108,$BK105,$BE1:$BE108,"OK")</f>
        <v>0</v>
      </c>
      <c r="BO105" s="112" cm="1">
        <f t="array" ref="BO105">COUNTIFS(M1:M108,$BK105,$BE1:$BE108,"OK")</f>
        <v>0</v>
      </c>
      <c r="BP105" s="112" cm="1">
        <f t="array" ref="BP105">BQ105-BR105</f>
        <v>0</v>
      </c>
      <c r="BQ105" s="112" cm="1">
        <f t="array" ref="BQ105">SUMIFS(BG1:BG108,$BE1:$BE108,"OK",BF1:BF108,$BK105)+SUMIFS(BH1:BH108,$BE1:$BE108,"OK",BI1:BI108,$BK105)</f>
        <v>0</v>
      </c>
      <c r="BR105" s="112" cm="1">
        <f t="array" ref="BR105">SUMIFS(BH1:BH108,$BE1:$BE108,"OK",BF1:BF108,$BK105)+SUMIFS(BG1:BG108,$BE1:$BE108,"OK",BI1:BI108,$BK105)</f>
        <v>0</v>
      </c>
      <c r="BS105" s="113" cm="1">
        <f t="array" ref="BS105">BM105*3+BN105*1+BP105/100+BQ105/10000</f>
        <v>0</v>
      </c>
      <c r="BT105" s="107" cm="1">
        <f t="array" ref="BT105">IF(BL105=0,0,_xlfn.XLOOKUP(BS105,BV102:BV105,BW102:BW105))</f>
        <v>0</v>
      </c>
      <c r="BU105" s="99"/>
      <c r="BV105" s="113" cm="1">
        <f t="array" ref="BV105">LARGE(BS102:BS105,4)</f>
        <v>0</v>
      </c>
      <c r="BW105" s="112" cm="1">
        <f t="array" ref="BW105">BX105/$BW$1</f>
        <v>0</v>
      </c>
      <c r="BX105" s="114">
        <v>0</v>
      </c>
      <c r="BY105" s="108" t="str" cm="1">
        <f t="array" ref="BY105">IF(OR(BZ105="-",CC105="-"),"-","OK")</f>
        <v>-</v>
      </c>
      <c r="BZ105" s="109" t="str" cm="1">
        <f t="array" ref="BZ105">IF(_xlfn.XLOOKUP($E105,$AY1:$AY108,$AZ1:$AZ108,"-",0)=BZ100,$E105,"-")</f>
        <v>-</v>
      </c>
      <c r="CA105" s="110" cm="1">
        <f t="array" ref="CA105">$F105</f>
        <v>0</v>
      </c>
      <c r="CB105" s="110" cm="1">
        <f t="array" ref="CB105">$G105</f>
        <v>2</v>
      </c>
      <c r="CC105" s="109" t="str" cm="1">
        <f t="array" ref="CC105">IF(_xlfn.XLOOKUP($H105,$AY1:$AY108,$AZ1:$AZ108,"-",0)=BZ100,$H105,"-")</f>
        <v>-</v>
      </c>
      <c r="CD105" s="74"/>
      <c r="CE105" s="79" t="str" cm="1">
        <f t="array" ref="CE105">BK105</f>
        <v>Panama</v>
      </c>
      <c r="CF105" s="111" cm="1">
        <f t="array" ref="CF105">COUNTIFS($BY1:$BY108,"OK",$CC1:$CC108,CE105)+COUNTIFS($BY1:$BY108,"OK",$BZ1:$BZ108,CE105)</f>
        <v>0</v>
      </c>
      <c r="CG105" s="112" cm="1">
        <f t="array" ref="CG105">COUNTIFS(P1:P108,$BK105,$BY1:$BY108,"OK")</f>
        <v>0</v>
      </c>
      <c r="CH105" s="112" cm="1">
        <f t="array" ref="CH105">COUNTIFS(K1:K108,$BK105,$BY1:$BY108,"OK")+COUNTIFS(L1:L108,$BK105,$BY1:$BY108,"OK")</f>
        <v>0</v>
      </c>
      <c r="CI105" s="112" cm="1">
        <f t="array" ref="CI105">COUNTIFS(M1:M108,$CE105,$BY1:$BY108,"OK")</f>
        <v>0</v>
      </c>
      <c r="CJ105" s="112" cm="1">
        <f t="array" ref="CJ105">CK105-CL105</f>
        <v>0</v>
      </c>
      <c r="CK105" s="112" cm="1">
        <f t="array" ref="CK105">SUMIFS(CA1:CA108,$BY1:$BY108,"OK",BZ1:BZ108,$BK105)+SUMIFS(CB1:CB108,$BY1:$BY108,"OK",CC1:CC108,$BK105)</f>
        <v>0</v>
      </c>
      <c r="CL105" s="112" cm="1">
        <f t="array" ref="CL105">SUMIFS(CB1:CB108,$BY1:$BY108,"OK",BZ1:BZ108,$BK105)+SUMIFS(CA1:CA108,$BY1:$BY108,"OK",CC1:CC108,$BK105)</f>
        <v>0</v>
      </c>
      <c r="CM105" s="113" cm="1">
        <f t="array" ref="CM105">CG105*3+CH105*1+CJ105/100+CK105/10000</f>
        <v>0</v>
      </c>
      <c r="CN105" s="107" cm="1">
        <f t="array" ref="CN105">IF(CF105=0,0,_xlfn.XLOOKUP(CM105,CP102:CP105,CQ102:CQ105))</f>
        <v>0</v>
      </c>
      <c r="CO105" s="99"/>
      <c r="CP105" s="113" cm="1">
        <f t="array" ref="CP105">LARGE(CM102:CM105,4)</f>
        <v>0</v>
      </c>
      <c r="CQ105" s="112" cm="1">
        <f t="array" ref="CQ105">CR105/$BW$1</f>
        <v>0</v>
      </c>
      <c r="CR105" s="114">
        <v>0</v>
      </c>
      <c r="CS105" s="74"/>
      <c r="CT105" s="74"/>
      <c r="CU105" s="74"/>
      <c r="CV105" s="74"/>
      <c r="CW105" s="74"/>
      <c r="CX105" s="172"/>
    </row>
    <row r="106" spans="1:102" ht="14.25" customHeight="1">
      <c r="A106" s="85" t="s">
        <v>239</v>
      </c>
      <c r="B106" s="86">
        <v>46200</v>
      </c>
      <c r="C106" s="87"/>
      <c r="D106" s="88"/>
      <c r="E106" s="85" t="s">
        <v>77</v>
      </c>
      <c r="F106" s="89">
        <v>0</v>
      </c>
      <c r="G106" s="89">
        <v>3</v>
      </c>
      <c r="H106" s="90" t="s">
        <v>51</v>
      </c>
      <c r="I106" s="106"/>
      <c r="J106" s="74" t="str" cm="1">
        <f t="array" ref="J106">IF(OR(ISBLANK(F106),ISBLANK(G106)),"",IF(F106&gt;G106,E106,IF(G106&gt;F106,H106,"")))</f>
        <v>Inglaterra</v>
      </c>
      <c r="K106" s="74" t="str" cm="1">
        <f t="array" ref="K106">IF(OR(ISBLANK(F106),ISBLANK(G106)),"",IF(F106=G106,E106,""))</f>
        <v/>
      </c>
      <c r="L106" s="74" t="str" cm="1">
        <f t="array" ref="L106">IF(OR(ISBLANK(F106),ISBLANK(G106)),"",IF(F106=G106,H106,""))</f>
        <v/>
      </c>
      <c r="M106" s="74" t="str" cm="1">
        <f t="array" ref="M106">IF(OR(ISBLANK(F106),ISBLANK(G106)),"",IF(F106&lt;G106,E106,IF(G106&lt;F106,H106,"")))</f>
        <v>Panama</v>
      </c>
      <c r="N106" s="74"/>
      <c r="O106" s="74"/>
      <c r="P106" s="74"/>
      <c r="Q106" s="74"/>
      <c r="R106" s="74"/>
      <c r="S106" s="74"/>
      <c r="T106" s="74"/>
      <c r="U106" s="74"/>
      <c r="V106" s="74"/>
      <c r="W106" s="74"/>
      <c r="X106" s="74"/>
      <c r="Y106" s="138"/>
      <c r="Z106" s="138"/>
      <c r="AA106" s="138"/>
      <c r="AB106" s="138"/>
      <c r="AC106" s="138"/>
      <c r="AD106" s="138"/>
      <c r="AE106" s="138"/>
      <c r="AF106" s="138"/>
      <c r="AG106" s="138"/>
      <c r="AH106" s="138"/>
      <c r="AI106" s="74"/>
      <c r="AJ106" s="74"/>
      <c r="AK106" s="74"/>
      <c r="AL106" s="139" t="s">
        <v>128</v>
      </c>
      <c r="AM106" s="74" t="str" cm="1">
        <f t="array" ref="AM106">IF(SUM(AA102:AA105)=12,"si","no")</f>
        <v>si</v>
      </c>
      <c r="AN106" s="74"/>
      <c r="AO106" s="74"/>
      <c r="AP106" s="74"/>
      <c r="AQ106" s="74"/>
      <c r="AR106" s="74"/>
      <c r="AS106" s="74"/>
      <c r="AT106" s="74"/>
      <c r="AU106" s="138"/>
      <c r="AV106" s="138"/>
      <c r="AW106" s="74"/>
      <c r="AX106" s="74"/>
      <c r="AY106" s="74"/>
      <c r="AZ106" s="74"/>
      <c r="BA106" s="74"/>
      <c r="BB106" s="74"/>
      <c r="BC106" s="74"/>
      <c r="BD106" s="74"/>
      <c r="BE106" s="108" t="str" cm="1">
        <f t="array" ref="BE106">IF(OR(BF106="-",BI106="-",BF100=0),"-","OK")</f>
        <v>-</v>
      </c>
      <c r="BF106" s="109" t="str" cm="1">
        <f t="array" ref="BF106">IF(_xlfn.XLOOKUP($E106,$AY1:$AY108,$AZ1:$AZ108,"-",0)=BF100,$E106,"-")</f>
        <v>-</v>
      </c>
      <c r="BG106" s="110" cm="1">
        <f t="array" ref="BG106">$F106</f>
        <v>0</v>
      </c>
      <c r="BH106" s="110" cm="1">
        <f t="array" ref="BH106">$G106</f>
        <v>3</v>
      </c>
      <c r="BI106" s="109" t="str" cm="1">
        <f t="array" ref="BI106">IF(_xlfn.XLOOKUP($H106,$AY1:$AY108,$AZ1:$AZ108,"-",0)=BF100,$H106,"-")</f>
        <v>-</v>
      </c>
      <c r="BJ106" s="74"/>
      <c r="BK106" s="74"/>
      <c r="BL106" s="74"/>
      <c r="BM106" s="74"/>
      <c r="BN106" s="74"/>
      <c r="BO106" s="74"/>
      <c r="BP106" s="74"/>
      <c r="BQ106" s="74"/>
      <c r="BR106" s="74"/>
      <c r="BS106" s="74"/>
      <c r="BT106" s="74"/>
      <c r="BU106" s="74"/>
      <c r="BV106" s="74"/>
      <c r="BW106" s="74"/>
      <c r="BX106" s="74"/>
      <c r="BY106" s="108" t="str" cm="1">
        <f t="array" ref="BY106">IF(OR(BZ106="-",CC106="-"),"-","OK")</f>
        <v>-</v>
      </c>
      <c r="BZ106" s="109" t="str" cm="1">
        <f t="array" ref="BZ106">IF(_xlfn.XLOOKUP($E106,$AY1:$AY108,$AZ1:$AZ108,"-",0)=BZ100,$E106,"-")</f>
        <v>-</v>
      </c>
      <c r="CA106" s="110" cm="1">
        <f t="array" ref="CA106">$F106</f>
        <v>0</v>
      </c>
      <c r="CB106" s="110" cm="1">
        <f t="array" ref="CB106">$G106</f>
        <v>3</v>
      </c>
      <c r="CC106" s="109" t="str" cm="1">
        <f t="array" ref="CC106">IF(_xlfn.XLOOKUP($H106,$AY1:$AY108,$AZ1:$AZ108,"-",0)=BZ100,$H106,"-")</f>
        <v>Inglaterra</v>
      </c>
      <c r="CD106" s="74"/>
      <c r="CE106" s="74"/>
      <c r="CF106" s="74"/>
      <c r="CG106" s="74"/>
      <c r="CH106" s="74"/>
      <c r="CI106" s="74"/>
      <c r="CJ106" s="74"/>
      <c r="CK106" s="74"/>
      <c r="CL106" s="74"/>
      <c r="CM106" s="74"/>
      <c r="CN106" s="74"/>
      <c r="CO106" s="74"/>
      <c r="CP106" s="74"/>
      <c r="CQ106" s="74"/>
      <c r="CR106" s="74"/>
      <c r="CS106" s="74"/>
      <c r="CT106" s="74"/>
      <c r="CU106" s="74"/>
      <c r="CV106" s="74"/>
      <c r="CW106" s="74"/>
      <c r="CX106" s="172"/>
    </row>
    <row r="107" spans="1:102" ht="14.25" customHeight="1">
      <c r="A107" s="85" t="s">
        <v>240</v>
      </c>
      <c r="B107" s="86">
        <v>46200</v>
      </c>
      <c r="C107" s="87"/>
      <c r="D107" s="88"/>
      <c r="E107" s="85" t="s">
        <v>57</v>
      </c>
      <c r="F107" s="89">
        <v>1</v>
      </c>
      <c r="G107" s="89">
        <v>1</v>
      </c>
      <c r="H107" s="90" t="s">
        <v>85</v>
      </c>
      <c r="I107" s="106"/>
      <c r="J107" s="74" t="str" cm="1">
        <f t="array" ref="J107">IF(OR(ISBLANK(F107),ISBLANK(G107)),"",IF(F107&gt;G107,E107,IF(G107&gt;F107,H107,"")))</f>
        <v/>
      </c>
      <c r="K107" s="74" t="str" cm="1">
        <f t="array" ref="K107">IF(OR(ISBLANK(F107),ISBLANK(G107)),"",IF(F107=G107,E107,""))</f>
        <v>Croacia</v>
      </c>
      <c r="L107" s="74" t="str" cm="1">
        <f t="array" ref="L107">IF(OR(ISBLANK(F107),ISBLANK(G107)),"",IF(F107=G107,H107,""))</f>
        <v>Ghana</v>
      </c>
      <c r="M107" s="74" t="str" cm="1">
        <f t="array" ref="M107">IF(OR(ISBLANK(F107),ISBLANK(G107)),"",IF(F107&lt;G107,E107,IF(G107&lt;F107,H107,"")))</f>
        <v/>
      </c>
      <c r="N107" s="74"/>
      <c r="O107" s="74"/>
      <c r="P107" s="74"/>
      <c r="Q107" s="74"/>
      <c r="R107" s="74"/>
      <c r="S107" s="74"/>
      <c r="T107" s="74"/>
      <c r="U107" s="74"/>
      <c r="V107" s="74"/>
      <c r="W107" s="74"/>
      <c r="X107" s="74"/>
      <c r="Y107" s="140" t="s">
        <v>130</v>
      </c>
      <c r="Z107" s="74"/>
      <c r="AA107" s="74"/>
      <c r="AB107" s="74"/>
      <c r="AC107" s="74"/>
      <c r="AD107" s="74"/>
      <c r="AE107" s="74"/>
      <c r="AF107" s="74"/>
      <c r="AG107" s="74"/>
      <c r="AH107" s="74"/>
      <c r="AI107" s="74"/>
      <c r="AJ107" s="74"/>
      <c r="AK107" s="74"/>
      <c r="AL107" s="74"/>
      <c r="AM107" s="74"/>
      <c r="AN107" s="74"/>
      <c r="AO107" s="74"/>
      <c r="AP107" s="74"/>
      <c r="AQ107" s="74"/>
      <c r="AR107" s="114" cm="1">
        <f t="array" ref="AR107">IF(AND(AM106="si",OR(AR102=1,AR103=1,AR104=1)),1,0)</f>
        <v>0</v>
      </c>
      <c r="AS107" s="74"/>
      <c r="AT107" s="74"/>
      <c r="AU107" s="74"/>
      <c r="AV107" s="74"/>
      <c r="AW107" s="74"/>
      <c r="AX107" s="74"/>
      <c r="AY107" s="74"/>
      <c r="AZ107" s="74"/>
      <c r="BA107" s="74"/>
      <c r="BB107" s="74"/>
      <c r="BC107" s="74"/>
      <c r="BD107" s="74"/>
      <c r="BE107" s="108" t="str" cm="1">
        <f t="array" ref="BE107">IF(OR(BF107="-",BI107="-",BF100=0),"-","OK")</f>
        <v>-</v>
      </c>
      <c r="BF107" s="109" t="str" cm="1">
        <f t="array" ref="BF107">IF(_xlfn.XLOOKUP($E107,$AY1:$AY108,$AZ1:$AZ108,"-",0)=BF100,$E107,"-")</f>
        <v>-</v>
      </c>
      <c r="BG107" s="110" cm="1">
        <f t="array" ref="BG107">$F107</f>
        <v>1</v>
      </c>
      <c r="BH107" s="110" cm="1">
        <f t="array" ref="BH107">$G107</f>
        <v>1</v>
      </c>
      <c r="BI107" s="109" t="str" cm="1">
        <f t="array" ref="BI107">IF(_xlfn.XLOOKUP($H107,$AY1:$AY108,$AZ1:$AZ108,"-",0)=BF100,$H107,"-")</f>
        <v>-</v>
      </c>
      <c r="BJ107" s="74"/>
      <c r="BK107" s="74"/>
      <c r="BL107" s="74"/>
      <c r="BM107" s="74"/>
      <c r="BN107" s="74"/>
      <c r="BO107" s="74"/>
      <c r="BP107" s="74"/>
      <c r="BQ107" s="74"/>
      <c r="BR107" s="74"/>
      <c r="BS107" s="74"/>
      <c r="BT107" s="74"/>
      <c r="BU107" s="74"/>
      <c r="BV107" s="74"/>
      <c r="BW107" s="74"/>
      <c r="BX107" s="74"/>
      <c r="BY107" s="108" t="str" cm="1">
        <f t="array" ref="BY107">IF(OR(BZ107="-",CC107="-"),"-","OK")</f>
        <v>-</v>
      </c>
      <c r="BZ107" s="109" t="str" cm="1">
        <f t="array" ref="BZ107">IF(_xlfn.XLOOKUP($E107,$AY1:$AY108,$AZ1:$AZ108,"-",0)=BZ100,$E107,"-")</f>
        <v>-</v>
      </c>
      <c r="CA107" s="110" cm="1">
        <f t="array" ref="CA107">$F107</f>
        <v>1</v>
      </c>
      <c r="CB107" s="110" cm="1">
        <f t="array" ref="CB107">$G107</f>
        <v>1</v>
      </c>
      <c r="CC107" s="109" t="str" cm="1">
        <f t="array" ref="CC107">IF(_xlfn.XLOOKUP($H107,$AY1:$AY108,$AZ1:$AZ108,"-",0)=BZ100,$H107,"-")</f>
        <v>-</v>
      </c>
      <c r="CD107" s="74"/>
      <c r="CE107" s="74"/>
      <c r="CF107" s="74"/>
      <c r="CG107" s="74"/>
      <c r="CH107" s="74"/>
      <c r="CI107" s="74"/>
      <c r="CJ107" s="74"/>
      <c r="CK107" s="74"/>
      <c r="CL107" s="74"/>
      <c r="CM107" s="74"/>
      <c r="CN107" s="74"/>
      <c r="CO107" s="74"/>
      <c r="CP107" s="74"/>
      <c r="CQ107" s="74"/>
      <c r="CR107" s="74"/>
      <c r="CS107" s="74"/>
      <c r="CT107" s="74"/>
      <c r="CU107" s="74"/>
      <c r="CV107" s="74"/>
      <c r="CW107" s="74"/>
      <c r="CX107" s="172"/>
    </row>
    <row r="108" spans="1:102" ht="14.25" customHeight="1">
      <c r="A108" s="141"/>
      <c r="B108" s="142"/>
      <c r="C108" s="143"/>
      <c r="D108" s="144"/>
      <c r="E108" s="145"/>
      <c r="F108" s="143"/>
      <c r="G108" s="143"/>
      <c r="H108" s="146"/>
      <c r="I108" s="78"/>
      <c r="J108" s="77"/>
      <c r="K108" s="77"/>
      <c r="L108" s="77"/>
      <c r="M108" s="77"/>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78"/>
      <c r="AZ108" s="78"/>
      <c r="BA108" s="78"/>
      <c r="BB108" s="78"/>
      <c r="BC108" s="78"/>
      <c r="BD108" s="78"/>
      <c r="BE108" s="77"/>
      <c r="BF108" s="144"/>
      <c r="BG108" s="144"/>
      <c r="BH108" s="144"/>
      <c r="BI108" s="144"/>
      <c r="BJ108" s="78"/>
      <c r="BK108" s="78"/>
      <c r="BL108" s="78"/>
      <c r="BM108" s="78"/>
      <c r="BN108" s="78"/>
      <c r="BO108" s="78"/>
      <c r="BP108" s="78"/>
      <c r="BQ108" s="78"/>
      <c r="BR108" s="78"/>
      <c r="BS108" s="78"/>
      <c r="BT108" s="78"/>
      <c r="BU108" s="78"/>
      <c r="BV108" s="78"/>
      <c r="BW108" s="78"/>
      <c r="BX108" s="78"/>
      <c r="BY108" s="78"/>
      <c r="BZ108" s="144"/>
      <c r="CA108" s="144"/>
      <c r="CB108" s="144"/>
      <c r="CC108" s="144"/>
      <c r="CD108" s="78"/>
      <c r="CE108" s="78"/>
      <c r="CF108" s="78"/>
      <c r="CG108" s="78"/>
      <c r="CH108" s="78"/>
      <c r="CI108" s="78"/>
      <c r="CJ108" s="78"/>
      <c r="CK108" s="78"/>
      <c r="CL108" s="78"/>
      <c r="CM108" s="78"/>
      <c r="CN108" s="78"/>
      <c r="CO108" s="78"/>
      <c r="CP108" s="78"/>
      <c r="CQ108" s="78"/>
      <c r="CR108" s="78"/>
      <c r="CS108" s="78"/>
      <c r="CT108" s="78"/>
      <c r="CU108" s="78"/>
      <c r="CV108" s="78"/>
      <c r="CW108" s="77"/>
      <c r="CX108" s="174"/>
    </row>
  </sheetData>
  <mergeCells count="12">
    <mergeCell ref="Y29:Z29"/>
    <mergeCell ref="Y38:Z38"/>
    <mergeCell ref="Y47:Z47"/>
    <mergeCell ref="Y2:Z2"/>
    <mergeCell ref="Y11:Z11"/>
    <mergeCell ref="Y20:Z20"/>
    <mergeCell ref="Y83:Z83"/>
    <mergeCell ref="Y92:Z92"/>
    <mergeCell ref="Y101:Z101"/>
    <mergeCell ref="Y56:Z56"/>
    <mergeCell ref="Y65:Z65"/>
    <mergeCell ref="Y74:Z74"/>
  </mergeCells>
  <conditionalFormatting sqref="CW2:CX13">
    <cfRule type="cellIs" dxfId="4" priority="1" stopIfTrue="1" operator="equal">
      <formula>"Draw - Select"</formula>
    </cfRule>
    <cfRule type="cellIs" dxfId="3" priority="2" stopIfTrue="1" operator="equal">
      <formula>"OUT"</formula>
    </cfRule>
    <cfRule type="cellIs" dxfId="2" priority="3" stopIfTrue="1" operator="equal">
      <formula>"IN"</formula>
    </cfRule>
  </conditionalFormatting>
  <dataValidations count="2">
    <dataValidation type="list" allowBlank="1" showInputMessage="1" showErrorMessage="1" sqref="CX2:CX13" xr:uid="{00000000-0002-0000-0100-000000000000}">
      <formula1>"IN,OUT, - "</formula1>
    </dataValidation>
    <dataValidation type="list" allowBlank="1" showInputMessage="1" showErrorMessage="1" sqref="AV3:AV6 AV12:AV15 AV21:AV24 AV30:AV33 AV39:AV42 AV48:AV51 AV57:AV60 AV66:AV69 AV75:AV78 AV84:AV87 AV93:AV96 AV102:AV105" xr:uid="{00000000-0002-0000-0100-000001000000}">
      <formula1>"1,2,3,4"</formula1>
    </dataValidation>
  </dataValidations>
  <pageMargins left="0.7" right="0.7" top="0.75" bottom="0.75" header="0.3" footer="0.3"/>
  <pageSetup orientation="portrait"/>
  <headerFooter>
    <oddFooter>&amp;C&amp;"Helvetica Neue,Regular"&amp;12&amp;K000000&amp;P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
  <sheetViews>
    <sheetView showGridLines="0" workbookViewId="0"/>
  </sheetViews>
  <sheetFormatPr defaultColWidth="8.875" defaultRowHeight="14.25" customHeight="1"/>
  <cols>
    <col min="1" max="1" width="4.875" style="273" customWidth="1"/>
    <col min="2" max="2" width="16.125" style="273" customWidth="1"/>
    <col min="3" max="4" width="3.375" style="273" customWidth="1"/>
    <col min="5" max="5" width="16.125" style="273" customWidth="1"/>
    <col min="6" max="6" width="4" style="273" customWidth="1"/>
    <col min="7" max="7" width="4.875" style="273" customWidth="1"/>
    <col min="8" max="8" width="16.125" style="273" customWidth="1"/>
    <col min="9" max="10" width="3.875" style="273" customWidth="1"/>
    <col min="11" max="11" width="16.125" style="273" customWidth="1"/>
    <col min="12" max="12" width="8.875" style="273" customWidth="1"/>
    <col min="13" max="14" width="1.875" style="273" customWidth="1"/>
    <col min="15" max="15" width="4.875" style="273" customWidth="1"/>
    <col min="16" max="16" width="16.125" style="273" customWidth="1"/>
    <col min="17" max="18" width="4.5" style="273" customWidth="1"/>
    <col min="19" max="19" width="16.125" style="273" customWidth="1"/>
    <col min="20" max="20" width="4" style="273" customWidth="1"/>
    <col min="21" max="21" width="4.875" style="273" customWidth="1"/>
    <col min="22" max="22" width="16.125" style="273" customWidth="1"/>
    <col min="23" max="24" width="3.875" style="273" customWidth="1"/>
    <col min="25" max="25" width="16.125" style="273" customWidth="1"/>
    <col min="26" max="27" width="8.875" style="273" customWidth="1"/>
    <col min="28" max="16384" width="8.875" style="273"/>
  </cols>
  <sheetData>
    <row r="1" spans="1:26" ht="14.25" customHeight="1">
      <c r="A1" s="274"/>
      <c r="B1" s="275"/>
      <c r="C1" s="275"/>
      <c r="D1" s="275"/>
      <c r="E1" s="275"/>
      <c r="F1" s="275"/>
      <c r="G1" s="275"/>
      <c r="H1" s="275"/>
      <c r="I1" s="275"/>
      <c r="J1" s="275"/>
      <c r="K1" s="275"/>
      <c r="L1" s="276"/>
      <c r="M1" s="277"/>
      <c r="N1" s="278"/>
      <c r="O1" s="279"/>
      <c r="P1" s="279"/>
      <c r="Q1" s="279"/>
      <c r="R1" s="279"/>
      <c r="S1" s="279"/>
      <c r="T1" s="279"/>
      <c r="U1" s="279"/>
      <c r="V1" s="279"/>
      <c r="W1" s="279"/>
      <c r="X1" s="279"/>
      <c r="Y1" s="279"/>
      <c r="Z1" s="280"/>
    </row>
    <row r="2" spans="1:26" ht="14.25" customHeight="1">
      <c r="A2" s="281"/>
      <c r="B2" s="282"/>
      <c r="C2" s="282"/>
      <c r="D2" s="282"/>
      <c r="E2" s="282"/>
      <c r="F2" s="282"/>
      <c r="G2" s="282"/>
      <c r="H2" s="282"/>
      <c r="I2" s="282"/>
      <c r="J2" s="282"/>
      <c r="K2" s="282"/>
      <c r="L2" s="283"/>
      <c r="M2" s="284"/>
      <c r="N2" s="285"/>
      <c r="O2" s="286"/>
      <c r="P2" s="286"/>
      <c r="Q2" s="286"/>
      <c r="R2" s="286"/>
      <c r="S2" s="286"/>
      <c r="T2" s="286"/>
      <c r="U2" s="286"/>
      <c r="V2" s="286"/>
      <c r="W2" s="286"/>
      <c r="X2" s="286"/>
      <c r="Y2" s="286"/>
      <c r="Z2" s="287"/>
    </row>
    <row r="3" spans="1:26" ht="15" customHeight="1">
      <c r="A3" s="288"/>
      <c r="B3" s="289"/>
      <c r="C3" s="289"/>
      <c r="D3" s="289"/>
      <c r="E3" s="289"/>
      <c r="F3" s="282"/>
      <c r="G3" s="290"/>
      <c r="H3" s="290"/>
      <c r="I3" s="290"/>
      <c r="J3" s="290"/>
      <c r="K3" s="290"/>
      <c r="L3" s="283"/>
      <c r="M3" s="284"/>
      <c r="N3" s="285"/>
      <c r="O3" s="291"/>
      <c r="P3" s="291"/>
      <c r="Q3" s="291"/>
      <c r="R3" s="291"/>
      <c r="S3" s="291"/>
      <c r="T3" s="286"/>
      <c r="U3" s="292"/>
      <c r="V3" s="292"/>
      <c r="W3" s="292"/>
      <c r="X3" s="292"/>
      <c r="Y3" s="292"/>
      <c r="Z3" s="287"/>
    </row>
    <row r="4" spans="1:26" ht="15" customHeight="1">
      <c r="A4" s="293"/>
      <c r="B4" s="294"/>
      <c r="C4" s="295" t="s">
        <v>123</v>
      </c>
      <c r="D4" s="295" t="s">
        <v>135</v>
      </c>
      <c r="E4" s="296" t="s">
        <v>241</v>
      </c>
      <c r="F4" s="297"/>
      <c r="G4" s="298"/>
      <c r="H4" s="299"/>
      <c r="I4" s="300" t="s">
        <v>153</v>
      </c>
      <c r="J4" s="301" t="str" cm="1">
        <f t="array" ref="J4">_xlfn.XLOOKUP(I4,'Mejores 3eros'!$AD$1:$AK$1,'Mejores 3eros'!$AD$3:$AK$3,"-",0)</f>
        <v>3E</v>
      </c>
      <c r="K4" s="302" t="s">
        <v>242</v>
      </c>
      <c r="L4" s="303"/>
      <c r="M4" s="284"/>
      <c r="N4" s="304"/>
      <c r="O4" s="293"/>
      <c r="P4" s="294"/>
      <c r="Q4" s="295" t="s">
        <v>243</v>
      </c>
      <c r="R4" s="295" t="s">
        <v>244</v>
      </c>
      <c r="S4" s="296" t="s">
        <v>245</v>
      </c>
      <c r="T4" s="305"/>
      <c r="U4" s="298"/>
      <c r="V4" s="299"/>
      <c r="W4" s="300" t="s">
        <v>246</v>
      </c>
      <c r="X4" s="300" t="s">
        <v>247</v>
      </c>
      <c r="Y4" s="302" t="s">
        <v>248</v>
      </c>
      <c r="Z4" s="306"/>
    </row>
    <row r="5" spans="1:26" ht="14.25" customHeight="1">
      <c r="A5" s="307" t="s">
        <v>249</v>
      </c>
      <c r="B5" s="308" t="str" cm="1">
        <f t="array" ref="B5">_xlfn.XLOOKUP(C4,'Groups Stage'!$Y1:$Y108,'Groups Stage'!$Z1:$Z108,"-",0)</f>
        <v>Corea del Sur</v>
      </c>
      <c r="C5" s="309">
        <v>1</v>
      </c>
      <c r="D5" s="310">
        <v>0</v>
      </c>
      <c r="E5" s="311" t="str" cm="1">
        <f t="array" ref="E5">_xlfn.XLOOKUP(D4,'Groups Stage'!$Y1:$Y108,'Groups Stage'!$Z1:$Z108,"-",0)</f>
        <v>Canada</v>
      </c>
      <c r="F5" s="297"/>
      <c r="G5" s="312" t="s">
        <v>250</v>
      </c>
      <c r="H5" s="308" t="str" cm="1">
        <f t="array" ref="H5">_xlfn.XLOOKUP(I4,'Groups Stage'!$Y1:$Y108,'Groups Stage'!$Z1:$Z108,"-",0)</f>
        <v>Estados Unidos</v>
      </c>
      <c r="I5" s="309">
        <v>1</v>
      </c>
      <c r="J5" s="310">
        <v>0</v>
      </c>
      <c r="K5" s="313" t="str" cm="1">
        <f t="array" ref="K5">_xlfn.XLOOKUP(J4,'Groups Stage'!$Y1:$Y108,'Groups Stage'!$Z1:$Z108,"-",0)</f>
        <v>Costa de Marfil</v>
      </c>
      <c r="L5" s="303"/>
      <c r="M5" s="284"/>
      <c r="N5" s="304"/>
      <c r="O5" s="307" t="s">
        <v>251</v>
      </c>
      <c r="P5" s="308" t="str" cm="1">
        <f t="array" ref="P5">_xlfn.XLOOKUP(Q4,$C1:$C100,$B1:$B100,_xlfn.XLOOKUP(Q4,$I1:$I100,$H1:$H100,"-",0),0)</f>
        <v>Alemania</v>
      </c>
      <c r="Q5" s="309">
        <v>1</v>
      </c>
      <c r="R5" s="310">
        <v>2</v>
      </c>
      <c r="S5" s="311" t="str" cm="1">
        <f t="array" ref="S5">_xlfn.XLOOKUP(R4,$C1:$C100,$B1:$B100,_xlfn.XLOOKUP(R4,$I1:$I100,$H1:$H100,"-",0),0)</f>
        <v>Francia</v>
      </c>
      <c r="T5" s="305"/>
      <c r="U5" s="312" t="s">
        <v>252</v>
      </c>
      <c r="V5" s="308" t="str" cm="1">
        <f t="array" ref="V5">_xlfn.XLOOKUP(W4,$C1:$C100,$B1:$B100,_xlfn.XLOOKUP(W4,$I1:$I100,$H1:$H100,"-",0),0)</f>
        <v>Croacia</v>
      </c>
      <c r="W5" s="309">
        <v>0</v>
      </c>
      <c r="X5" s="310">
        <v>2</v>
      </c>
      <c r="Y5" s="313" t="str" cm="1">
        <f t="array" ref="Y5">_xlfn.XLOOKUP(X4,$C1:$C100,$B1:$B100,_xlfn.XLOOKUP(X4,$I1:$I100,$H1:$H100,"-",0),0)</f>
        <v>España</v>
      </c>
      <c r="Z5" s="306"/>
    </row>
    <row r="6" spans="1:26" ht="15" customHeight="1">
      <c r="A6" s="314"/>
      <c r="B6" s="315" t="s">
        <v>253</v>
      </c>
      <c r="C6" s="316"/>
      <c r="D6" s="316"/>
      <c r="E6" s="317" t="str" cm="1">
        <f t="array" ref="E6">IF(AND(ISNUMBER(C5),ISNUMBER(D5),C5=D5),"Y","N")</f>
        <v>N</v>
      </c>
      <c r="F6" s="297"/>
      <c r="G6" s="318"/>
      <c r="H6" s="319" t="s">
        <v>253</v>
      </c>
      <c r="I6" s="320"/>
      <c r="J6" s="320"/>
      <c r="K6" s="321" t="str" cm="1">
        <f t="array" ref="K6">IF(AND(ISNUMBER(I5),ISNUMBER(J5),I5=J5),"Y","N")</f>
        <v>N</v>
      </c>
      <c r="L6" s="303"/>
      <c r="M6" s="284"/>
      <c r="N6" s="304"/>
      <c r="O6" s="314"/>
      <c r="P6" s="315" t="s">
        <v>253</v>
      </c>
      <c r="Q6" s="316"/>
      <c r="R6" s="316"/>
      <c r="S6" s="317" t="str" cm="1">
        <f t="array" ref="S6">IF(AND(ISNUMBER(Q5),ISNUMBER(R5),Q5=R5),"Y","N")</f>
        <v>N</v>
      </c>
      <c r="T6" s="305"/>
      <c r="U6" s="318"/>
      <c r="V6" s="319" t="s">
        <v>253</v>
      </c>
      <c r="W6" s="320"/>
      <c r="X6" s="320"/>
      <c r="Y6" s="321" t="str" cm="1">
        <f t="array" ref="Y6">IF(AND(ISNUMBER(W5),ISNUMBER(X5),W5=X5),"Y","N")</f>
        <v>N</v>
      </c>
      <c r="Z6" s="306"/>
    </row>
    <row r="7" spans="1:26" ht="15.75" customHeight="1">
      <c r="A7" s="322"/>
      <c r="B7" s="323" t="str" cm="1">
        <f t="array" ref="B7">IF(AND(ISNUMBER(C5),ISNUMBER(D5)),IF((C5+C6)&gt;(D5+D6),B5,E5),"-")</f>
        <v>Corea del Sur</v>
      </c>
      <c r="C7" s="323" t="str" cm="1">
        <f t="array" ref="C7">E4</f>
        <v>W73</v>
      </c>
      <c r="D7" s="323"/>
      <c r="E7" s="323"/>
      <c r="F7" s="324"/>
      <c r="G7" s="325"/>
      <c r="H7" s="326" t="str" cm="1">
        <f t="array" ref="H7">IF(AND(ISNUMBER(I5),ISNUMBER(J5)),IF((I5+I6)&gt;(J5+J6),H5,K5),"-")</f>
        <v>Estados Unidos</v>
      </c>
      <c r="I7" s="326" t="str" cm="1">
        <f t="array" ref="I7">K4</f>
        <v>W81</v>
      </c>
      <c r="J7" s="326"/>
      <c r="K7" s="326"/>
      <c r="L7" s="283"/>
      <c r="M7" s="284"/>
      <c r="N7" s="285"/>
      <c r="O7" s="327"/>
      <c r="P7" s="328" t="str" cm="1">
        <f t="array" ref="P7">IF(AND(ISNUMBER(Q5),ISNUMBER(R5)),IF((Q5+Q6)&gt;(R5+R6),P5,S5),"-")</f>
        <v>Francia</v>
      </c>
      <c r="Q7" s="328" t="str" cm="1">
        <f t="array" ref="Q7">S4</f>
        <v>W89</v>
      </c>
      <c r="R7" s="328"/>
      <c r="S7" s="328"/>
      <c r="T7" s="329"/>
      <c r="U7" s="330"/>
      <c r="V7" s="331" t="str" cm="1">
        <f t="array" ref="V7">IF(AND(ISNUMBER(W5),ISNUMBER(X5)),IF((W5+W6)&gt;(X5+X6),V5,Y5),"-")</f>
        <v>España</v>
      </c>
      <c r="W7" s="331" t="str" cm="1">
        <f t="array" ref="W7">Y4</f>
        <v>W93</v>
      </c>
      <c r="X7" s="331"/>
      <c r="Y7" s="331"/>
      <c r="Z7" s="287"/>
    </row>
    <row r="8" spans="1:26" ht="15" customHeight="1">
      <c r="A8" s="293"/>
      <c r="B8" s="294"/>
      <c r="C8" s="295" t="s">
        <v>163</v>
      </c>
      <c r="D8" s="332" t="str" cm="1">
        <f t="array" ref="D8">_xlfn.XLOOKUP(C8,'Mejores 3eros'!$AD$1:$AK$1,'Mejores 3eros'!$AD$3:$AK$3,"-",0)</f>
        <v>3D</v>
      </c>
      <c r="E8" s="296" t="s">
        <v>243</v>
      </c>
      <c r="F8" s="297"/>
      <c r="G8" s="298"/>
      <c r="H8" s="299"/>
      <c r="I8" s="300" t="s">
        <v>183</v>
      </c>
      <c r="J8" s="301" t="str" cm="1">
        <f t="array" ref="J8">_xlfn.XLOOKUP(I8,'Mejores 3eros'!$AD$1:$AK$1,'Mejores 3eros'!$AD$3:$AK$3,"-",0)</f>
        <v>3A</v>
      </c>
      <c r="K8" s="302" t="s">
        <v>254</v>
      </c>
      <c r="L8" s="303"/>
      <c r="M8" s="284"/>
      <c r="N8" s="285"/>
      <c r="O8" s="286"/>
      <c r="P8" s="286"/>
      <c r="Q8" s="286"/>
      <c r="R8" s="286"/>
      <c r="S8" s="286"/>
      <c r="T8" s="286"/>
      <c r="U8" s="286"/>
      <c r="V8" s="286"/>
      <c r="W8" s="286"/>
      <c r="X8" s="286"/>
      <c r="Y8" s="286"/>
      <c r="Z8" s="287"/>
    </row>
    <row r="9" spans="1:26" ht="14.25" customHeight="1">
      <c r="A9" s="307" t="s">
        <v>255</v>
      </c>
      <c r="B9" s="308" t="str" cm="1">
        <f t="array" ref="B9">_xlfn.XLOOKUP(C8,'Groups Stage'!$Y1:$Y108,'Groups Stage'!$Z1:$Z108,"-",0)</f>
        <v>Alemania</v>
      </c>
      <c r="C9" s="309">
        <v>2</v>
      </c>
      <c r="D9" s="310">
        <v>1</v>
      </c>
      <c r="E9" s="311" t="str" cm="1">
        <f t="array" ref="E9">_xlfn.XLOOKUP(D8,'Groups Stage'!$Y1:$Y108,'Groups Stage'!$Z1:$Z108,"-",0)</f>
        <v>Turquia</v>
      </c>
      <c r="F9" s="297"/>
      <c r="G9" s="312" t="s">
        <v>256</v>
      </c>
      <c r="H9" s="308" t="str" cm="1">
        <f t="array" ref="H9">_xlfn.XLOOKUP(I8,'Groups Stage'!$Y1:$Y108,'Groups Stage'!$Z1:$Z108,"-",0)</f>
        <v>Belgica</v>
      </c>
      <c r="I9" s="309">
        <v>2</v>
      </c>
      <c r="J9" s="310">
        <v>1</v>
      </c>
      <c r="K9" s="313" t="str" cm="1">
        <f t="array" ref="K9">_xlfn.XLOOKUP(J8,'Groups Stage'!$Y1:$Y108,'Groups Stage'!$Z1:$Z108,"-",0)</f>
        <v>Repubilca Checa</v>
      </c>
      <c r="L9" s="303"/>
      <c r="M9" s="284"/>
      <c r="N9" s="285"/>
      <c r="O9" s="286"/>
      <c r="P9" s="286"/>
      <c r="Q9" s="286"/>
      <c r="R9" s="286"/>
      <c r="S9" s="286"/>
      <c r="T9" s="286"/>
      <c r="U9" s="286"/>
      <c r="V9" s="286"/>
      <c r="W9" s="286"/>
      <c r="X9" s="286"/>
      <c r="Y9" s="286"/>
      <c r="Z9" s="287"/>
    </row>
    <row r="10" spans="1:26" ht="15" customHeight="1">
      <c r="A10" s="314"/>
      <c r="B10" s="315" t="s">
        <v>253</v>
      </c>
      <c r="C10" s="316"/>
      <c r="D10" s="316"/>
      <c r="E10" s="317" t="str" cm="1">
        <f t="array" ref="E10">IF(AND(ISNUMBER(C9),ISNUMBER(D9),C9=D9),"Y","N")</f>
        <v>N</v>
      </c>
      <c r="F10" s="297"/>
      <c r="G10" s="318"/>
      <c r="H10" s="319" t="s">
        <v>253</v>
      </c>
      <c r="I10" s="320"/>
      <c r="J10" s="320"/>
      <c r="K10" s="321" t="str" cm="1">
        <f t="array" ref="K10">IF(AND(ISNUMBER(I9),ISNUMBER(J9),I9=J9),"Y","N")</f>
        <v>N</v>
      </c>
      <c r="L10" s="303"/>
      <c r="M10" s="284"/>
      <c r="N10" s="285"/>
      <c r="O10" s="286"/>
      <c r="P10" s="286"/>
      <c r="Q10" s="286"/>
      <c r="R10" s="286"/>
      <c r="S10" s="286"/>
      <c r="T10" s="286"/>
      <c r="U10" s="286"/>
      <c r="V10" s="286"/>
      <c r="W10" s="286"/>
      <c r="X10" s="286"/>
      <c r="Y10" s="286"/>
      <c r="Z10" s="287"/>
    </row>
    <row r="11" spans="1:26" ht="15.75" customHeight="1">
      <c r="A11" s="322"/>
      <c r="B11" s="323" t="str" cm="1">
        <f t="array" ref="B11">IF(AND(ISNUMBER(C9),ISNUMBER(D9)),IF((C9+C10)&gt;(D9+D10),B9,E9),"-")</f>
        <v>Alemania</v>
      </c>
      <c r="C11" s="323" t="str" cm="1">
        <f t="array" ref="C11">E8</f>
        <v>W74</v>
      </c>
      <c r="D11" s="323"/>
      <c r="E11" s="323"/>
      <c r="F11" s="324"/>
      <c r="G11" s="325"/>
      <c r="H11" s="326" t="str" cm="1">
        <f t="array" ref="H11">IF(AND(ISNUMBER(I9),ISNUMBER(J9)),IF((I9+I10)&gt;(J9+J10),H9,K9),"-")</f>
        <v>Belgica</v>
      </c>
      <c r="I11" s="326" t="str" cm="1">
        <f t="array" ref="I11">K8</f>
        <v>W82</v>
      </c>
      <c r="J11" s="326"/>
      <c r="K11" s="326"/>
      <c r="L11" s="283"/>
      <c r="M11" s="284"/>
      <c r="N11" s="285"/>
      <c r="O11" s="291"/>
      <c r="P11" s="291"/>
      <c r="Q11" s="291"/>
      <c r="R11" s="291"/>
      <c r="S11" s="291"/>
      <c r="T11" s="286"/>
      <c r="U11" s="292"/>
      <c r="V11" s="292"/>
      <c r="W11" s="292"/>
      <c r="X11" s="292"/>
      <c r="Y11" s="292"/>
      <c r="Z11" s="287"/>
    </row>
    <row r="12" spans="1:26" ht="15" customHeight="1">
      <c r="A12" s="293"/>
      <c r="B12" s="294"/>
      <c r="C12" s="295" t="s">
        <v>173</v>
      </c>
      <c r="D12" s="295" t="s">
        <v>145</v>
      </c>
      <c r="E12" s="296" t="s">
        <v>257</v>
      </c>
      <c r="F12" s="297"/>
      <c r="G12" s="298"/>
      <c r="H12" s="299"/>
      <c r="I12" s="300" t="s">
        <v>225</v>
      </c>
      <c r="J12" s="300" t="s">
        <v>235</v>
      </c>
      <c r="K12" s="302" t="s">
        <v>246</v>
      </c>
      <c r="L12" s="303"/>
      <c r="M12" s="284"/>
      <c r="N12" s="304"/>
      <c r="O12" s="293"/>
      <c r="P12" s="294"/>
      <c r="Q12" s="295" t="s">
        <v>241</v>
      </c>
      <c r="R12" s="295" t="s">
        <v>257</v>
      </c>
      <c r="S12" s="296" t="s">
        <v>258</v>
      </c>
      <c r="T12" s="305"/>
      <c r="U12" s="298"/>
      <c r="V12" s="299"/>
      <c r="W12" s="300" t="s">
        <v>242</v>
      </c>
      <c r="X12" s="300" t="s">
        <v>254</v>
      </c>
      <c r="Y12" s="302" t="s">
        <v>259</v>
      </c>
      <c r="Z12" s="306"/>
    </row>
    <row r="13" spans="1:26" ht="14.25" customHeight="1">
      <c r="A13" s="307" t="s">
        <v>260</v>
      </c>
      <c r="B13" s="308" t="str" cm="1">
        <f t="array" ref="B13">_xlfn.XLOOKUP(C12,'Groups Stage'!$Y1:$Y108,'Groups Stage'!$Z1:$Z108,"-",0)</f>
        <v>Paises Bajos</v>
      </c>
      <c r="C13" s="309">
        <v>1</v>
      </c>
      <c r="D13" s="310">
        <v>2</v>
      </c>
      <c r="E13" s="311" t="str" cm="1">
        <f t="array" ref="E13">_xlfn.XLOOKUP(D12,'Groups Stage'!$Y1:$Y108,'Groups Stage'!$Z1:$Z108,"-",0)</f>
        <v>Marruecos</v>
      </c>
      <c r="F13" s="297"/>
      <c r="G13" s="312" t="s">
        <v>261</v>
      </c>
      <c r="H13" s="308" t="str" cm="1">
        <f t="array" ref="H13">_xlfn.XLOOKUP(I12,'Groups Stage'!$Y1:$Y108,'Groups Stage'!$Z1:$Z108,"-",0)</f>
        <v>Colombia</v>
      </c>
      <c r="I13" s="309">
        <v>1</v>
      </c>
      <c r="J13" s="310">
        <v>2</v>
      </c>
      <c r="K13" s="313" t="str" cm="1">
        <f t="array" ref="K13">_xlfn.XLOOKUP(J12,'Groups Stage'!$Y1:$Y108,'Groups Stage'!$Z1:$Z108,"-",0)</f>
        <v>Croacia</v>
      </c>
      <c r="L13" s="303"/>
      <c r="M13" s="284"/>
      <c r="N13" s="304"/>
      <c r="O13" s="307" t="s">
        <v>262</v>
      </c>
      <c r="P13" s="308" t="str" cm="1">
        <f t="array" ref="P13">_xlfn.XLOOKUP(Q12,$C1:$C100,$B1:$B100,_xlfn.XLOOKUP(Q12,$I1:$I100,$H1:$H100,"-",0),0)</f>
        <v>Corea del Sur</v>
      </c>
      <c r="Q13" s="309">
        <v>1</v>
      </c>
      <c r="R13" s="310">
        <v>2</v>
      </c>
      <c r="S13" s="311" t="str" cm="1">
        <f t="array" ref="S13">_xlfn.XLOOKUP(R12,$C1:$C100,$B1:$B100,_xlfn.XLOOKUP(R12,$I1:$I100,$H1:$H100,"-",0),0)</f>
        <v>Marruecos</v>
      </c>
      <c r="T13" s="305"/>
      <c r="U13" s="312" t="s">
        <v>263</v>
      </c>
      <c r="V13" s="308" t="str" cm="1">
        <f t="array" ref="V13">_xlfn.XLOOKUP(W12,$C1:$C100,$B1:$B100,_xlfn.XLOOKUP(W12,$I1:$I100,$H1:$H100,"-",0),0)</f>
        <v>Estados Unidos</v>
      </c>
      <c r="W13" s="309">
        <v>1</v>
      </c>
      <c r="X13" s="310">
        <v>2</v>
      </c>
      <c r="Y13" s="313" t="str" cm="1">
        <f t="array" ref="Y13">_xlfn.XLOOKUP(X12,$C1:$C100,$B1:$B100,_xlfn.XLOOKUP(X12,$I1:$I100,$H1:$H100,"-",0),0)</f>
        <v>Belgica</v>
      </c>
      <c r="Z13" s="306"/>
    </row>
    <row r="14" spans="1:26" ht="15" customHeight="1">
      <c r="A14" s="314"/>
      <c r="B14" s="315" t="s">
        <v>253</v>
      </c>
      <c r="C14" s="316"/>
      <c r="D14" s="316"/>
      <c r="E14" s="317" t="str" cm="1">
        <f t="array" ref="E14">IF(AND(ISNUMBER(C13),ISNUMBER(D13),C13=D13),"Y","N")</f>
        <v>N</v>
      </c>
      <c r="F14" s="297"/>
      <c r="G14" s="318"/>
      <c r="H14" s="319" t="s">
        <v>253</v>
      </c>
      <c r="I14" s="320"/>
      <c r="J14" s="320"/>
      <c r="K14" s="321" t="str" cm="1">
        <f t="array" ref="K14">IF(AND(ISNUMBER(I13),ISNUMBER(J13),I13=J13),"Y","N")</f>
        <v>N</v>
      </c>
      <c r="L14" s="303"/>
      <c r="M14" s="284"/>
      <c r="N14" s="304"/>
      <c r="O14" s="314"/>
      <c r="P14" s="315" t="s">
        <v>253</v>
      </c>
      <c r="Q14" s="316"/>
      <c r="R14" s="316"/>
      <c r="S14" s="317" t="str" cm="1">
        <f t="array" ref="S14">IF(AND(ISNUMBER(Q13),ISNUMBER(R13),Q13=R13),"Y","N")</f>
        <v>N</v>
      </c>
      <c r="T14" s="305"/>
      <c r="U14" s="318"/>
      <c r="V14" s="319" t="s">
        <v>253</v>
      </c>
      <c r="W14" s="320"/>
      <c r="X14" s="320"/>
      <c r="Y14" s="321" t="str" cm="1">
        <f t="array" ref="Y14">IF(AND(ISNUMBER(W13),ISNUMBER(X13),W13=X13),"Y","N")</f>
        <v>N</v>
      </c>
      <c r="Z14" s="306"/>
    </row>
    <row r="15" spans="1:26" ht="15.75" customHeight="1">
      <c r="A15" s="333"/>
      <c r="B15" s="334" t="str" cm="1">
        <f t="array" ref="B15">IF(AND(ISNUMBER(C13),ISNUMBER(D13)),IF((C13+C14)&gt;(D13+D14),B13,E13),"-")</f>
        <v>Marruecos</v>
      </c>
      <c r="C15" s="334" t="str" cm="1">
        <f t="array" ref="C15">E12</f>
        <v>W75</v>
      </c>
      <c r="D15" s="334"/>
      <c r="E15" s="334"/>
      <c r="F15" s="324"/>
      <c r="G15" s="325"/>
      <c r="H15" s="326" t="str" cm="1">
        <f t="array" ref="H15">IF(AND(ISNUMBER(I13),ISNUMBER(J13)),IF((I13+I14)&gt;(J13+J14),H13,K13),"-")</f>
        <v>Croacia</v>
      </c>
      <c r="I15" s="326" t="str" cm="1">
        <f t="array" ref="I15">K12</f>
        <v>W83</v>
      </c>
      <c r="J15" s="326"/>
      <c r="K15" s="326"/>
      <c r="L15" s="283"/>
      <c r="M15" s="284"/>
      <c r="N15" s="285"/>
      <c r="O15" s="327"/>
      <c r="P15" s="328" t="str" cm="1">
        <f t="array" ref="P15">IF(AND(ISNUMBER(Q13),ISNUMBER(R13)),IF((Q13+Q14)&gt;(R13+R14),P13,S13),"-")</f>
        <v>Marruecos</v>
      </c>
      <c r="Q15" s="328" t="str" cm="1">
        <f t="array" ref="Q15">S12</f>
        <v>W90</v>
      </c>
      <c r="R15" s="328"/>
      <c r="S15" s="328"/>
      <c r="T15" s="329"/>
      <c r="U15" s="330"/>
      <c r="V15" s="331" t="str" cm="1">
        <f t="array" ref="V15">IF(AND(ISNUMBER(W13),ISNUMBER(X13)),IF((W13+W14)&gt;(X13+X14),V13,Y13),"-")</f>
        <v>Belgica</v>
      </c>
      <c r="W15" s="331" t="str" cm="1">
        <f t="array" ref="W15">Y12</f>
        <v>W94</v>
      </c>
      <c r="X15" s="331"/>
      <c r="Y15" s="331"/>
      <c r="Z15" s="287"/>
    </row>
    <row r="16" spans="1:26" ht="15" customHeight="1">
      <c r="A16" s="335"/>
      <c r="B16" s="336"/>
      <c r="C16" s="337" t="s">
        <v>143</v>
      </c>
      <c r="D16" s="337" t="s">
        <v>175</v>
      </c>
      <c r="E16" s="338" t="s">
        <v>264</v>
      </c>
      <c r="F16" s="339"/>
      <c r="G16" s="298"/>
      <c r="H16" s="299"/>
      <c r="I16" s="300" t="s">
        <v>193</v>
      </c>
      <c r="J16" s="300" t="s">
        <v>215</v>
      </c>
      <c r="K16" s="302" t="s">
        <v>247</v>
      </c>
      <c r="L16" s="303"/>
      <c r="M16" s="284"/>
      <c r="N16" s="285"/>
      <c r="O16" s="286"/>
      <c r="P16" s="286"/>
      <c r="Q16" s="286"/>
      <c r="R16" s="286"/>
      <c r="S16" s="286"/>
      <c r="T16" s="286"/>
      <c r="U16" s="286"/>
      <c r="V16" s="286"/>
      <c r="W16" s="286"/>
      <c r="X16" s="286"/>
      <c r="Y16" s="286"/>
      <c r="Z16" s="287"/>
    </row>
    <row r="17" spans="1:26" ht="14.25" customHeight="1">
      <c r="A17" s="340" t="s">
        <v>265</v>
      </c>
      <c r="B17" s="308" t="str" cm="1">
        <f t="array" ref="B17">_xlfn.XLOOKUP(C16,'Groups Stage'!$Y1:$Y108,'Groups Stage'!$Z1:$Z108,"-",0)</f>
        <v>Brasil</v>
      </c>
      <c r="C17" s="309">
        <v>2</v>
      </c>
      <c r="D17" s="310">
        <v>0</v>
      </c>
      <c r="E17" s="341" t="str" cm="1">
        <f t="array" ref="E17">_xlfn.XLOOKUP(D16,'Groups Stage'!$Y1:$Y108,'Groups Stage'!$Z1:$Z108,"-",0)</f>
        <v>Japon</v>
      </c>
      <c r="F17" s="339"/>
      <c r="G17" s="312" t="s">
        <v>266</v>
      </c>
      <c r="H17" s="308" t="str" cm="1">
        <f t="array" ref="H17">_xlfn.XLOOKUP(I16,'Groups Stage'!$Y1:$Y108,'Groups Stage'!$Z1:$Z108,"-",0)</f>
        <v>España</v>
      </c>
      <c r="I17" s="309">
        <v>2</v>
      </c>
      <c r="J17" s="310">
        <v>0</v>
      </c>
      <c r="K17" s="313" t="str" cm="1">
        <f t="array" ref="K17">_xlfn.XLOOKUP(J16,'Groups Stage'!$Y1:$Y108,'Groups Stage'!$Z1:$Z108,"-",0)</f>
        <v>Austria</v>
      </c>
      <c r="L17" s="303"/>
      <c r="M17" s="284"/>
      <c r="N17" s="285"/>
      <c r="O17" s="286"/>
      <c r="P17" s="286"/>
      <c r="Q17" s="286"/>
      <c r="R17" s="286"/>
      <c r="S17" s="286"/>
      <c r="T17" s="286"/>
      <c r="U17" s="286"/>
      <c r="V17" s="286"/>
      <c r="W17" s="286"/>
      <c r="X17" s="286"/>
      <c r="Y17" s="286"/>
      <c r="Z17" s="287"/>
    </row>
    <row r="18" spans="1:26" ht="15" customHeight="1">
      <c r="A18" s="342"/>
      <c r="B18" s="343" t="s">
        <v>253</v>
      </c>
      <c r="C18" s="344"/>
      <c r="D18" s="344"/>
      <c r="E18" s="345" t="str" cm="1">
        <f t="array" ref="E18">IF(AND(ISNUMBER(C17),ISNUMBER(D17),C17=D17),"Y","N")</f>
        <v>N</v>
      </c>
      <c r="F18" s="339"/>
      <c r="G18" s="318"/>
      <c r="H18" s="319" t="s">
        <v>253</v>
      </c>
      <c r="I18" s="320"/>
      <c r="J18" s="320"/>
      <c r="K18" s="321" t="str" cm="1">
        <f t="array" ref="K18">IF(AND(ISNUMBER(I17),ISNUMBER(J17),I17=J17),"Y","N")</f>
        <v>N</v>
      </c>
      <c r="L18" s="303"/>
      <c r="M18" s="284"/>
      <c r="N18" s="285"/>
      <c r="O18" s="286"/>
      <c r="P18" s="286"/>
      <c r="Q18" s="286"/>
      <c r="R18" s="286"/>
      <c r="S18" s="286"/>
      <c r="T18" s="286"/>
      <c r="U18" s="286"/>
      <c r="V18" s="286"/>
      <c r="W18" s="286"/>
      <c r="X18" s="286"/>
      <c r="Y18" s="286"/>
      <c r="Z18" s="287"/>
    </row>
    <row r="19" spans="1:26" ht="15.75" customHeight="1">
      <c r="A19" s="346"/>
      <c r="B19" s="347" t="str" cm="1">
        <f t="array" ref="B19">IF(AND(ISNUMBER(C17),ISNUMBER(D17)),IF((C17+C18)&gt;(D17+D18),B17,E17),"-")</f>
        <v>Brasil</v>
      </c>
      <c r="C19" s="347" t="str" cm="1">
        <f t="array" ref="C19">E16</f>
        <v>W76</v>
      </c>
      <c r="D19" s="347"/>
      <c r="E19" s="347"/>
      <c r="F19" s="324"/>
      <c r="G19" s="348"/>
      <c r="H19" s="349" t="str" cm="1">
        <f t="array" ref="H19">IF(AND(ISNUMBER(I17),ISNUMBER(J17)),IF((I17+I18)&gt;(J17+J18),H17,K17),"-")</f>
        <v>España</v>
      </c>
      <c r="I19" s="349" t="str" cm="1">
        <f t="array" ref="I19">K16</f>
        <v>W84</v>
      </c>
      <c r="J19" s="349"/>
      <c r="K19" s="349"/>
      <c r="L19" s="283"/>
      <c r="M19" s="284"/>
      <c r="N19" s="285"/>
      <c r="O19" s="350"/>
      <c r="P19" s="350"/>
      <c r="Q19" s="350"/>
      <c r="R19" s="350"/>
      <c r="S19" s="350"/>
      <c r="T19" s="286"/>
      <c r="U19" s="351"/>
      <c r="V19" s="351"/>
      <c r="W19" s="351"/>
      <c r="X19" s="351"/>
      <c r="Y19" s="351"/>
      <c r="Z19" s="287"/>
    </row>
    <row r="20" spans="1:26" ht="15" customHeight="1">
      <c r="A20" s="293"/>
      <c r="B20" s="294"/>
      <c r="C20" s="295" t="s">
        <v>203</v>
      </c>
      <c r="D20" s="332" t="str" cm="1">
        <f t="array" ref="D20">_xlfn.XLOOKUP(C20,'Mejores 3eros'!$AD$1:$AK$1,'Mejores 3eros'!$AD$3:$AK$3,"-",0)</f>
        <v>3F</v>
      </c>
      <c r="E20" s="296" t="s">
        <v>244</v>
      </c>
      <c r="F20" s="352"/>
      <c r="G20" s="353"/>
      <c r="H20" s="354"/>
      <c r="I20" s="355" t="s">
        <v>133</v>
      </c>
      <c r="J20" s="356" t="str" cm="1">
        <f t="array" ref="J20">_xlfn.XLOOKUP(I20,'Mejores 3eros'!$AD$1:$AK$1,'Mejores 3eros'!$AD$3:$AK$3,"-",0)</f>
        <v>3J</v>
      </c>
      <c r="K20" s="357" t="s">
        <v>267</v>
      </c>
      <c r="L20" s="358"/>
      <c r="M20" s="284"/>
      <c r="N20" s="359"/>
      <c r="O20" s="335"/>
      <c r="P20" s="336"/>
      <c r="Q20" s="337" t="s">
        <v>264</v>
      </c>
      <c r="R20" s="337" t="s">
        <v>268</v>
      </c>
      <c r="S20" s="338" t="s">
        <v>269</v>
      </c>
      <c r="T20" s="360"/>
      <c r="U20" s="353"/>
      <c r="V20" s="354"/>
      <c r="W20" s="355" t="s">
        <v>270</v>
      </c>
      <c r="X20" s="355" t="s">
        <v>271</v>
      </c>
      <c r="Y20" s="357" t="s">
        <v>272</v>
      </c>
      <c r="Z20" s="361"/>
    </row>
    <row r="21" spans="1:26" ht="14.25" customHeight="1">
      <c r="A21" s="307" t="s">
        <v>273</v>
      </c>
      <c r="B21" s="308" t="str" cm="1">
        <f t="array" ref="B21">_xlfn.XLOOKUP(C20,'Groups Stage'!$Y1:$Y108,'Groups Stage'!$Z1:$Z108,"-",0)</f>
        <v>Francia</v>
      </c>
      <c r="C21" s="309">
        <v>3</v>
      </c>
      <c r="D21" s="310">
        <v>1</v>
      </c>
      <c r="E21" s="311" t="str" cm="1">
        <f t="array" ref="E21">_xlfn.XLOOKUP(D20,'Groups Stage'!$Y1:$Y108,'Groups Stage'!$Z1:$Z108,"-",0)</f>
        <v>Suecia</v>
      </c>
      <c r="F21" s="352"/>
      <c r="G21" s="362" t="s">
        <v>274</v>
      </c>
      <c r="H21" s="308" t="str" cm="1">
        <f t="array" ref="H21">_xlfn.XLOOKUP(I20,'Groups Stage'!$Y1:$Y108,'Groups Stage'!$Z1:$Z108,"-",0)</f>
        <v>Suiza</v>
      </c>
      <c r="I21" s="309">
        <v>1</v>
      </c>
      <c r="J21" s="310">
        <v>0</v>
      </c>
      <c r="K21" s="363" t="str" cm="1">
        <f t="array" ref="K21">_xlfn.XLOOKUP(J20,'Groups Stage'!$Y1:$Y108,'Groups Stage'!$Z1:$Z108,"-",0)</f>
        <v>Argelia</v>
      </c>
      <c r="L21" s="358"/>
      <c r="M21" s="284"/>
      <c r="N21" s="359"/>
      <c r="O21" s="340" t="s">
        <v>275</v>
      </c>
      <c r="P21" s="308" t="str" cm="1">
        <f t="array" ref="P21">_xlfn.XLOOKUP(Q20,$C1:$C100,$B1:$B100,_xlfn.XLOOKUP(Q20,$I1:$I100,$H1:$H100,"-",0),0)</f>
        <v>Brasil</v>
      </c>
      <c r="Q21" s="309">
        <v>2</v>
      </c>
      <c r="R21" s="310">
        <v>0</v>
      </c>
      <c r="S21" s="341" t="str" cm="1">
        <f t="array" ref="S21">_xlfn.XLOOKUP(R20,$C1:$C100,$B1:$B100,_xlfn.XLOOKUP(R20,$I1:$I100,$H1:$H100,"-",0),0)</f>
        <v>Ecuador</v>
      </c>
      <c r="T21" s="360"/>
      <c r="U21" s="362" t="s">
        <v>276</v>
      </c>
      <c r="V21" s="308" t="str" cm="1">
        <f t="array" ref="V21">_xlfn.XLOOKUP(W20,$C1:$C100,$B1:$B100,_xlfn.XLOOKUP(W20,$I1:$I100,$H1:$H100,"-",0),0)</f>
        <v>Argentina</v>
      </c>
      <c r="W21" s="309">
        <v>2</v>
      </c>
      <c r="X21" s="310">
        <v>0</v>
      </c>
      <c r="Y21" s="363" t="str" cm="1">
        <f t="array" ref="Y21">_xlfn.XLOOKUP(X20,$C1:$C100,$B1:$B100,_xlfn.XLOOKUP(X20,$I1:$I100,$H1:$H100,"-",0),0)</f>
        <v>Paraguay</v>
      </c>
      <c r="Z21" s="361"/>
    </row>
    <row r="22" spans="1:26" ht="15" customHeight="1">
      <c r="A22" s="314"/>
      <c r="B22" s="315" t="s">
        <v>253</v>
      </c>
      <c r="C22" s="316"/>
      <c r="D22" s="316"/>
      <c r="E22" s="317" t="str" cm="1">
        <f t="array" ref="E22">IF(AND(ISNUMBER(C21),ISNUMBER(D21),C21=D21),"Y","N")</f>
        <v>N</v>
      </c>
      <c r="F22" s="352"/>
      <c r="G22" s="364"/>
      <c r="H22" s="365" t="s">
        <v>253</v>
      </c>
      <c r="I22" s="366"/>
      <c r="J22" s="366"/>
      <c r="K22" s="367" t="str" cm="1">
        <f t="array" ref="K22">IF(AND(ISNUMBER(I21),ISNUMBER(J21),I21=J21),"Y","N")</f>
        <v>N</v>
      </c>
      <c r="L22" s="358"/>
      <c r="M22" s="284"/>
      <c r="N22" s="359"/>
      <c r="O22" s="342"/>
      <c r="P22" s="343" t="s">
        <v>253</v>
      </c>
      <c r="Q22" s="344"/>
      <c r="R22" s="344"/>
      <c r="S22" s="345" t="str" cm="1">
        <f t="array" ref="S22">IF(AND(ISNUMBER(Q21),ISNUMBER(R21),Q21=R21),"Y","N")</f>
        <v>N</v>
      </c>
      <c r="T22" s="360"/>
      <c r="U22" s="364"/>
      <c r="V22" s="365" t="s">
        <v>253</v>
      </c>
      <c r="W22" s="366"/>
      <c r="X22" s="366"/>
      <c r="Y22" s="367" t="str" cm="1">
        <f t="array" ref="Y22">IF(AND(ISNUMBER(W21),ISNUMBER(X21),W21=X21),"Y","N")</f>
        <v>N</v>
      </c>
      <c r="Z22" s="361"/>
    </row>
    <row r="23" spans="1:26" ht="15.75" customHeight="1">
      <c r="A23" s="333"/>
      <c r="B23" s="334" t="str" cm="1">
        <f t="array" ref="B23">IF(AND(ISNUMBER(C21),ISNUMBER(D21)),IF((C21+C22)&gt;(D21+D22),B21,E21),"-")</f>
        <v>Francia</v>
      </c>
      <c r="C23" s="334" t="str" cm="1">
        <f t="array" ref="C23">E20</f>
        <v>W77</v>
      </c>
      <c r="D23" s="334"/>
      <c r="E23" s="334"/>
      <c r="F23" s="324"/>
      <c r="G23" s="368"/>
      <c r="H23" s="369" t="str" cm="1">
        <f t="array" ref="H23">IF(AND(ISNUMBER(I21),ISNUMBER(J21)),IF((I21+I22)&gt;(J21+J22),H21,K21),"-")</f>
        <v>Suiza</v>
      </c>
      <c r="I23" s="369" t="str" cm="1">
        <f t="array" ref="I23">K20</f>
        <v>W85</v>
      </c>
      <c r="J23" s="369"/>
      <c r="K23" s="369"/>
      <c r="L23" s="283"/>
      <c r="M23" s="284"/>
      <c r="N23" s="285"/>
      <c r="O23" s="370"/>
      <c r="P23" s="371" t="str" cm="1">
        <f t="array" ref="P23">IF(AND(ISNUMBER(Q21),ISNUMBER(R21)),IF((Q21+Q22)&gt;(R21+R22),P21,S21),"-")</f>
        <v>Brasil</v>
      </c>
      <c r="Q23" s="371" t="str" cm="1">
        <f t="array" ref="Q23">S20</f>
        <v>W91</v>
      </c>
      <c r="R23" s="371"/>
      <c r="S23" s="371"/>
      <c r="T23" s="329"/>
      <c r="U23" s="372"/>
      <c r="V23" s="373" t="str" cm="1">
        <f t="array" ref="V23">IF(AND(ISNUMBER(W21),ISNUMBER(X21)),IF((W21+W22)&gt;(X21+X22),V21,Y21),"-")</f>
        <v>Argentina</v>
      </c>
      <c r="W23" s="373" t="str" cm="1">
        <f t="array" ref="W23">Y20</f>
        <v>W95</v>
      </c>
      <c r="X23" s="373"/>
      <c r="Y23" s="373"/>
      <c r="Z23" s="287"/>
    </row>
    <row r="24" spans="1:26" ht="15" customHeight="1">
      <c r="A24" s="335"/>
      <c r="B24" s="336"/>
      <c r="C24" s="337" t="s">
        <v>165</v>
      </c>
      <c r="D24" s="337" t="s">
        <v>205</v>
      </c>
      <c r="E24" s="338" t="s">
        <v>268</v>
      </c>
      <c r="F24" s="374"/>
      <c r="G24" s="353"/>
      <c r="H24" s="354"/>
      <c r="I24" s="355" t="s">
        <v>213</v>
      </c>
      <c r="J24" s="355" t="s">
        <v>195</v>
      </c>
      <c r="K24" s="357" t="s">
        <v>270</v>
      </c>
      <c r="L24" s="358"/>
      <c r="M24" s="284"/>
      <c r="N24" s="285"/>
      <c r="O24" s="286"/>
      <c r="P24" s="286"/>
      <c r="Q24" s="286"/>
      <c r="R24" s="286"/>
      <c r="S24" s="286"/>
      <c r="T24" s="286"/>
      <c r="U24" s="286"/>
      <c r="V24" s="286"/>
      <c r="W24" s="286"/>
      <c r="X24" s="286"/>
      <c r="Y24" s="286"/>
      <c r="Z24" s="287"/>
    </row>
    <row r="25" spans="1:26" ht="14.25" customHeight="1">
      <c r="A25" s="340" t="s">
        <v>277</v>
      </c>
      <c r="B25" s="308" t="str" cm="1">
        <f t="array" ref="B25">_xlfn.XLOOKUP(C24,'Groups Stage'!$Y1:$Y108,'Groups Stage'!$Z1:$Z108,"-",0)</f>
        <v>Ecuador</v>
      </c>
      <c r="C25" s="309">
        <v>2</v>
      </c>
      <c r="D25" s="310">
        <v>1</v>
      </c>
      <c r="E25" s="341" t="str" cm="1">
        <f t="array" ref="E25">_xlfn.XLOOKUP(D24,'Groups Stage'!$Y1:$Y108,'Groups Stage'!$Z1:$Z108,"-",0)</f>
        <v>Noruega</v>
      </c>
      <c r="F25" s="374"/>
      <c r="G25" s="362" t="s">
        <v>278</v>
      </c>
      <c r="H25" s="308" t="str" cm="1">
        <f t="array" ref="H25">_xlfn.XLOOKUP(I24,'Groups Stage'!$Y1:$Y108,'Groups Stage'!$Z1:$Z108,"-",0)</f>
        <v>Argentina</v>
      </c>
      <c r="I25" s="309">
        <v>1</v>
      </c>
      <c r="J25" s="310">
        <v>0</v>
      </c>
      <c r="K25" s="363" t="str" cm="1">
        <f t="array" ref="K25">_xlfn.XLOOKUP(J24,'Groups Stage'!$Y1:$Y108,'Groups Stage'!$Z1:$Z108,"-",0)</f>
        <v>Uruguay</v>
      </c>
      <c r="L25" s="358"/>
      <c r="M25" s="284"/>
      <c r="N25" s="285"/>
      <c r="O25" s="286"/>
      <c r="P25" s="286"/>
      <c r="Q25" s="286"/>
      <c r="R25" s="286"/>
      <c r="S25" s="286"/>
      <c r="T25" s="286"/>
      <c r="U25" s="286"/>
      <c r="V25" s="286"/>
      <c r="W25" s="286"/>
      <c r="X25" s="286"/>
      <c r="Y25" s="286"/>
      <c r="Z25" s="287"/>
    </row>
    <row r="26" spans="1:26" ht="15" customHeight="1">
      <c r="A26" s="342"/>
      <c r="B26" s="343" t="s">
        <v>253</v>
      </c>
      <c r="C26" s="344"/>
      <c r="D26" s="344"/>
      <c r="E26" s="345" t="str" cm="1">
        <f t="array" ref="E26">IF(AND(ISNUMBER(C25),ISNUMBER(D25),C25=D25),"Y","N")</f>
        <v>N</v>
      </c>
      <c r="F26" s="374"/>
      <c r="G26" s="364"/>
      <c r="H26" s="365" t="s">
        <v>253</v>
      </c>
      <c r="I26" s="366"/>
      <c r="J26" s="366"/>
      <c r="K26" s="367" t="str" cm="1">
        <f t="array" ref="K26">IF(AND(ISNUMBER(I25),ISNUMBER(J25),I25=J25),"Y","N")</f>
        <v>N</v>
      </c>
      <c r="L26" s="358"/>
      <c r="M26" s="284"/>
      <c r="N26" s="285"/>
      <c r="O26" s="286"/>
      <c r="P26" s="286"/>
      <c r="Q26" s="286"/>
      <c r="R26" s="286"/>
      <c r="S26" s="286"/>
      <c r="T26" s="286"/>
      <c r="U26" s="286"/>
      <c r="V26" s="286"/>
      <c r="W26" s="286"/>
      <c r="X26" s="286"/>
      <c r="Y26" s="286"/>
      <c r="Z26" s="287"/>
    </row>
    <row r="27" spans="1:26" ht="15.75" customHeight="1">
      <c r="A27" s="375"/>
      <c r="B27" s="376" t="str" cm="1">
        <f t="array" ref="B27">IF(AND(ISNUMBER(C25),ISNUMBER(D25)),IF((C25+C26)&gt;(D25+D26),B25,E25),"-")</f>
        <v>Ecuador</v>
      </c>
      <c r="C27" s="376" t="str" cm="1">
        <f t="array" ref="C27">E24</f>
        <v>W78</v>
      </c>
      <c r="D27" s="376"/>
      <c r="E27" s="376"/>
      <c r="F27" s="324"/>
      <c r="G27" s="368"/>
      <c r="H27" s="369" t="str" cm="1">
        <f t="array" ref="H27">IF(AND(ISNUMBER(I25),ISNUMBER(J25)),IF((I25+I26)&gt;(J25+J26),H25,K25),"-")</f>
        <v>Argentina</v>
      </c>
      <c r="I27" s="369" t="str" cm="1">
        <f t="array" ref="I27">K24</f>
        <v>W86</v>
      </c>
      <c r="J27" s="369"/>
      <c r="K27" s="369"/>
      <c r="L27" s="283"/>
      <c r="M27" s="284"/>
      <c r="N27" s="285"/>
      <c r="O27" s="350"/>
      <c r="P27" s="350"/>
      <c r="Q27" s="350"/>
      <c r="R27" s="350"/>
      <c r="S27" s="350"/>
      <c r="T27" s="286"/>
      <c r="U27" s="351"/>
      <c r="V27" s="351"/>
      <c r="W27" s="351"/>
      <c r="X27" s="351"/>
      <c r="Y27" s="351"/>
      <c r="Z27" s="287"/>
    </row>
    <row r="28" spans="1:26" ht="15" customHeight="1">
      <c r="A28" s="335"/>
      <c r="B28" s="336"/>
      <c r="C28" s="337" t="s">
        <v>120</v>
      </c>
      <c r="D28" s="377" t="str" cm="1">
        <f t="array" ref="D28">_xlfn.XLOOKUP(C28,'Mejores 3eros'!$AD$1:$AK$1,'Mejores 3eros'!$AD$3:$AK$3,"-",0)</f>
        <v>3C</v>
      </c>
      <c r="E28" s="338" t="s">
        <v>279</v>
      </c>
      <c r="F28" s="374"/>
      <c r="G28" s="353"/>
      <c r="H28" s="354"/>
      <c r="I28" s="355" t="s">
        <v>223</v>
      </c>
      <c r="J28" s="356" t="str" cm="1">
        <f t="array" ref="J28">_xlfn.XLOOKUP(I28,'Mejores 3eros'!$AD$1:$AK$1,'Mejores 3eros'!$AD$3:$AK$3,"-",0)</f>
        <v>3L</v>
      </c>
      <c r="K28" s="357" t="s">
        <v>280</v>
      </c>
      <c r="L28" s="358"/>
      <c r="M28" s="284"/>
      <c r="N28" s="359"/>
      <c r="O28" s="335"/>
      <c r="P28" s="336"/>
      <c r="Q28" s="337" t="s">
        <v>279</v>
      </c>
      <c r="R28" s="337" t="s">
        <v>281</v>
      </c>
      <c r="S28" s="338" t="s">
        <v>282</v>
      </c>
      <c r="T28" s="360"/>
      <c r="U28" s="353"/>
      <c r="V28" s="354"/>
      <c r="W28" s="355" t="s">
        <v>267</v>
      </c>
      <c r="X28" s="355" t="s">
        <v>280</v>
      </c>
      <c r="Y28" s="357" t="s">
        <v>283</v>
      </c>
      <c r="Z28" s="361"/>
    </row>
    <row r="29" spans="1:26" ht="14.25" customHeight="1">
      <c r="A29" s="340" t="s">
        <v>284</v>
      </c>
      <c r="B29" s="308" t="str" cm="1">
        <f t="array" ref="B29">_xlfn.XLOOKUP(C28,'Groups Stage'!$Y1:$Y108,'Groups Stage'!$Z1:$Z108,"-",0)</f>
        <v>Mexico</v>
      </c>
      <c r="C29" s="309">
        <v>2</v>
      </c>
      <c r="D29" s="310">
        <v>1</v>
      </c>
      <c r="E29" s="341" t="str" cm="1">
        <f t="array" ref="E29">_xlfn.XLOOKUP(D28,'Groups Stage'!$Y1:$Y108,'Groups Stage'!$Z1:$Z108,"-",0)</f>
        <v>Escocia</v>
      </c>
      <c r="F29" s="374"/>
      <c r="G29" s="362" t="s">
        <v>285</v>
      </c>
      <c r="H29" s="308" t="str" cm="1">
        <f t="array" ref="H29">_xlfn.XLOOKUP(I28,'Groups Stage'!$Y1:$Y108,'Groups Stage'!$Z1:$Z108,"-",0)</f>
        <v>Portugal</v>
      </c>
      <c r="I29" s="309">
        <v>2</v>
      </c>
      <c r="J29" s="310">
        <v>1</v>
      </c>
      <c r="K29" s="363" t="str" cm="1">
        <f t="array" ref="K29">_xlfn.XLOOKUP(J28,'Groups Stage'!$Y1:$Y108,'Groups Stage'!$Z1:$Z108,"-",0)</f>
        <v>Ghana</v>
      </c>
      <c r="L29" s="358"/>
      <c r="M29" s="284"/>
      <c r="N29" s="359"/>
      <c r="O29" s="340" t="s">
        <v>286</v>
      </c>
      <c r="P29" s="308" t="str" cm="1">
        <f t="array" ref="P29">_xlfn.XLOOKUP(Q28,$C1:$C100,$B1:$B100,_xlfn.XLOOKUP(Q28,$I1:$I100,$H1:$H100,"-",0),0)</f>
        <v>Mexico</v>
      </c>
      <c r="Q29" s="309">
        <v>1</v>
      </c>
      <c r="R29" s="310">
        <v>2</v>
      </c>
      <c r="S29" s="341" t="str" cm="1">
        <f t="array" ref="S29">_xlfn.XLOOKUP(R28,$C1:$C100,$B1:$B100,_xlfn.XLOOKUP(R28,$I1:$I100,$H1:$H100,"-",0),0)</f>
        <v>Inglaterra</v>
      </c>
      <c r="T29" s="360"/>
      <c r="U29" s="362" t="s">
        <v>287</v>
      </c>
      <c r="V29" s="308" t="str" cm="1">
        <f t="array" ref="V29">_xlfn.XLOOKUP(W28,$C1:$C100,$B1:$B100,_xlfn.XLOOKUP(W28,$I1:$I100,$H1:$H100,"-",0),0)</f>
        <v>Suiza</v>
      </c>
      <c r="W29" s="309">
        <v>1</v>
      </c>
      <c r="X29" s="310">
        <v>2</v>
      </c>
      <c r="Y29" s="363" t="str" cm="1">
        <f t="array" ref="Y29">_xlfn.XLOOKUP(X28,$C1:$C100,$B1:$B100,_xlfn.XLOOKUP(X28,$I1:$I100,$H1:$H100,"-",0),0)</f>
        <v>Portugal</v>
      </c>
      <c r="Z29" s="361"/>
    </row>
    <row r="30" spans="1:26" ht="15" customHeight="1">
      <c r="A30" s="342"/>
      <c r="B30" s="343" t="s">
        <v>253</v>
      </c>
      <c r="C30" s="344"/>
      <c r="D30" s="344"/>
      <c r="E30" s="345" t="str" cm="1">
        <f t="array" ref="E30">IF(AND(ISNUMBER(C29),ISNUMBER(D29),C29=D29),"Y","N")</f>
        <v>N</v>
      </c>
      <c r="F30" s="374"/>
      <c r="G30" s="364"/>
      <c r="H30" s="365" t="s">
        <v>253</v>
      </c>
      <c r="I30" s="366"/>
      <c r="J30" s="366"/>
      <c r="K30" s="367" t="str" cm="1">
        <f t="array" ref="K30">IF(AND(ISNUMBER(I29),ISNUMBER(J29),I29=J29),"Y","N")</f>
        <v>N</v>
      </c>
      <c r="L30" s="358"/>
      <c r="M30" s="284"/>
      <c r="N30" s="359"/>
      <c r="O30" s="342"/>
      <c r="P30" s="343" t="s">
        <v>253</v>
      </c>
      <c r="Q30" s="344"/>
      <c r="R30" s="344"/>
      <c r="S30" s="345" t="str" cm="1">
        <f t="array" ref="S30">IF(AND(ISNUMBER(Q29),ISNUMBER(R29),Q29=R29),"Y","N")</f>
        <v>N</v>
      </c>
      <c r="T30" s="360"/>
      <c r="U30" s="364"/>
      <c r="V30" s="365" t="s">
        <v>253</v>
      </c>
      <c r="W30" s="366"/>
      <c r="X30" s="366"/>
      <c r="Y30" s="367" t="str" cm="1">
        <f t="array" ref="Y30">IF(AND(ISNUMBER(W29),ISNUMBER(X29),W29=X29),"Y","N")</f>
        <v>N</v>
      </c>
      <c r="Z30" s="361"/>
    </row>
    <row r="31" spans="1:26" ht="15.75" customHeight="1">
      <c r="A31" s="375"/>
      <c r="B31" s="376" t="str" cm="1">
        <f t="array" ref="B31">IF(AND(ISNUMBER(C29),ISNUMBER(D29)),IF((C29+C30)&gt;(D29+D30),B29,E29),"-")</f>
        <v>Mexico</v>
      </c>
      <c r="C31" s="376" t="str" cm="1">
        <f t="array" ref="C31">E28</f>
        <v>W79</v>
      </c>
      <c r="D31" s="376"/>
      <c r="E31" s="376"/>
      <c r="F31" s="324"/>
      <c r="G31" s="368"/>
      <c r="H31" s="369" t="str" cm="1">
        <f t="array" ref="H31">IF(AND(ISNUMBER(I29),ISNUMBER(J29)),IF((I29+I30)&gt;(J29+J30),H29,K29),"-")</f>
        <v>Portugal</v>
      </c>
      <c r="I31" s="369" t="str" cm="1">
        <f t="array" ref="I31">K28</f>
        <v>W87</v>
      </c>
      <c r="J31" s="369"/>
      <c r="K31" s="369"/>
      <c r="L31" s="283"/>
      <c r="M31" s="284"/>
      <c r="N31" s="285"/>
      <c r="O31" s="370"/>
      <c r="P31" s="371" t="str" cm="1">
        <f t="array" ref="P31">IF(AND(ISNUMBER(Q29),ISNUMBER(R29)),IF((Q29+Q30)&gt;(R29+R30),P29,S29),"-")</f>
        <v>Inglaterra</v>
      </c>
      <c r="Q31" s="371" t="str" cm="1">
        <f t="array" ref="Q31">S28</f>
        <v>W92</v>
      </c>
      <c r="R31" s="371"/>
      <c r="S31" s="371"/>
      <c r="T31" s="329"/>
      <c r="U31" s="378"/>
      <c r="V31" s="373" t="str" cm="1">
        <f t="array" ref="V31">IF(AND(ISNUMBER(W29),ISNUMBER(X29)),IF((W29+W30)&gt;(X29+X30),V29,Y29),"-")</f>
        <v>Portugal</v>
      </c>
      <c r="W31" s="373" t="str" cm="1">
        <f t="array" ref="W31">Y28</f>
        <v>W96</v>
      </c>
      <c r="X31" s="373"/>
      <c r="Y31" s="373"/>
      <c r="Z31" s="287"/>
    </row>
    <row r="32" spans="1:26" ht="15" customHeight="1">
      <c r="A32" s="335"/>
      <c r="B32" s="336"/>
      <c r="C32" s="337" t="s">
        <v>233</v>
      </c>
      <c r="D32" s="377" t="str" cm="1">
        <f t="array" ref="D32">_xlfn.XLOOKUP(C32,'Mejores 3eros'!$AD$1:$AK$1,'Mejores 3eros'!$AD$3:$AK$3,"-",0)</f>
        <v>3I</v>
      </c>
      <c r="E32" s="338" t="s">
        <v>281</v>
      </c>
      <c r="F32" s="374"/>
      <c r="G32" s="353"/>
      <c r="H32" s="354"/>
      <c r="I32" s="355" t="s">
        <v>155</v>
      </c>
      <c r="J32" s="355" t="s">
        <v>185</v>
      </c>
      <c r="K32" s="357" t="s">
        <v>271</v>
      </c>
      <c r="L32" s="358"/>
      <c r="M32" s="284"/>
      <c r="N32" s="285"/>
      <c r="O32" s="286"/>
      <c r="P32" s="286"/>
      <c r="Q32" s="286"/>
      <c r="R32" s="286"/>
      <c r="S32" s="286"/>
      <c r="T32" s="286"/>
      <c r="U32" s="286"/>
      <c r="V32" s="286"/>
      <c r="W32" s="286"/>
      <c r="X32" s="286"/>
      <c r="Y32" s="286"/>
      <c r="Z32" s="287"/>
    </row>
    <row r="33" spans="1:26" ht="14.25" customHeight="1">
      <c r="A33" s="340" t="s">
        <v>288</v>
      </c>
      <c r="B33" s="308" t="str" cm="1">
        <f t="array" ref="B33">_xlfn.XLOOKUP(C32,'Groups Stage'!$Y1:$Y108,'Groups Stage'!$Z1:$Z108,"-",0)</f>
        <v>Inglaterra</v>
      </c>
      <c r="C33" s="309">
        <v>2</v>
      </c>
      <c r="D33" s="310">
        <v>1</v>
      </c>
      <c r="E33" s="341" t="str" cm="1">
        <f t="array" ref="E33">_xlfn.XLOOKUP(D32,'Groups Stage'!$Y1:$Y108,'Groups Stage'!$Z1:$Z108,"-",0)</f>
        <v>Senegal</v>
      </c>
      <c r="F33" s="374"/>
      <c r="G33" s="362" t="s">
        <v>289</v>
      </c>
      <c r="H33" s="308" t="str" cm="1">
        <f t="array" ref="H33">_xlfn.XLOOKUP(I32,'Groups Stage'!$Y1:$Y108,'Groups Stage'!$Z1:$Z108,"-",0)</f>
        <v>Paraguay</v>
      </c>
      <c r="I33" s="309">
        <v>2</v>
      </c>
      <c r="J33" s="310">
        <v>1</v>
      </c>
      <c r="K33" s="363" t="str" cm="1">
        <f t="array" ref="K33">_xlfn.XLOOKUP(J32,'Groups Stage'!$Y1:$Y108,'Groups Stage'!$Z1:$Z108,"-",0)</f>
        <v>Egipto</v>
      </c>
      <c r="L33" s="358"/>
      <c r="M33" s="284"/>
      <c r="N33" s="285"/>
      <c r="O33" s="286"/>
      <c r="P33" s="286"/>
      <c r="Q33" s="286"/>
      <c r="R33" s="286"/>
      <c r="S33" s="286"/>
      <c r="T33" s="286"/>
      <c r="U33" s="286"/>
      <c r="V33" s="286"/>
      <c r="W33" s="286"/>
      <c r="X33" s="286"/>
      <c r="Y33" s="286"/>
      <c r="Z33" s="287"/>
    </row>
    <row r="34" spans="1:26" ht="15" customHeight="1">
      <c r="A34" s="342"/>
      <c r="B34" s="343" t="s">
        <v>253</v>
      </c>
      <c r="C34" s="344"/>
      <c r="D34" s="344"/>
      <c r="E34" s="345" t="str" cm="1">
        <f t="array" ref="E34">IF(AND(ISNUMBER(C33),ISNUMBER(D33),C33=D33),"Y","N")</f>
        <v>N</v>
      </c>
      <c r="F34" s="374"/>
      <c r="G34" s="364"/>
      <c r="H34" s="365" t="s">
        <v>253</v>
      </c>
      <c r="I34" s="366"/>
      <c r="J34" s="366"/>
      <c r="K34" s="367" t="str" cm="1">
        <f t="array" ref="K34">IF(AND(ISNUMBER(I33),ISNUMBER(J33),I33=J33),"Y","N")</f>
        <v>N</v>
      </c>
      <c r="L34" s="358"/>
      <c r="M34" s="284"/>
      <c r="N34" s="285"/>
      <c r="O34" s="286"/>
      <c r="P34" s="286"/>
      <c r="Q34" s="286"/>
      <c r="R34" s="286"/>
      <c r="S34" s="286"/>
      <c r="T34" s="286"/>
      <c r="U34" s="286"/>
      <c r="V34" s="286"/>
      <c r="W34" s="286"/>
      <c r="X34" s="286"/>
      <c r="Y34" s="286"/>
      <c r="Z34" s="287"/>
    </row>
    <row r="35" spans="1:26" ht="15" customHeight="1">
      <c r="A35" s="379"/>
      <c r="B35" s="380" t="str" cm="1">
        <f t="array" ref="B35">IF(AND(ISNUMBER(C33),ISNUMBER(D33)),IF((C33+C34)&gt;(D33+D34),B33,E33),"-")</f>
        <v>Inglaterra</v>
      </c>
      <c r="C35" s="380" t="str" cm="1">
        <f t="array" ref="C35">E32</f>
        <v>W80</v>
      </c>
      <c r="D35" s="380"/>
      <c r="E35" s="380"/>
      <c r="F35" s="282"/>
      <c r="G35" s="381"/>
      <c r="H35" s="382" t="str" cm="1">
        <f t="array" ref="H35">IF(AND(ISNUMBER(I33),ISNUMBER(J33)),IF((I33+I34)&gt;(J33+J34),H33,K33),"-")</f>
        <v>Paraguay</v>
      </c>
      <c r="I35" s="382" t="str" cm="1">
        <f t="array" ref="I35">K32</f>
        <v>W88</v>
      </c>
      <c r="J35" s="382"/>
      <c r="K35" s="382"/>
      <c r="L35" s="283"/>
      <c r="M35" s="284"/>
      <c r="N35" s="285"/>
      <c r="O35" s="286"/>
      <c r="P35" s="286"/>
      <c r="Q35" s="383"/>
      <c r="R35" s="383"/>
      <c r="S35" s="286"/>
      <c r="T35" s="286"/>
      <c r="U35" s="286"/>
      <c r="V35" s="286"/>
      <c r="W35" s="286"/>
      <c r="X35" s="286"/>
      <c r="Y35" s="286"/>
      <c r="Z35" s="287"/>
    </row>
    <row r="36" spans="1:26" ht="14.25" customHeight="1">
      <c r="A36" s="281"/>
      <c r="B36" s="282"/>
      <c r="C36" s="282"/>
      <c r="D36" s="282"/>
      <c r="E36" s="282"/>
      <c r="F36" s="282"/>
      <c r="G36" s="282"/>
      <c r="H36" s="282"/>
      <c r="I36" s="282"/>
      <c r="J36" s="282"/>
      <c r="K36" s="282"/>
      <c r="L36" s="283"/>
      <c r="M36" s="284"/>
      <c r="N36" s="285"/>
      <c r="O36" s="286"/>
      <c r="P36" s="286"/>
      <c r="Q36" s="286"/>
      <c r="R36" s="286"/>
      <c r="S36" s="286"/>
      <c r="T36" s="286"/>
      <c r="U36" s="286"/>
      <c r="V36" s="286"/>
      <c r="W36" s="286"/>
      <c r="X36" s="286"/>
      <c r="Y36" s="286"/>
      <c r="Z36" s="287"/>
    </row>
    <row r="37" spans="1:26" ht="14.25" customHeight="1">
      <c r="A37" s="281"/>
      <c r="B37" s="282"/>
      <c r="C37" s="282"/>
      <c r="D37" s="282"/>
      <c r="E37" s="282"/>
      <c r="F37" s="282"/>
      <c r="G37" s="282"/>
      <c r="H37" s="282"/>
      <c r="I37" s="282"/>
      <c r="J37" s="282"/>
      <c r="K37" s="282"/>
      <c r="L37" s="283"/>
      <c r="M37" s="284"/>
      <c r="N37" s="285"/>
      <c r="O37" s="286"/>
      <c r="P37" s="286"/>
      <c r="Q37" s="286"/>
      <c r="R37" s="286"/>
      <c r="S37" s="286"/>
      <c r="T37" s="286"/>
      <c r="U37" s="286"/>
      <c r="V37" s="286"/>
      <c r="W37" s="286"/>
      <c r="X37" s="286"/>
      <c r="Y37" s="286"/>
      <c r="Z37" s="287"/>
    </row>
    <row r="38" spans="1:26" ht="14.25" customHeight="1">
      <c r="A38" s="281"/>
      <c r="B38" s="282"/>
      <c r="C38" s="282"/>
      <c r="D38" s="282"/>
      <c r="E38" s="282"/>
      <c r="F38" s="282"/>
      <c r="G38" s="282"/>
      <c r="H38" s="282"/>
      <c r="I38" s="282"/>
      <c r="J38" s="282"/>
      <c r="K38" s="282"/>
      <c r="L38" s="283"/>
      <c r="M38" s="284"/>
      <c r="N38" s="285"/>
      <c r="O38" s="286"/>
      <c r="P38" s="286"/>
      <c r="Q38" s="286"/>
      <c r="R38" s="286"/>
      <c r="S38" s="286"/>
      <c r="T38" s="286"/>
      <c r="U38" s="286"/>
      <c r="V38" s="286"/>
      <c r="W38" s="286"/>
      <c r="X38" s="286"/>
      <c r="Y38" s="286"/>
      <c r="Z38" s="287"/>
    </row>
    <row r="39" spans="1:26" ht="14.25" customHeight="1">
      <c r="A39" s="281"/>
      <c r="B39" s="282"/>
      <c r="C39" s="282"/>
      <c r="D39" s="282"/>
      <c r="E39" s="282"/>
      <c r="F39" s="282"/>
      <c r="G39" s="282"/>
      <c r="H39" s="282"/>
      <c r="I39" s="282"/>
      <c r="J39" s="282"/>
      <c r="K39" s="282"/>
      <c r="L39" s="283"/>
      <c r="M39" s="284"/>
      <c r="N39" s="285"/>
      <c r="O39" s="286"/>
      <c r="P39" s="286"/>
      <c r="Q39" s="286"/>
      <c r="R39" s="286"/>
      <c r="S39" s="286"/>
      <c r="T39" s="286"/>
      <c r="U39" s="286"/>
      <c r="V39" s="286"/>
      <c r="W39" s="286"/>
      <c r="X39" s="286"/>
      <c r="Y39" s="286"/>
      <c r="Z39" s="287"/>
    </row>
    <row r="40" spans="1:26" ht="14.25" customHeight="1">
      <c r="A40" s="281"/>
      <c r="B40" s="282"/>
      <c r="C40" s="282"/>
      <c r="D40" s="282"/>
      <c r="E40" s="282"/>
      <c r="F40" s="282"/>
      <c r="G40" s="282"/>
      <c r="H40" s="282"/>
      <c r="I40" s="282"/>
      <c r="J40" s="282"/>
      <c r="K40" s="282"/>
      <c r="L40" s="283"/>
      <c r="M40" s="284"/>
      <c r="N40" s="285"/>
      <c r="O40" s="286"/>
      <c r="P40" s="286"/>
      <c r="Q40" s="286"/>
      <c r="R40" s="286"/>
      <c r="S40" s="286"/>
      <c r="T40" s="286"/>
      <c r="U40" s="286"/>
      <c r="V40" s="286"/>
      <c r="W40" s="286"/>
      <c r="X40" s="286"/>
      <c r="Y40" s="286"/>
      <c r="Z40" s="287"/>
    </row>
    <row r="41" spans="1:26" ht="14.25" customHeight="1">
      <c r="A41" s="281"/>
      <c r="B41" s="282"/>
      <c r="C41" s="282"/>
      <c r="D41" s="282"/>
      <c r="E41" s="282"/>
      <c r="F41" s="282"/>
      <c r="G41" s="282"/>
      <c r="H41" s="282"/>
      <c r="I41" s="282"/>
      <c r="J41" s="282"/>
      <c r="K41" s="282"/>
      <c r="L41" s="283"/>
      <c r="M41" s="284"/>
      <c r="N41" s="285"/>
      <c r="O41" s="286"/>
      <c r="P41" s="286"/>
      <c r="Q41" s="286"/>
      <c r="R41" s="286"/>
      <c r="S41" s="286"/>
      <c r="T41" s="286"/>
      <c r="U41" s="286"/>
      <c r="V41" s="286"/>
      <c r="W41" s="286"/>
      <c r="X41" s="286"/>
      <c r="Y41" s="286"/>
      <c r="Z41" s="287"/>
    </row>
    <row r="42" spans="1:26" ht="14.25" customHeight="1">
      <c r="A42" s="281"/>
      <c r="B42" s="282"/>
      <c r="C42" s="282"/>
      <c r="D42" s="282"/>
      <c r="E42" s="282"/>
      <c r="F42" s="282"/>
      <c r="G42" s="282"/>
      <c r="H42" s="282"/>
      <c r="I42" s="282"/>
      <c r="J42" s="282"/>
      <c r="K42" s="282"/>
      <c r="L42" s="283"/>
      <c r="M42" s="284"/>
      <c r="N42" s="285"/>
      <c r="O42" s="286"/>
      <c r="P42" s="286"/>
      <c r="Q42" s="286"/>
      <c r="R42" s="286"/>
      <c r="S42" s="286"/>
      <c r="T42" s="286"/>
      <c r="U42" s="286"/>
      <c r="V42" s="286"/>
      <c r="W42" s="286"/>
      <c r="X42" s="286"/>
      <c r="Y42" s="286"/>
      <c r="Z42" s="287"/>
    </row>
    <row r="43" spans="1:26" ht="14.25" customHeight="1">
      <c r="A43" s="281"/>
      <c r="B43" s="282"/>
      <c r="C43" s="282"/>
      <c r="D43" s="282"/>
      <c r="E43" s="282"/>
      <c r="F43" s="282"/>
      <c r="G43" s="282"/>
      <c r="H43" s="282"/>
      <c r="I43" s="282"/>
      <c r="J43" s="282"/>
      <c r="K43" s="282"/>
      <c r="L43" s="283"/>
      <c r="M43" s="284"/>
      <c r="N43" s="285"/>
      <c r="O43" s="286"/>
      <c r="P43" s="286"/>
      <c r="Q43" s="286"/>
      <c r="R43" s="286"/>
      <c r="S43" s="286"/>
      <c r="T43" s="286"/>
      <c r="U43" s="286"/>
      <c r="V43" s="286"/>
      <c r="W43" s="286"/>
      <c r="X43" s="286"/>
      <c r="Y43" s="286"/>
      <c r="Z43" s="287"/>
    </row>
    <row r="44" spans="1:26" ht="14.25" customHeight="1">
      <c r="A44" s="281"/>
      <c r="B44" s="282"/>
      <c r="C44" s="282"/>
      <c r="D44" s="282"/>
      <c r="E44" s="282"/>
      <c r="F44" s="282"/>
      <c r="G44" s="282"/>
      <c r="H44" s="282"/>
      <c r="I44" s="282"/>
      <c r="J44" s="282"/>
      <c r="K44" s="282"/>
      <c r="L44" s="283"/>
      <c r="M44" s="284"/>
      <c r="N44" s="285"/>
      <c r="O44" s="286"/>
      <c r="P44" s="286"/>
      <c r="Q44" s="286"/>
      <c r="R44" s="286"/>
      <c r="S44" s="286"/>
      <c r="T44" s="286"/>
      <c r="U44" s="286"/>
      <c r="V44" s="286"/>
      <c r="W44" s="286"/>
      <c r="X44" s="286"/>
      <c r="Y44" s="286"/>
      <c r="Z44" s="287"/>
    </row>
    <row r="45" spans="1:26" ht="14.25" customHeight="1">
      <c r="A45" s="281"/>
      <c r="B45" s="282"/>
      <c r="C45" s="282"/>
      <c r="D45" s="282"/>
      <c r="E45" s="282"/>
      <c r="F45" s="282"/>
      <c r="G45" s="282"/>
      <c r="H45" s="282"/>
      <c r="I45" s="282"/>
      <c r="J45" s="282"/>
      <c r="K45" s="282"/>
      <c r="L45" s="283"/>
      <c r="M45" s="284"/>
      <c r="N45" s="285"/>
      <c r="O45" s="286"/>
      <c r="P45" s="286"/>
      <c r="Q45" s="286"/>
      <c r="R45" s="286"/>
      <c r="S45" s="286"/>
      <c r="T45" s="286"/>
      <c r="U45" s="286"/>
      <c r="V45" s="286"/>
      <c r="W45" s="286"/>
      <c r="X45" s="286"/>
      <c r="Y45" s="286"/>
      <c r="Z45" s="287"/>
    </row>
    <row r="46" spans="1:26" ht="14.25" customHeight="1">
      <c r="A46" s="281"/>
      <c r="B46" s="282"/>
      <c r="C46" s="282"/>
      <c r="D46" s="282"/>
      <c r="E46" s="282"/>
      <c r="F46" s="282"/>
      <c r="G46" s="282"/>
      <c r="H46" s="282"/>
      <c r="I46" s="282"/>
      <c r="J46" s="282"/>
      <c r="K46" s="282"/>
      <c r="L46" s="283"/>
      <c r="M46" s="284"/>
      <c r="N46" s="285"/>
      <c r="O46" s="286"/>
      <c r="P46" s="286"/>
      <c r="Q46" s="286"/>
      <c r="R46" s="286"/>
      <c r="S46" s="286"/>
      <c r="T46" s="286"/>
      <c r="U46" s="286"/>
      <c r="V46" s="286"/>
      <c r="W46" s="286"/>
      <c r="X46" s="286"/>
      <c r="Y46" s="286"/>
      <c r="Z46" s="287"/>
    </row>
    <row r="47" spans="1:26" ht="14.25" customHeight="1">
      <c r="A47" s="281"/>
      <c r="B47" s="282"/>
      <c r="C47" s="282"/>
      <c r="D47" s="282"/>
      <c r="E47" s="282"/>
      <c r="F47" s="282"/>
      <c r="G47" s="282"/>
      <c r="H47" s="282"/>
      <c r="I47" s="282"/>
      <c r="J47" s="282"/>
      <c r="K47" s="282"/>
      <c r="L47" s="283"/>
      <c r="M47" s="284"/>
      <c r="N47" s="285"/>
      <c r="O47" s="286"/>
      <c r="P47" s="286"/>
      <c r="Q47" s="286"/>
      <c r="R47" s="286"/>
      <c r="S47" s="286"/>
      <c r="T47" s="286"/>
      <c r="U47" s="286"/>
      <c r="V47" s="286"/>
      <c r="W47" s="286"/>
      <c r="X47" s="286"/>
      <c r="Y47" s="286"/>
      <c r="Z47" s="287"/>
    </row>
    <row r="48" spans="1:26" ht="14.25" customHeight="1">
      <c r="A48" s="281"/>
      <c r="B48" s="282"/>
      <c r="C48" s="282"/>
      <c r="D48" s="282"/>
      <c r="E48" s="282"/>
      <c r="F48" s="282"/>
      <c r="G48" s="282"/>
      <c r="H48" s="282"/>
      <c r="I48" s="282"/>
      <c r="J48" s="282"/>
      <c r="K48" s="282"/>
      <c r="L48" s="283"/>
      <c r="M48" s="284"/>
      <c r="N48" s="285"/>
      <c r="O48" s="286"/>
      <c r="P48" s="286"/>
      <c r="Q48" s="286"/>
      <c r="R48" s="286"/>
      <c r="S48" s="286"/>
      <c r="T48" s="286"/>
      <c r="U48" s="286"/>
      <c r="V48" s="286"/>
      <c r="W48" s="286"/>
      <c r="X48" s="286"/>
      <c r="Y48" s="286"/>
      <c r="Z48" s="287"/>
    </row>
    <row r="49" spans="1:26" ht="14.25" customHeight="1">
      <c r="A49" s="281"/>
      <c r="B49" s="282"/>
      <c r="C49" s="282"/>
      <c r="D49" s="282"/>
      <c r="E49" s="282"/>
      <c r="F49" s="282"/>
      <c r="G49" s="282"/>
      <c r="H49" s="282"/>
      <c r="I49" s="282"/>
      <c r="J49" s="282"/>
      <c r="K49" s="282"/>
      <c r="L49" s="283"/>
      <c r="M49" s="284"/>
      <c r="N49" s="285"/>
      <c r="O49" s="286"/>
      <c r="P49" s="286"/>
      <c r="Q49" s="286"/>
      <c r="R49" s="286"/>
      <c r="S49" s="286"/>
      <c r="T49" s="286"/>
      <c r="U49" s="286"/>
      <c r="V49" s="286"/>
      <c r="W49" s="286"/>
      <c r="X49" s="286"/>
      <c r="Y49" s="286"/>
      <c r="Z49" s="287"/>
    </row>
    <row r="50" spans="1:26" ht="14.25" customHeight="1">
      <c r="A50" s="281"/>
      <c r="B50" s="282"/>
      <c r="C50" s="282"/>
      <c r="D50" s="282"/>
      <c r="E50" s="282"/>
      <c r="F50" s="282"/>
      <c r="G50" s="282"/>
      <c r="H50" s="282"/>
      <c r="I50" s="282"/>
      <c r="J50" s="282"/>
      <c r="K50" s="282"/>
      <c r="L50" s="283"/>
      <c r="M50" s="284"/>
      <c r="N50" s="285"/>
      <c r="O50" s="286"/>
      <c r="P50" s="286"/>
      <c r="Q50" s="286"/>
      <c r="R50" s="286"/>
      <c r="S50" s="286"/>
      <c r="T50" s="286"/>
      <c r="U50" s="286"/>
      <c r="V50" s="286"/>
      <c r="W50" s="286"/>
      <c r="X50" s="286"/>
      <c r="Y50" s="286"/>
      <c r="Z50" s="287"/>
    </row>
    <row r="51" spans="1:26" ht="14.25" customHeight="1">
      <c r="A51" s="281"/>
      <c r="B51" s="282"/>
      <c r="C51" s="282"/>
      <c r="D51" s="282"/>
      <c r="E51" s="282"/>
      <c r="F51" s="282"/>
      <c r="G51" s="282"/>
      <c r="H51" s="282"/>
      <c r="I51" s="282"/>
      <c r="J51" s="282"/>
      <c r="K51" s="282"/>
      <c r="L51" s="283"/>
      <c r="M51" s="284"/>
      <c r="N51" s="285"/>
      <c r="O51" s="286"/>
      <c r="P51" s="286"/>
      <c r="Q51" s="286"/>
      <c r="R51" s="286"/>
      <c r="S51" s="286"/>
      <c r="T51" s="286"/>
      <c r="U51" s="286"/>
      <c r="V51" s="286"/>
      <c r="W51" s="286"/>
      <c r="X51" s="286"/>
      <c r="Y51" s="286"/>
      <c r="Z51" s="287"/>
    </row>
    <row r="52" spans="1:26" ht="14.25" customHeight="1">
      <c r="A52" s="281"/>
      <c r="B52" s="282"/>
      <c r="C52" s="282"/>
      <c r="D52" s="282"/>
      <c r="E52" s="282"/>
      <c r="F52" s="282"/>
      <c r="G52" s="282"/>
      <c r="H52" s="282"/>
      <c r="I52" s="282"/>
      <c r="J52" s="282"/>
      <c r="K52" s="282"/>
      <c r="L52" s="283"/>
      <c r="M52" s="284"/>
      <c r="N52" s="285"/>
      <c r="O52" s="286"/>
      <c r="P52" s="286"/>
      <c r="Q52" s="286"/>
      <c r="R52" s="286"/>
      <c r="S52" s="286"/>
      <c r="T52" s="286"/>
      <c r="U52" s="286"/>
      <c r="V52" s="286"/>
      <c r="W52" s="286"/>
      <c r="X52" s="286"/>
      <c r="Y52" s="286"/>
      <c r="Z52" s="287"/>
    </row>
    <row r="53" spans="1:26" ht="14.25" customHeight="1">
      <c r="A53" s="281"/>
      <c r="B53" s="282"/>
      <c r="C53" s="282"/>
      <c r="D53" s="282"/>
      <c r="E53" s="282"/>
      <c r="F53" s="282"/>
      <c r="G53" s="282"/>
      <c r="H53" s="282"/>
      <c r="I53" s="282"/>
      <c r="J53" s="282"/>
      <c r="K53" s="282"/>
      <c r="L53" s="283"/>
      <c r="M53" s="284"/>
      <c r="N53" s="285"/>
      <c r="O53" s="286"/>
      <c r="P53" s="286"/>
      <c r="Q53" s="286"/>
      <c r="R53" s="286"/>
      <c r="S53" s="286"/>
      <c r="T53" s="286"/>
      <c r="U53" s="286"/>
      <c r="V53" s="286"/>
      <c r="W53" s="286"/>
      <c r="X53" s="286"/>
      <c r="Y53" s="286"/>
      <c r="Z53" s="287"/>
    </row>
    <row r="54" spans="1:26" ht="14.25" customHeight="1">
      <c r="A54" s="281"/>
      <c r="B54" s="282"/>
      <c r="C54" s="282"/>
      <c r="D54" s="282"/>
      <c r="E54" s="282"/>
      <c r="F54" s="282"/>
      <c r="G54" s="282"/>
      <c r="H54" s="282"/>
      <c r="I54" s="282"/>
      <c r="J54" s="282"/>
      <c r="K54" s="282"/>
      <c r="L54" s="283"/>
      <c r="M54" s="284"/>
      <c r="N54" s="285"/>
      <c r="O54" s="286"/>
      <c r="P54" s="286"/>
      <c r="Q54" s="286"/>
      <c r="R54" s="286"/>
      <c r="S54" s="286"/>
      <c r="T54" s="286"/>
      <c r="U54" s="286"/>
      <c r="V54" s="286"/>
      <c r="W54" s="286"/>
      <c r="X54" s="286"/>
      <c r="Y54" s="286"/>
      <c r="Z54" s="287"/>
    </row>
    <row r="55" spans="1:26" ht="14.25" customHeight="1">
      <c r="A55" s="281"/>
      <c r="B55" s="282"/>
      <c r="C55" s="282"/>
      <c r="D55" s="282"/>
      <c r="E55" s="282"/>
      <c r="F55" s="282"/>
      <c r="G55" s="282"/>
      <c r="H55" s="282"/>
      <c r="I55" s="282"/>
      <c r="J55" s="282"/>
      <c r="K55" s="282"/>
      <c r="L55" s="283"/>
      <c r="M55" s="284"/>
      <c r="N55" s="285"/>
      <c r="O55" s="286"/>
      <c r="P55" s="286"/>
      <c r="Q55" s="286"/>
      <c r="R55" s="286"/>
      <c r="S55" s="286"/>
      <c r="T55" s="286"/>
      <c r="U55" s="286"/>
      <c r="V55" s="286"/>
      <c r="W55" s="286"/>
      <c r="X55" s="286"/>
      <c r="Y55" s="286"/>
      <c r="Z55" s="287"/>
    </row>
    <row r="56" spans="1:26" ht="14.25" customHeight="1">
      <c r="A56" s="281"/>
      <c r="B56" s="282"/>
      <c r="C56" s="282"/>
      <c r="D56" s="282"/>
      <c r="E56" s="282"/>
      <c r="F56" s="282"/>
      <c r="G56" s="282"/>
      <c r="H56" s="282"/>
      <c r="I56" s="282"/>
      <c r="J56" s="282"/>
      <c r="K56" s="282"/>
      <c r="L56" s="283"/>
      <c r="M56" s="284"/>
      <c r="N56" s="285"/>
      <c r="O56" s="286"/>
      <c r="P56" s="286"/>
      <c r="Q56" s="286"/>
      <c r="R56" s="286"/>
      <c r="S56" s="286"/>
      <c r="T56" s="286"/>
      <c r="U56" s="286"/>
      <c r="V56" s="286"/>
      <c r="W56" s="286"/>
      <c r="X56" s="286"/>
      <c r="Y56" s="286"/>
      <c r="Z56" s="287"/>
    </row>
    <row r="57" spans="1:26" ht="14.25" customHeight="1">
      <c r="A57" s="281"/>
      <c r="B57" s="282"/>
      <c r="C57" s="282"/>
      <c r="D57" s="282"/>
      <c r="E57" s="282"/>
      <c r="F57" s="282"/>
      <c r="G57" s="282"/>
      <c r="H57" s="282"/>
      <c r="I57" s="282"/>
      <c r="J57" s="282"/>
      <c r="K57" s="282"/>
      <c r="L57" s="283"/>
      <c r="M57" s="284"/>
      <c r="N57" s="285"/>
      <c r="O57" s="286"/>
      <c r="P57" s="286"/>
      <c r="Q57" s="286"/>
      <c r="R57" s="286"/>
      <c r="S57" s="286"/>
      <c r="T57" s="286"/>
      <c r="U57" s="286"/>
      <c r="V57" s="286"/>
      <c r="W57" s="286"/>
      <c r="X57" s="286"/>
      <c r="Y57" s="286"/>
      <c r="Z57" s="287"/>
    </row>
    <row r="58" spans="1:26" ht="14.25" customHeight="1">
      <c r="A58" s="281"/>
      <c r="B58" s="282"/>
      <c r="C58" s="282"/>
      <c r="D58" s="282"/>
      <c r="E58" s="282"/>
      <c r="F58" s="282"/>
      <c r="G58" s="282"/>
      <c r="H58" s="282"/>
      <c r="I58" s="282"/>
      <c r="J58" s="282"/>
      <c r="K58" s="282"/>
      <c r="L58" s="283"/>
      <c r="M58" s="284"/>
      <c r="N58" s="285"/>
      <c r="O58" s="286"/>
      <c r="P58" s="286"/>
      <c r="Q58" s="286"/>
      <c r="R58" s="286"/>
      <c r="S58" s="286"/>
      <c r="T58" s="286"/>
      <c r="U58" s="286"/>
      <c r="V58" s="286"/>
      <c r="W58" s="286"/>
      <c r="X58" s="286"/>
      <c r="Y58" s="286"/>
      <c r="Z58" s="287"/>
    </row>
    <row r="59" spans="1:26" ht="14.25" customHeight="1">
      <c r="A59" s="281"/>
      <c r="B59" s="282"/>
      <c r="C59" s="282"/>
      <c r="D59" s="282"/>
      <c r="E59" s="282"/>
      <c r="F59" s="282"/>
      <c r="G59" s="282"/>
      <c r="H59" s="282"/>
      <c r="I59" s="282"/>
      <c r="J59" s="282"/>
      <c r="K59" s="282"/>
      <c r="L59" s="283"/>
      <c r="M59" s="284"/>
      <c r="N59" s="285"/>
      <c r="O59" s="286"/>
      <c r="P59" s="286"/>
      <c r="Q59" s="286"/>
      <c r="R59" s="286"/>
      <c r="S59" s="286"/>
      <c r="T59" s="286"/>
      <c r="U59" s="286"/>
      <c r="V59" s="286"/>
      <c r="W59" s="286"/>
      <c r="X59" s="286"/>
      <c r="Y59" s="286"/>
      <c r="Z59" s="287"/>
    </row>
    <row r="60" spans="1:26" ht="14.25" customHeight="1">
      <c r="A60" s="281"/>
      <c r="B60" s="282"/>
      <c r="C60" s="282"/>
      <c r="D60" s="282"/>
      <c r="E60" s="282"/>
      <c r="F60" s="282"/>
      <c r="G60" s="282"/>
      <c r="H60" s="282"/>
      <c r="I60" s="282"/>
      <c r="J60" s="282"/>
      <c r="K60" s="282"/>
      <c r="L60" s="283"/>
      <c r="M60" s="284"/>
      <c r="N60" s="285"/>
      <c r="O60" s="286"/>
      <c r="P60" s="286"/>
      <c r="Q60" s="286"/>
      <c r="R60" s="286"/>
      <c r="S60" s="286"/>
      <c r="T60" s="286"/>
      <c r="U60" s="286"/>
      <c r="V60" s="286"/>
      <c r="W60" s="286"/>
      <c r="X60" s="286"/>
      <c r="Y60" s="286"/>
      <c r="Z60" s="287"/>
    </row>
    <row r="61" spans="1:26" ht="14.25" customHeight="1">
      <c r="A61" s="281"/>
      <c r="B61" s="282"/>
      <c r="C61" s="282"/>
      <c r="D61" s="282"/>
      <c r="E61" s="282"/>
      <c r="F61" s="282"/>
      <c r="G61" s="282"/>
      <c r="H61" s="282"/>
      <c r="I61" s="282"/>
      <c r="J61" s="282"/>
      <c r="K61" s="282"/>
      <c r="L61" s="283"/>
      <c r="M61" s="284"/>
      <c r="N61" s="285"/>
      <c r="O61" s="286"/>
      <c r="P61" s="286"/>
      <c r="Q61" s="286"/>
      <c r="R61" s="286"/>
      <c r="S61" s="286"/>
      <c r="T61" s="286"/>
      <c r="U61" s="286"/>
      <c r="V61" s="286"/>
      <c r="W61" s="286"/>
      <c r="X61" s="286"/>
      <c r="Y61" s="286"/>
      <c r="Z61" s="287"/>
    </row>
    <row r="62" spans="1:26" ht="14.25" customHeight="1">
      <c r="A62" s="281"/>
      <c r="B62" s="282"/>
      <c r="C62" s="282"/>
      <c r="D62" s="282"/>
      <c r="E62" s="282"/>
      <c r="F62" s="282"/>
      <c r="G62" s="282"/>
      <c r="H62" s="282"/>
      <c r="I62" s="282"/>
      <c r="J62" s="282"/>
      <c r="K62" s="282"/>
      <c r="L62" s="283"/>
      <c r="M62" s="284"/>
      <c r="N62" s="285"/>
      <c r="O62" s="286"/>
      <c r="P62" s="286"/>
      <c r="Q62" s="286"/>
      <c r="R62" s="286"/>
      <c r="S62" s="286"/>
      <c r="T62" s="286"/>
      <c r="U62" s="286"/>
      <c r="V62" s="286"/>
      <c r="W62" s="286"/>
      <c r="X62" s="286"/>
      <c r="Y62" s="286"/>
      <c r="Z62" s="287"/>
    </row>
    <row r="63" spans="1:26" ht="14.25" customHeight="1">
      <c r="A63" s="281"/>
      <c r="B63" s="282"/>
      <c r="C63" s="282"/>
      <c r="D63" s="282"/>
      <c r="E63" s="282"/>
      <c r="F63" s="282"/>
      <c r="G63" s="282"/>
      <c r="H63" s="282"/>
      <c r="I63" s="282"/>
      <c r="J63" s="282"/>
      <c r="K63" s="282"/>
      <c r="L63" s="283"/>
      <c r="M63" s="284"/>
      <c r="N63" s="285"/>
      <c r="O63" s="286"/>
      <c r="P63" s="286"/>
      <c r="Q63" s="286"/>
      <c r="R63" s="286"/>
      <c r="S63" s="286"/>
      <c r="T63" s="286"/>
      <c r="U63" s="286"/>
      <c r="V63" s="286"/>
      <c r="W63" s="286"/>
      <c r="X63" s="286"/>
      <c r="Y63" s="286"/>
      <c r="Z63" s="287"/>
    </row>
    <row r="64" spans="1:26" ht="14.25" customHeight="1">
      <c r="A64" s="281"/>
      <c r="B64" s="282"/>
      <c r="C64" s="282"/>
      <c r="D64" s="282"/>
      <c r="E64" s="282"/>
      <c r="F64" s="282"/>
      <c r="G64" s="282"/>
      <c r="H64" s="282"/>
      <c r="I64" s="282"/>
      <c r="J64" s="282"/>
      <c r="K64" s="282"/>
      <c r="L64" s="283"/>
      <c r="M64" s="284"/>
      <c r="N64" s="285"/>
      <c r="O64" s="286"/>
      <c r="P64" s="286"/>
      <c r="Q64" s="286"/>
      <c r="R64" s="286"/>
      <c r="S64" s="286"/>
      <c r="T64" s="286"/>
      <c r="U64" s="286"/>
      <c r="V64" s="286"/>
      <c r="W64" s="286"/>
      <c r="X64" s="286"/>
      <c r="Y64" s="286"/>
      <c r="Z64" s="287"/>
    </row>
    <row r="65" spans="1:26" ht="14.25" customHeight="1">
      <c r="A65" s="281"/>
      <c r="B65" s="282"/>
      <c r="C65" s="282"/>
      <c r="D65" s="282"/>
      <c r="E65" s="282"/>
      <c r="F65" s="282"/>
      <c r="G65" s="282"/>
      <c r="H65" s="282"/>
      <c r="I65" s="282"/>
      <c r="J65" s="282"/>
      <c r="K65" s="282"/>
      <c r="L65" s="283"/>
      <c r="M65" s="284"/>
      <c r="N65" s="285"/>
      <c r="O65" s="286"/>
      <c r="P65" s="286"/>
      <c r="Q65" s="286"/>
      <c r="R65" s="286"/>
      <c r="S65" s="286"/>
      <c r="T65" s="286"/>
      <c r="U65" s="286"/>
      <c r="V65" s="286"/>
      <c r="W65" s="286"/>
      <c r="X65" s="286"/>
      <c r="Y65" s="286"/>
      <c r="Z65" s="287"/>
    </row>
    <row r="66" spans="1:26" ht="14.25" customHeight="1">
      <c r="A66" s="281"/>
      <c r="B66" s="282"/>
      <c r="C66" s="282"/>
      <c r="D66" s="282"/>
      <c r="E66" s="282"/>
      <c r="F66" s="282"/>
      <c r="G66" s="282"/>
      <c r="H66" s="282"/>
      <c r="I66" s="282"/>
      <c r="J66" s="282"/>
      <c r="K66" s="282"/>
      <c r="L66" s="283"/>
      <c r="M66" s="284"/>
      <c r="N66" s="285"/>
      <c r="O66" s="286"/>
      <c r="P66" s="286"/>
      <c r="Q66" s="286"/>
      <c r="R66" s="286"/>
      <c r="S66" s="286"/>
      <c r="T66" s="286"/>
      <c r="U66" s="286"/>
      <c r="V66" s="286"/>
      <c r="W66" s="286"/>
      <c r="X66" s="286"/>
      <c r="Y66" s="286"/>
      <c r="Z66" s="287"/>
    </row>
    <row r="67" spans="1:26" ht="14.25" customHeight="1">
      <c r="A67" s="281"/>
      <c r="B67" s="282"/>
      <c r="C67" s="282"/>
      <c r="D67" s="282"/>
      <c r="E67" s="282"/>
      <c r="F67" s="282"/>
      <c r="G67" s="282"/>
      <c r="H67" s="282"/>
      <c r="I67" s="282"/>
      <c r="J67" s="282"/>
      <c r="K67" s="282"/>
      <c r="L67" s="283"/>
      <c r="M67" s="284"/>
      <c r="N67" s="285"/>
      <c r="O67" s="286"/>
      <c r="P67" s="286"/>
      <c r="Q67" s="286"/>
      <c r="R67" s="286"/>
      <c r="S67" s="286"/>
      <c r="T67" s="286"/>
      <c r="U67" s="286"/>
      <c r="V67" s="286"/>
      <c r="W67" s="286"/>
      <c r="X67" s="286"/>
      <c r="Y67" s="286"/>
      <c r="Z67" s="287"/>
    </row>
    <row r="68" spans="1:26" ht="14.25" customHeight="1">
      <c r="A68" s="281"/>
      <c r="B68" s="282"/>
      <c r="C68" s="282"/>
      <c r="D68" s="282"/>
      <c r="E68" s="282"/>
      <c r="F68" s="282"/>
      <c r="G68" s="282"/>
      <c r="H68" s="282"/>
      <c r="I68" s="282"/>
      <c r="J68" s="282"/>
      <c r="K68" s="282"/>
      <c r="L68" s="283"/>
      <c r="M68" s="284"/>
      <c r="N68" s="285"/>
      <c r="O68" s="286"/>
      <c r="P68" s="286"/>
      <c r="Q68" s="286"/>
      <c r="R68" s="286"/>
      <c r="S68" s="286"/>
      <c r="T68" s="286"/>
      <c r="U68" s="286"/>
      <c r="V68" s="286"/>
      <c r="W68" s="286"/>
      <c r="X68" s="286"/>
      <c r="Y68" s="286"/>
      <c r="Z68" s="287"/>
    </row>
    <row r="69" spans="1:26" ht="14.25" customHeight="1">
      <c r="A69" s="281"/>
      <c r="B69" s="282"/>
      <c r="C69" s="282"/>
      <c r="D69" s="282"/>
      <c r="E69" s="282"/>
      <c r="F69" s="282"/>
      <c r="G69" s="282"/>
      <c r="H69" s="282"/>
      <c r="I69" s="282"/>
      <c r="J69" s="282"/>
      <c r="K69" s="282"/>
      <c r="L69" s="283"/>
      <c r="M69" s="284"/>
      <c r="N69" s="285"/>
      <c r="O69" s="286"/>
      <c r="P69" s="286"/>
      <c r="Q69" s="286"/>
      <c r="R69" s="286"/>
      <c r="S69" s="286"/>
      <c r="T69" s="286"/>
      <c r="U69" s="286"/>
      <c r="V69" s="286"/>
      <c r="W69" s="286"/>
      <c r="X69" s="286"/>
      <c r="Y69" s="286"/>
      <c r="Z69" s="287"/>
    </row>
    <row r="70" spans="1:26" ht="14.25" customHeight="1">
      <c r="A70" s="281"/>
      <c r="B70" s="282"/>
      <c r="C70" s="282"/>
      <c r="D70" s="282"/>
      <c r="E70" s="282"/>
      <c r="F70" s="282"/>
      <c r="G70" s="282"/>
      <c r="H70" s="282"/>
      <c r="I70" s="282"/>
      <c r="J70" s="282"/>
      <c r="K70" s="282"/>
      <c r="L70" s="283"/>
      <c r="M70" s="284"/>
      <c r="N70" s="285"/>
      <c r="O70" s="286"/>
      <c r="P70" s="286"/>
      <c r="Q70" s="286"/>
      <c r="R70" s="286"/>
      <c r="S70" s="286"/>
      <c r="T70" s="286"/>
      <c r="U70" s="286"/>
      <c r="V70" s="286"/>
      <c r="W70" s="286"/>
      <c r="X70" s="286"/>
      <c r="Y70" s="286"/>
      <c r="Z70" s="287"/>
    </row>
    <row r="71" spans="1:26" ht="14.25" customHeight="1">
      <c r="A71" s="281"/>
      <c r="B71" s="282"/>
      <c r="C71" s="282"/>
      <c r="D71" s="282"/>
      <c r="E71" s="282"/>
      <c r="F71" s="282"/>
      <c r="G71" s="282"/>
      <c r="H71" s="282"/>
      <c r="I71" s="282"/>
      <c r="J71" s="282"/>
      <c r="K71" s="282"/>
      <c r="L71" s="283"/>
      <c r="M71" s="284"/>
      <c r="N71" s="285"/>
      <c r="O71" s="286"/>
      <c r="P71" s="286"/>
      <c r="Q71" s="286"/>
      <c r="R71" s="286"/>
      <c r="S71" s="286"/>
      <c r="T71" s="286"/>
      <c r="U71" s="286"/>
      <c r="V71" s="286"/>
      <c r="W71" s="286"/>
      <c r="X71" s="286"/>
      <c r="Y71" s="286"/>
      <c r="Z71" s="287"/>
    </row>
    <row r="72" spans="1:26" ht="14.25" customHeight="1">
      <c r="A72" s="281"/>
      <c r="B72" s="282"/>
      <c r="C72" s="282"/>
      <c r="D72" s="282"/>
      <c r="E72" s="282"/>
      <c r="F72" s="282"/>
      <c r="G72" s="282"/>
      <c r="H72" s="282"/>
      <c r="I72" s="282"/>
      <c r="J72" s="282"/>
      <c r="K72" s="282"/>
      <c r="L72" s="283"/>
      <c r="M72" s="284"/>
      <c r="N72" s="285"/>
      <c r="O72" s="286"/>
      <c r="P72" s="286"/>
      <c r="Q72" s="286"/>
      <c r="R72" s="286"/>
      <c r="S72" s="286"/>
      <c r="T72" s="286"/>
      <c r="U72" s="286"/>
      <c r="V72" s="286"/>
      <c r="W72" s="286"/>
      <c r="X72" s="286"/>
      <c r="Y72" s="286"/>
      <c r="Z72" s="287"/>
    </row>
    <row r="73" spans="1:26" ht="14.25" customHeight="1">
      <c r="A73" s="281"/>
      <c r="B73" s="282"/>
      <c r="C73" s="282"/>
      <c r="D73" s="282"/>
      <c r="E73" s="282"/>
      <c r="F73" s="282"/>
      <c r="G73" s="282"/>
      <c r="H73" s="282"/>
      <c r="I73" s="282"/>
      <c r="J73" s="282"/>
      <c r="K73" s="282"/>
      <c r="L73" s="283"/>
      <c r="M73" s="284"/>
      <c r="N73" s="285"/>
      <c r="O73" s="286"/>
      <c r="P73" s="286"/>
      <c r="Q73" s="286"/>
      <c r="R73" s="286"/>
      <c r="S73" s="286"/>
      <c r="T73" s="286"/>
      <c r="U73" s="286"/>
      <c r="V73" s="286"/>
      <c r="W73" s="286"/>
      <c r="X73" s="286"/>
      <c r="Y73" s="286"/>
      <c r="Z73" s="287"/>
    </row>
    <row r="74" spans="1:26" ht="14.25" customHeight="1">
      <c r="A74" s="281"/>
      <c r="B74" s="282"/>
      <c r="C74" s="282"/>
      <c r="D74" s="282"/>
      <c r="E74" s="282"/>
      <c r="F74" s="282"/>
      <c r="G74" s="282"/>
      <c r="H74" s="282"/>
      <c r="I74" s="282"/>
      <c r="J74" s="282"/>
      <c r="K74" s="282"/>
      <c r="L74" s="283"/>
      <c r="M74" s="284"/>
      <c r="N74" s="285"/>
      <c r="O74" s="286"/>
      <c r="P74" s="286"/>
      <c r="Q74" s="286"/>
      <c r="R74" s="286"/>
      <c r="S74" s="286"/>
      <c r="T74" s="286"/>
      <c r="U74" s="286"/>
      <c r="V74" s="286"/>
      <c r="W74" s="286"/>
      <c r="X74" s="286"/>
      <c r="Y74" s="286"/>
      <c r="Z74" s="287"/>
    </row>
    <row r="75" spans="1:26" ht="14.25" customHeight="1">
      <c r="A75" s="281"/>
      <c r="B75" s="282"/>
      <c r="C75" s="282"/>
      <c r="D75" s="282"/>
      <c r="E75" s="282"/>
      <c r="F75" s="282"/>
      <c r="G75" s="282"/>
      <c r="H75" s="282"/>
      <c r="I75" s="282"/>
      <c r="J75" s="282"/>
      <c r="K75" s="282"/>
      <c r="L75" s="283"/>
      <c r="M75" s="284"/>
      <c r="N75" s="285"/>
      <c r="O75" s="286"/>
      <c r="P75" s="286"/>
      <c r="Q75" s="286"/>
      <c r="R75" s="286"/>
      <c r="S75" s="286"/>
      <c r="T75" s="286"/>
      <c r="U75" s="286"/>
      <c r="V75" s="286"/>
      <c r="W75" s="286"/>
      <c r="X75" s="286"/>
      <c r="Y75" s="286"/>
      <c r="Z75" s="287"/>
    </row>
    <row r="76" spans="1:26" ht="14.25" customHeight="1">
      <c r="A76" s="281"/>
      <c r="B76" s="282"/>
      <c r="C76" s="282"/>
      <c r="D76" s="282"/>
      <c r="E76" s="282"/>
      <c r="F76" s="282"/>
      <c r="G76" s="282"/>
      <c r="H76" s="282"/>
      <c r="I76" s="282"/>
      <c r="J76" s="282"/>
      <c r="K76" s="282"/>
      <c r="L76" s="283"/>
      <c r="M76" s="284"/>
      <c r="N76" s="285"/>
      <c r="O76" s="286"/>
      <c r="P76" s="286"/>
      <c r="Q76" s="286"/>
      <c r="R76" s="286"/>
      <c r="S76" s="286"/>
      <c r="T76" s="286"/>
      <c r="U76" s="286"/>
      <c r="V76" s="286"/>
      <c r="W76" s="286"/>
      <c r="X76" s="286"/>
      <c r="Y76" s="286"/>
      <c r="Z76" s="287"/>
    </row>
    <row r="77" spans="1:26" ht="14.25" customHeight="1">
      <c r="A77" s="281"/>
      <c r="B77" s="282"/>
      <c r="C77" s="282"/>
      <c r="D77" s="282"/>
      <c r="E77" s="282"/>
      <c r="F77" s="282"/>
      <c r="G77" s="282"/>
      <c r="H77" s="282"/>
      <c r="I77" s="282"/>
      <c r="J77" s="282"/>
      <c r="K77" s="282"/>
      <c r="L77" s="283"/>
      <c r="M77" s="284"/>
      <c r="N77" s="285"/>
      <c r="O77" s="286"/>
      <c r="P77" s="286"/>
      <c r="Q77" s="286"/>
      <c r="R77" s="286"/>
      <c r="S77" s="286"/>
      <c r="T77" s="286"/>
      <c r="U77" s="286"/>
      <c r="V77" s="286"/>
      <c r="W77" s="286"/>
      <c r="X77" s="286"/>
      <c r="Y77" s="286"/>
      <c r="Z77" s="287"/>
    </row>
    <row r="78" spans="1:26" ht="14.25" customHeight="1">
      <c r="A78" s="281"/>
      <c r="B78" s="282"/>
      <c r="C78" s="282"/>
      <c r="D78" s="282"/>
      <c r="E78" s="282"/>
      <c r="F78" s="282"/>
      <c r="G78" s="282"/>
      <c r="H78" s="282"/>
      <c r="I78" s="282"/>
      <c r="J78" s="282"/>
      <c r="K78" s="282"/>
      <c r="L78" s="283"/>
      <c r="M78" s="284"/>
      <c r="N78" s="285"/>
      <c r="O78" s="286"/>
      <c r="P78" s="286"/>
      <c r="Q78" s="286"/>
      <c r="R78" s="286"/>
      <c r="S78" s="286"/>
      <c r="T78" s="286"/>
      <c r="U78" s="286"/>
      <c r="V78" s="286"/>
      <c r="W78" s="286"/>
      <c r="X78" s="286"/>
      <c r="Y78" s="286"/>
      <c r="Z78" s="287"/>
    </row>
    <row r="79" spans="1:26" ht="14.25" customHeight="1">
      <c r="A79" s="281"/>
      <c r="B79" s="282"/>
      <c r="C79" s="282"/>
      <c r="D79" s="282"/>
      <c r="E79" s="282"/>
      <c r="F79" s="282"/>
      <c r="G79" s="282"/>
      <c r="H79" s="282"/>
      <c r="I79" s="282"/>
      <c r="J79" s="282"/>
      <c r="K79" s="282"/>
      <c r="L79" s="283"/>
      <c r="M79" s="284"/>
      <c r="N79" s="285"/>
      <c r="O79" s="286"/>
      <c r="P79" s="286"/>
      <c r="Q79" s="286"/>
      <c r="R79" s="286"/>
      <c r="S79" s="286"/>
      <c r="T79" s="286"/>
      <c r="U79" s="286"/>
      <c r="V79" s="286"/>
      <c r="W79" s="286"/>
      <c r="X79" s="286"/>
      <c r="Y79" s="286"/>
      <c r="Z79" s="287"/>
    </row>
    <row r="80" spans="1:26" ht="14.25" customHeight="1">
      <c r="A80" s="281"/>
      <c r="B80" s="282"/>
      <c r="C80" s="282"/>
      <c r="D80" s="282"/>
      <c r="E80" s="282"/>
      <c r="F80" s="282"/>
      <c r="G80" s="282"/>
      <c r="H80" s="282"/>
      <c r="I80" s="282"/>
      <c r="J80" s="282"/>
      <c r="K80" s="282"/>
      <c r="L80" s="283"/>
      <c r="M80" s="284"/>
      <c r="N80" s="285"/>
      <c r="O80" s="286"/>
      <c r="P80" s="286"/>
      <c r="Q80" s="286"/>
      <c r="R80" s="286"/>
      <c r="S80" s="286"/>
      <c r="T80" s="286"/>
      <c r="U80" s="286"/>
      <c r="V80" s="286"/>
      <c r="W80" s="286"/>
      <c r="X80" s="286"/>
      <c r="Y80" s="286"/>
      <c r="Z80" s="287"/>
    </row>
    <row r="81" spans="1:26" ht="14.25" customHeight="1">
      <c r="A81" s="281"/>
      <c r="B81" s="282"/>
      <c r="C81" s="282"/>
      <c r="D81" s="282"/>
      <c r="E81" s="282"/>
      <c r="F81" s="282"/>
      <c r="G81" s="282"/>
      <c r="H81" s="282"/>
      <c r="I81" s="282"/>
      <c r="J81" s="282"/>
      <c r="K81" s="282"/>
      <c r="L81" s="283"/>
      <c r="M81" s="284"/>
      <c r="N81" s="285"/>
      <c r="O81" s="286"/>
      <c r="P81" s="286"/>
      <c r="Q81" s="286"/>
      <c r="R81" s="286"/>
      <c r="S81" s="286"/>
      <c r="T81" s="286"/>
      <c r="U81" s="286"/>
      <c r="V81" s="286"/>
      <c r="W81" s="286"/>
      <c r="X81" s="286"/>
      <c r="Y81" s="286"/>
      <c r="Z81" s="287"/>
    </row>
    <row r="82" spans="1:26" ht="14.25" customHeight="1">
      <c r="A82" s="281"/>
      <c r="B82" s="282"/>
      <c r="C82" s="282"/>
      <c r="D82" s="282"/>
      <c r="E82" s="282"/>
      <c r="F82" s="282"/>
      <c r="G82" s="282"/>
      <c r="H82" s="282"/>
      <c r="I82" s="282"/>
      <c r="J82" s="282"/>
      <c r="K82" s="282"/>
      <c r="L82" s="283"/>
      <c r="M82" s="284"/>
      <c r="N82" s="285"/>
      <c r="O82" s="286"/>
      <c r="P82" s="286"/>
      <c r="Q82" s="286"/>
      <c r="R82" s="286"/>
      <c r="S82" s="286"/>
      <c r="T82" s="286"/>
      <c r="U82" s="286"/>
      <c r="V82" s="286"/>
      <c r="W82" s="286"/>
      <c r="X82" s="286"/>
      <c r="Y82" s="286"/>
      <c r="Z82" s="287"/>
    </row>
    <row r="83" spans="1:26" ht="14.25" customHeight="1">
      <c r="A83" s="281"/>
      <c r="B83" s="282"/>
      <c r="C83" s="282"/>
      <c r="D83" s="282"/>
      <c r="E83" s="282"/>
      <c r="F83" s="282"/>
      <c r="G83" s="282"/>
      <c r="H83" s="282"/>
      <c r="I83" s="282"/>
      <c r="J83" s="282"/>
      <c r="K83" s="282"/>
      <c r="L83" s="283"/>
      <c r="M83" s="284"/>
      <c r="N83" s="285"/>
      <c r="O83" s="286"/>
      <c r="P83" s="286"/>
      <c r="Q83" s="286"/>
      <c r="R83" s="286"/>
      <c r="S83" s="286"/>
      <c r="T83" s="286"/>
      <c r="U83" s="286"/>
      <c r="V83" s="286"/>
      <c r="W83" s="286"/>
      <c r="X83" s="286"/>
      <c r="Y83" s="286"/>
      <c r="Z83" s="287"/>
    </row>
    <row r="84" spans="1:26" ht="14.25" customHeight="1">
      <c r="A84" s="281"/>
      <c r="B84" s="282"/>
      <c r="C84" s="282"/>
      <c r="D84" s="282"/>
      <c r="E84" s="282"/>
      <c r="F84" s="282"/>
      <c r="G84" s="282"/>
      <c r="H84" s="282"/>
      <c r="I84" s="282"/>
      <c r="J84" s="282"/>
      <c r="K84" s="282"/>
      <c r="L84" s="283"/>
      <c r="M84" s="284"/>
      <c r="N84" s="285"/>
      <c r="O84" s="286"/>
      <c r="P84" s="286"/>
      <c r="Q84" s="286"/>
      <c r="R84" s="286"/>
      <c r="S84" s="286"/>
      <c r="T84" s="286"/>
      <c r="U84" s="286"/>
      <c r="V84" s="286"/>
      <c r="W84" s="286"/>
      <c r="X84" s="286"/>
      <c r="Y84" s="286"/>
      <c r="Z84" s="287"/>
    </row>
    <row r="85" spans="1:26" ht="14.25" customHeight="1">
      <c r="A85" s="281"/>
      <c r="B85" s="282"/>
      <c r="C85" s="282"/>
      <c r="D85" s="282"/>
      <c r="E85" s="282"/>
      <c r="F85" s="282"/>
      <c r="G85" s="282"/>
      <c r="H85" s="282"/>
      <c r="I85" s="282"/>
      <c r="J85" s="282"/>
      <c r="K85" s="282"/>
      <c r="L85" s="283"/>
      <c r="M85" s="284"/>
      <c r="N85" s="285"/>
      <c r="O85" s="286"/>
      <c r="P85" s="286"/>
      <c r="Q85" s="286"/>
      <c r="R85" s="286"/>
      <c r="S85" s="286"/>
      <c r="T85" s="286"/>
      <c r="U85" s="286"/>
      <c r="V85" s="286"/>
      <c r="W85" s="286"/>
      <c r="X85" s="286"/>
      <c r="Y85" s="286"/>
      <c r="Z85" s="287"/>
    </row>
    <row r="86" spans="1:26" ht="14.25" customHeight="1">
      <c r="A86" s="281"/>
      <c r="B86" s="282"/>
      <c r="C86" s="282"/>
      <c r="D86" s="282"/>
      <c r="E86" s="282"/>
      <c r="F86" s="282"/>
      <c r="G86" s="282"/>
      <c r="H86" s="282"/>
      <c r="I86" s="282"/>
      <c r="J86" s="282"/>
      <c r="K86" s="282"/>
      <c r="L86" s="283"/>
      <c r="M86" s="284"/>
      <c r="N86" s="285"/>
      <c r="O86" s="286"/>
      <c r="P86" s="286"/>
      <c r="Q86" s="286"/>
      <c r="R86" s="286"/>
      <c r="S86" s="286"/>
      <c r="T86" s="286"/>
      <c r="U86" s="286"/>
      <c r="V86" s="286"/>
      <c r="W86" s="286"/>
      <c r="X86" s="286"/>
      <c r="Y86" s="286"/>
      <c r="Z86" s="287"/>
    </row>
    <row r="87" spans="1:26" ht="14.25" customHeight="1">
      <c r="A87" s="281"/>
      <c r="B87" s="282"/>
      <c r="C87" s="282"/>
      <c r="D87" s="282"/>
      <c r="E87" s="282"/>
      <c r="F87" s="282"/>
      <c r="G87" s="282"/>
      <c r="H87" s="282"/>
      <c r="I87" s="282"/>
      <c r="J87" s="282"/>
      <c r="K87" s="282"/>
      <c r="L87" s="283"/>
      <c r="M87" s="284"/>
      <c r="N87" s="285"/>
      <c r="O87" s="286"/>
      <c r="P87" s="286"/>
      <c r="Q87" s="286"/>
      <c r="R87" s="286"/>
      <c r="S87" s="286"/>
      <c r="T87" s="286"/>
      <c r="U87" s="286"/>
      <c r="V87" s="286"/>
      <c r="W87" s="286"/>
      <c r="X87" s="286"/>
      <c r="Y87" s="286"/>
      <c r="Z87" s="287"/>
    </row>
    <row r="88" spans="1:26" ht="14.25" customHeight="1">
      <c r="A88" s="281"/>
      <c r="B88" s="282"/>
      <c r="C88" s="282"/>
      <c r="D88" s="282"/>
      <c r="E88" s="282"/>
      <c r="F88" s="282"/>
      <c r="G88" s="282"/>
      <c r="H88" s="282"/>
      <c r="I88" s="282"/>
      <c r="J88" s="282"/>
      <c r="K88" s="282"/>
      <c r="L88" s="283"/>
      <c r="M88" s="284"/>
      <c r="N88" s="285"/>
      <c r="O88" s="286"/>
      <c r="P88" s="286"/>
      <c r="Q88" s="286"/>
      <c r="R88" s="286"/>
      <c r="S88" s="286"/>
      <c r="T88" s="286"/>
      <c r="U88" s="286"/>
      <c r="V88" s="286"/>
      <c r="W88" s="286"/>
      <c r="X88" s="286"/>
      <c r="Y88" s="286"/>
      <c r="Z88" s="287"/>
    </row>
    <row r="89" spans="1:26" ht="14.25" customHeight="1">
      <c r="A89" s="281"/>
      <c r="B89" s="282"/>
      <c r="C89" s="282"/>
      <c r="D89" s="282"/>
      <c r="E89" s="282"/>
      <c r="F89" s="282"/>
      <c r="G89" s="282"/>
      <c r="H89" s="282"/>
      <c r="I89" s="282"/>
      <c r="J89" s="282"/>
      <c r="K89" s="282"/>
      <c r="L89" s="283"/>
      <c r="M89" s="284"/>
      <c r="N89" s="285"/>
      <c r="O89" s="286"/>
      <c r="P89" s="286"/>
      <c r="Q89" s="286"/>
      <c r="R89" s="286"/>
      <c r="S89" s="286"/>
      <c r="T89" s="286"/>
      <c r="U89" s="286"/>
      <c r="V89" s="286"/>
      <c r="W89" s="286"/>
      <c r="X89" s="286"/>
      <c r="Y89" s="286"/>
      <c r="Z89" s="287"/>
    </row>
    <row r="90" spans="1:26" ht="14.25" customHeight="1">
      <c r="A90" s="281"/>
      <c r="B90" s="282"/>
      <c r="C90" s="282"/>
      <c r="D90" s="282"/>
      <c r="E90" s="282"/>
      <c r="F90" s="282"/>
      <c r="G90" s="282"/>
      <c r="H90" s="282"/>
      <c r="I90" s="282"/>
      <c r="J90" s="282"/>
      <c r="K90" s="282"/>
      <c r="L90" s="283"/>
      <c r="M90" s="284"/>
      <c r="N90" s="285"/>
      <c r="O90" s="286"/>
      <c r="P90" s="286"/>
      <c r="Q90" s="286"/>
      <c r="R90" s="286"/>
      <c r="S90" s="286"/>
      <c r="T90" s="286"/>
      <c r="U90" s="286"/>
      <c r="V90" s="286"/>
      <c r="W90" s="286"/>
      <c r="X90" s="286"/>
      <c r="Y90" s="286"/>
      <c r="Z90" s="287"/>
    </row>
    <row r="91" spans="1:26" ht="14.25" customHeight="1">
      <c r="A91" s="281"/>
      <c r="B91" s="282"/>
      <c r="C91" s="282"/>
      <c r="D91" s="282"/>
      <c r="E91" s="282"/>
      <c r="F91" s="282"/>
      <c r="G91" s="282"/>
      <c r="H91" s="282"/>
      <c r="I91" s="282"/>
      <c r="J91" s="282"/>
      <c r="K91" s="282"/>
      <c r="L91" s="283"/>
      <c r="M91" s="284"/>
      <c r="N91" s="285"/>
      <c r="O91" s="286"/>
      <c r="P91" s="286"/>
      <c r="Q91" s="286"/>
      <c r="R91" s="286"/>
      <c r="S91" s="286"/>
      <c r="T91" s="286"/>
      <c r="U91" s="286"/>
      <c r="V91" s="286"/>
      <c r="W91" s="286"/>
      <c r="X91" s="286"/>
      <c r="Y91" s="286"/>
      <c r="Z91" s="287"/>
    </row>
    <row r="92" spans="1:26" ht="14.25" customHeight="1">
      <c r="A92" s="281"/>
      <c r="B92" s="282"/>
      <c r="C92" s="282"/>
      <c r="D92" s="282"/>
      <c r="E92" s="282"/>
      <c r="F92" s="282"/>
      <c r="G92" s="282"/>
      <c r="H92" s="282"/>
      <c r="I92" s="282"/>
      <c r="J92" s="282"/>
      <c r="K92" s="282"/>
      <c r="L92" s="283"/>
      <c r="M92" s="284"/>
      <c r="N92" s="285"/>
      <c r="O92" s="286"/>
      <c r="P92" s="286"/>
      <c r="Q92" s="286"/>
      <c r="R92" s="286"/>
      <c r="S92" s="286"/>
      <c r="T92" s="286"/>
      <c r="U92" s="286"/>
      <c r="V92" s="286"/>
      <c r="W92" s="286"/>
      <c r="X92" s="286"/>
      <c r="Y92" s="286"/>
      <c r="Z92" s="287"/>
    </row>
    <row r="93" spans="1:26" ht="14.25" customHeight="1">
      <c r="A93" s="281"/>
      <c r="B93" s="282"/>
      <c r="C93" s="282"/>
      <c r="D93" s="282"/>
      <c r="E93" s="282"/>
      <c r="F93" s="282"/>
      <c r="G93" s="282"/>
      <c r="H93" s="282"/>
      <c r="I93" s="282"/>
      <c r="J93" s="282"/>
      <c r="K93" s="282"/>
      <c r="L93" s="283"/>
      <c r="M93" s="284"/>
      <c r="N93" s="285"/>
      <c r="O93" s="286"/>
      <c r="P93" s="286"/>
      <c r="Q93" s="286"/>
      <c r="R93" s="286"/>
      <c r="S93" s="286"/>
      <c r="T93" s="286"/>
      <c r="U93" s="286"/>
      <c r="V93" s="286"/>
      <c r="W93" s="286"/>
      <c r="X93" s="286"/>
      <c r="Y93" s="286"/>
      <c r="Z93" s="287"/>
    </row>
    <row r="94" spans="1:26" ht="14.25" customHeight="1">
      <c r="A94" s="281"/>
      <c r="B94" s="282"/>
      <c r="C94" s="282"/>
      <c r="D94" s="282"/>
      <c r="E94" s="282"/>
      <c r="F94" s="282"/>
      <c r="G94" s="282"/>
      <c r="H94" s="282"/>
      <c r="I94" s="282"/>
      <c r="J94" s="282"/>
      <c r="K94" s="282"/>
      <c r="L94" s="283"/>
      <c r="M94" s="284"/>
      <c r="N94" s="285"/>
      <c r="O94" s="286"/>
      <c r="P94" s="286"/>
      <c r="Q94" s="286"/>
      <c r="R94" s="286"/>
      <c r="S94" s="286"/>
      <c r="T94" s="286"/>
      <c r="U94" s="286"/>
      <c r="V94" s="286"/>
      <c r="W94" s="286"/>
      <c r="X94" s="286"/>
      <c r="Y94" s="286"/>
      <c r="Z94" s="287"/>
    </row>
    <row r="95" spans="1:26" ht="14.25" customHeight="1">
      <c r="A95" s="281"/>
      <c r="B95" s="282"/>
      <c r="C95" s="282"/>
      <c r="D95" s="282"/>
      <c r="E95" s="282"/>
      <c r="F95" s="282"/>
      <c r="G95" s="282"/>
      <c r="H95" s="282"/>
      <c r="I95" s="282"/>
      <c r="J95" s="282"/>
      <c r="K95" s="282"/>
      <c r="L95" s="283"/>
      <c r="M95" s="284"/>
      <c r="N95" s="285"/>
      <c r="O95" s="286"/>
      <c r="P95" s="286"/>
      <c r="Q95" s="286"/>
      <c r="R95" s="286"/>
      <c r="S95" s="286"/>
      <c r="T95" s="286"/>
      <c r="U95" s="286"/>
      <c r="V95" s="286"/>
      <c r="W95" s="286"/>
      <c r="X95" s="286"/>
      <c r="Y95" s="286"/>
      <c r="Z95" s="287"/>
    </row>
    <row r="96" spans="1:26" ht="14.25" customHeight="1">
      <c r="A96" s="281"/>
      <c r="B96" s="282"/>
      <c r="C96" s="282"/>
      <c r="D96" s="282"/>
      <c r="E96" s="282"/>
      <c r="F96" s="282"/>
      <c r="G96" s="282"/>
      <c r="H96" s="282"/>
      <c r="I96" s="282"/>
      <c r="J96" s="282"/>
      <c r="K96" s="282"/>
      <c r="L96" s="283"/>
      <c r="M96" s="284"/>
      <c r="N96" s="285"/>
      <c r="O96" s="286"/>
      <c r="P96" s="286"/>
      <c r="Q96" s="286"/>
      <c r="R96" s="286"/>
      <c r="S96" s="286"/>
      <c r="T96" s="286"/>
      <c r="U96" s="286"/>
      <c r="V96" s="286"/>
      <c r="W96" s="286"/>
      <c r="X96" s="286"/>
      <c r="Y96" s="286"/>
      <c r="Z96" s="287"/>
    </row>
    <row r="97" spans="1:26" ht="14.25" customHeight="1">
      <c r="A97" s="281"/>
      <c r="B97" s="282"/>
      <c r="C97" s="282"/>
      <c r="D97" s="282"/>
      <c r="E97" s="282"/>
      <c r="F97" s="282"/>
      <c r="G97" s="282"/>
      <c r="H97" s="282"/>
      <c r="I97" s="282"/>
      <c r="J97" s="282"/>
      <c r="K97" s="282"/>
      <c r="L97" s="283"/>
      <c r="M97" s="284"/>
      <c r="N97" s="285"/>
      <c r="O97" s="286"/>
      <c r="P97" s="286"/>
      <c r="Q97" s="286"/>
      <c r="R97" s="286"/>
      <c r="S97" s="286"/>
      <c r="T97" s="286"/>
      <c r="U97" s="286"/>
      <c r="V97" s="286"/>
      <c r="W97" s="286"/>
      <c r="X97" s="286"/>
      <c r="Y97" s="286"/>
      <c r="Z97" s="287"/>
    </row>
    <row r="98" spans="1:26" ht="14.25" customHeight="1">
      <c r="A98" s="281"/>
      <c r="B98" s="282"/>
      <c r="C98" s="282"/>
      <c r="D98" s="282"/>
      <c r="E98" s="282"/>
      <c r="F98" s="282"/>
      <c r="G98" s="282"/>
      <c r="H98" s="282"/>
      <c r="I98" s="282"/>
      <c r="J98" s="282"/>
      <c r="K98" s="282"/>
      <c r="L98" s="283"/>
      <c r="M98" s="284"/>
      <c r="N98" s="285"/>
      <c r="O98" s="286"/>
      <c r="P98" s="286"/>
      <c r="Q98" s="286"/>
      <c r="R98" s="286"/>
      <c r="S98" s="286"/>
      <c r="T98" s="286"/>
      <c r="U98" s="286"/>
      <c r="V98" s="286"/>
      <c r="W98" s="286"/>
      <c r="X98" s="286"/>
      <c r="Y98" s="286"/>
      <c r="Z98" s="287"/>
    </row>
    <row r="99" spans="1:26" ht="14.25" customHeight="1">
      <c r="A99" s="281"/>
      <c r="B99" s="282"/>
      <c r="C99" s="282"/>
      <c r="D99" s="282"/>
      <c r="E99" s="282"/>
      <c r="F99" s="282"/>
      <c r="G99" s="282"/>
      <c r="H99" s="282"/>
      <c r="I99" s="282"/>
      <c r="J99" s="282"/>
      <c r="K99" s="282"/>
      <c r="L99" s="283"/>
      <c r="M99" s="284"/>
      <c r="N99" s="285"/>
      <c r="O99" s="286"/>
      <c r="P99" s="286"/>
      <c r="Q99" s="286"/>
      <c r="R99" s="286"/>
      <c r="S99" s="286"/>
      <c r="T99" s="286"/>
      <c r="U99" s="286"/>
      <c r="V99" s="286"/>
      <c r="W99" s="286"/>
      <c r="X99" s="286"/>
      <c r="Y99" s="286"/>
      <c r="Z99" s="287"/>
    </row>
    <row r="100" spans="1:26" ht="14.25" customHeight="1">
      <c r="A100" s="384"/>
      <c r="B100" s="385"/>
      <c r="C100" s="385"/>
      <c r="D100" s="385"/>
      <c r="E100" s="385"/>
      <c r="F100" s="385"/>
      <c r="G100" s="385"/>
      <c r="H100" s="385"/>
      <c r="I100" s="385"/>
      <c r="J100" s="385"/>
      <c r="K100" s="385"/>
      <c r="L100" s="386"/>
      <c r="M100" s="387"/>
      <c r="N100" s="388"/>
      <c r="O100" s="389"/>
      <c r="P100" s="389"/>
      <c r="Q100" s="389"/>
      <c r="R100" s="389"/>
      <c r="S100" s="389"/>
      <c r="T100" s="389"/>
      <c r="U100" s="389"/>
      <c r="V100" s="389"/>
      <c r="W100" s="389"/>
      <c r="X100" s="389"/>
      <c r="Y100" s="389"/>
      <c r="Z100" s="390"/>
    </row>
  </sheetData>
  <pageMargins left="0.7" right="0.7" top="0.75" bottom="0.75" header="0.3" footer="0.3"/>
  <pageSetup orientation="portrait"/>
  <headerFooter>
    <oddFooter>&amp;C&amp;"Helvetica Neue,Regular"&amp;12&amp;K000000&amp;P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0"/>
  <sheetViews>
    <sheetView showGridLines="0" tabSelected="1" workbookViewId="0">
      <selection activeCell="S20" sqref="S20"/>
    </sheetView>
  </sheetViews>
  <sheetFormatPr defaultColWidth="8.875" defaultRowHeight="14.25" customHeight="1"/>
  <cols>
    <col min="1" max="1" width="5.875" style="391" customWidth="1"/>
    <col min="2" max="2" width="16.125" style="391" customWidth="1"/>
    <col min="3" max="4" width="3.375" style="391" customWidth="1"/>
    <col min="5" max="5" width="16.125" style="391" customWidth="1"/>
    <col min="6" max="6" width="1.875" style="391" customWidth="1"/>
    <col min="7" max="7" width="5.875" style="391" customWidth="1"/>
    <col min="8" max="8" width="16.125" style="391" customWidth="1"/>
    <col min="9" max="10" width="3.875" style="391" customWidth="1"/>
    <col min="11" max="11" width="16.125" style="391" customWidth="1"/>
    <col min="12" max="13" width="1.875" style="391" customWidth="1"/>
    <col min="14" max="14" width="5.375" style="391" customWidth="1"/>
    <col min="15" max="15" width="5.875" style="391" customWidth="1"/>
    <col min="16" max="16" width="24.125" style="391" customWidth="1"/>
    <col min="17" max="18" width="4.5" style="391" customWidth="1"/>
    <col min="19" max="19" width="21.875" style="391" customWidth="1"/>
    <col min="20" max="21" width="1.875" style="391" customWidth="1"/>
    <col min="22" max="22" width="16.125" style="391" customWidth="1"/>
    <col min="23" max="24" width="3.875" style="391" customWidth="1"/>
    <col min="25" max="25" width="16.125" style="391" customWidth="1"/>
    <col min="26" max="26" width="8.875" style="391" customWidth="1"/>
    <col min="27" max="16384" width="8.875" style="391"/>
  </cols>
  <sheetData>
    <row r="1" spans="1:25" ht="14.25" customHeight="1">
      <c r="A1" s="274"/>
      <c r="B1" s="275"/>
      <c r="C1" s="275"/>
      <c r="D1" s="275"/>
      <c r="E1" s="275"/>
      <c r="F1" s="275"/>
      <c r="G1" s="275"/>
      <c r="H1" s="275"/>
      <c r="I1" s="275"/>
      <c r="J1" s="275"/>
      <c r="K1" s="275"/>
      <c r="L1" s="276"/>
      <c r="M1" s="277"/>
      <c r="N1" s="392"/>
      <c r="O1" s="3"/>
      <c r="P1" s="3"/>
      <c r="Q1" s="3"/>
      <c r="R1" s="3"/>
      <c r="S1" s="3"/>
      <c r="T1" s="3"/>
      <c r="U1" s="3"/>
      <c r="V1" s="3"/>
      <c r="W1" s="3"/>
      <c r="X1" s="3"/>
      <c r="Y1" s="4"/>
    </row>
    <row r="2" spans="1:25" ht="14.25" customHeight="1">
      <c r="A2" s="281"/>
      <c r="B2" s="282"/>
      <c r="C2" s="282"/>
      <c r="D2" s="282"/>
      <c r="E2" s="282"/>
      <c r="F2" s="282"/>
      <c r="G2" s="282"/>
      <c r="H2" s="282"/>
      <c r="I2" s="282"/>
      <c r="J2" s="282"/>
      <c r="K2" s="282"/>
      <c r="L2" s="283"/>
      <c r="M2" s="284"/>
      <c r="N2" s="393"/>
      <c r="O2" s="9"/>
      <c r="P2" s="9"/>
      <c r="Q2" s="9"/>
      <c r="R2" s="9"/>
      <c r="S2" s="9"/>
      <c r="T2" s="9"/>
      <c r="U2" s="9"/>
      <c r="V2" s="9"/>
      <c r="W2" s="9"/>
      <c r="X2" s="9"/>
      <c r="Y2" s="26"/>
    </row>
    <row r="3" spans="1:25" ht="15" customHeight="1">
      <c r="A3" s="394"/>
      <c r="B3" s="395"/>
      <c r="C3" s="395"/>
      <c r="D3" s="395"/>
      <c r="E3" s="395"/>
      <c r="F3" s="282"/>
      <c r="G3" s="395"/>
      <c r="H3" s="395"/>
      <c r="I3" s="395"/>
      <c r="J3" s="395"/>
      <c r="K3" s="395"/>
      <c r="L3" s="283"/>
      <c r="M3" s="284"/>
      <c r="N3" s="393"/>
      <c r="O3" s="396"/>
      <c r="P3" s="396"/>
      <c r="Q3" s="396"/>
      <c r="R3" s="396"/>
      <c r="S3" s="396"/>
      <c r="T3" s="9"/>
      <c r="U3" s="9"/>
      <c r="V3" s="9"/>
      <c r="W3" s="9"/>
      <c r="X3" s="9"/>
      <c r="Y3" s="26"/>
    </row>
    <row r="4" spans="1:25" ht="13.9" customHeight="1">
      <c r="A4" s="397"/>
      <c r="B4" s="398"/>
      <c r="C4" s="399" t="s">
        <v>245</v>
      </c>
      <c r="D4" s="399" t="s">
        <v>258</v>
      </c>
      <c r="E4" s="400" t="s">
        <v>290</v>
      </c>
      <c r="F4" s="401"/>
      <c r="G4" s="397"/>
      <c r="H4" s="398"/>
      <c r="I4" s="399" t="s">
        <v>269</v>
      </c>
      <c r="J4" s="399" t="s">
        <v>282</v>
      </c>
      <c r="K4" s="400" t="s">
        <v>291</v>
      </c>
      <c r="L4" s="402"/>
      <c r="M4" s="284"/>
      <c r="N4" s="403"/>
      <c r="O4" s="404"/>
      <c r="P4" s="792" t="str" cm="1">
        <f t="array" ref="P4">B21</f>
        <v>España</v>
      </c>
      <c r="Q4" s="798">
        <v>1</v>
      </c>
      <c r="R4" s="801">
        <v>0</v>
      </c>
      <c r="S4" s="795" t="str" cm="1">
        <f t="array" ref="S4">H21</f>
        <v>Argentina</v>
      </c>
      <c r="T4" s="405"/>
      <c r="U4" s="9"/>
      <c r="V4" s="9"/>
      <c r="W4" s="9"/>
      <c r="X4" s="9"/>
      <c r="Y4" s="26"/>
    </row>
    <row r="5" spans="1:25" ht="13.9" customHeight="1">
      <c r="A5" s="406" t="s">
        <v>292</v>
      </c>
      <c r="B5" s="308" t="str" cm="1">
        <f t="array" ref="B5">_xlfn.XLOOKUP(C4,'Round of 32 &amp; Round of 16'!$Q1:$Q100,'Round of 32 &amp; Round of 16'!$P1:$P100,_xlfn.XLOOKUP(C4,'Round of 32 &amp; Round of 16'!$W1:$W100,'Round of 32 &amp; Round of 16'!$V1:$V100,"-",0),0)</f>
        <v>Francia</v>
      </c>
      <c r="C5" s="309">
        <v>2</v>
      </c>
      <c r="D5" s="310">
        <v>1</v>
      </c>
      <c r="E5" s="407" t="str" cm="1">
        <f t="array" ref="E5">_xlfn.XLOOKUP(D4,'Round of 32 &amp; Round of 16'!$Q1:$Q100,'Round of 32 &amp; Round of 16'!$P1:$P100,_xlfn.XLOOKUP(D4,'Round of 32 &amp; Round of 16'!$W1:$W100,'Round of 32 &amp; Round of 16'!$V1:$V100,"-",0),0)</f>
        <v>Marruecos</v>
      </c>
      <c r="F5" s="401"/>
      <c r="G5" s="406" t="s">
        <v>293</v>
      </c>
      <c r="H5" s="308" t="str" cm="1">
        <f t="array" ref="H5">_xlfn.XLOOKUP(I4,'Round of 32 &amp; Round of 16'!$Q1:$Q100,'Round of 32 &amp; Round of 16'!$P1:$P100,_xlfn.XLOOKUP(I4,'Round of 32 &amp; Round of 16'!$W1:$W100,'Round of 32 &amp; Round of 16'!$V1:$V100,"-",0),0)</f>
        <v>Brasil</v>
      </c>
      <c r="I5" s="309">
        <v>2</v>
      </c>
      <c r="J5" s="310">
        <v>1</v>
      </c>
      <c r="K5" s="407" t="str" cm="1">
        <f t="array" ref="K5">_xlfn.XLOOKUP(J4,'Round of 32 &amp; Round of 16'!$Q1:$Q100,'Round of 32 &amp; Round of 16'!$P1:$P100,_xlfn.XLOOKUP(J4,'Round of 32 &amp; Round of 16'!$W1:$W100,'Round of 32 &amp; Round of 16'!$V1:$V100,"-",0),0)</f>
        <v>Inglaterra</v>
      </c>
      <c r="L5" s="402"/>
      <c r="M5" s="284"/>
      <c r="N5" s="403"/>
      <c r="O5" s="408" t="s">
        <v>294</v>
      </c>
      <c r="P5" s="793"/>
      <c r="Q5" s="799"/>
      <c r="R5" s="802"/>
      <c r="S5" s="796"/>
      <c r="T5" s="405"/>
      <c r="U5" s="9"/>
      <c r="V5" s="9"/>
      <c r="W5" s="9"/>
      <c r="X5" s="9"/>
      <c r="Y5" s="26"/>
    </row>
    <row r="6" spans="1:25" ht="14.45" customHeight="1">
      <c r="A6" s="409"/>
      <c r="B6" s="410" t="s">
        <v>253</v>
      </c>
      <c r="C6" s="411"/>
      <c r="D6" s="411"/>
      <c r="E6" s="412" t="str" cm="1">
        <f t="array" ref="E6">IF(AND(ISNUMBER(C5),ISNUMBER(D5),C5=D5),"Y","N")</f>
        <v>N</v>
      </c>
      <c r="F6" s="401"/>
      <c r="G6" s="409"/>
      <c r="H6" s="410" t="s">
        <v>253</v>
      </c>
      <c r="I6" s="411"/>
      <c r="J6" s="411"/>
      <c r="K6" s="412" t="str" cm="1">
        <f t="array" ref="K6">IF(AND(ISNUMBER(I5),ISNUMBER(J5),I5=J5),"Y","N")</f>
        <v>N</v>
      </c>
      <c r="L6" s="402"/>
      <c r="M6" s="284"/>
      <c r="N6" s="403"/>
      <c r="O6" s="413"/>
      <c r="P6" s="794"/>
      <c r="Q6" s="800"/>
      <c r="R6" s="803"/>
      <c r="S6" s="797"/>
      <c r="T6" s="405"/>
      <c r="U6" s="9"/>
      <c r="V6" s="9"/>
      <c r="W6" s="9"/>
      <c r="X6" s="9"/>
      <c r="Y6" s="26"/>
    </row>
    <row r="7" spans="1:25" ht="14.45" customHeight="1">
      <c r="A7" s="414"/>
      <c r="B7" s="415" t="str" cm="1">
        <f t="array" ref="B7">IF(AND(ISNUMBER(C5),ISNUMBER(D5)),IF((C5+C6)&gt;(D5+D6),B5,E5),"-")</f>
        <v>Francia</v>
      </c>
      <c r="C7" s="415" t="str" cm="1">
        <f t="array" ref="C7">E4</f>
        <v>W97</v>
      </c>
      <c r="D7" s="415"/>
      <c r="E7" s="415"/>
      <c r="F7" s="324"/>
      <c r="G7" s="416"/>
      <c r="H7" s="415" t="str" cm="1">
        <f t="array" ref="H7">IF(AND(ISNUMBER(I5),ISNUMBER(J5)),IF((I5+I6)&gt;(J5+J6),H5,K5),"-")</f>
        <v>Brasil</v>
      </c>
      <c r="I7" s="415" t="str" cm="1">
        <f t="array" ref="I7">K4</f>
        <v>W99</v>
      </c>
      <c r="J7" s="415"/>
      <c r="K7" s="415"/>
      <c r="L7" s="283"/>
      <c r="M7" s="284"/>
      <c r="N7" s="393"/>
      <c r="O7" s="417"/>
      <c r="P7" s="418" t="s">
        <v>253</v>
      </c>
      <c r="Q7" s="419"/>
      <c r="R7" s="419"/>
      <c r="S7" s="420" t="str" cm="1">
        <f t="array" ref="S7">IF(AND(ISNUMBER(Q4),ISNUMBER(R4),Q4=R4),"Y","N")</f>
        <v>N</v>
      </c>
      <c r="T7" s="421"/>
      <c r="U7" s="421"/>
      <c r="V7" s="9"/>
      <c r="W7" s="9"/>
      <c r="X7" s="9"/>
      <c r="Y7" s="26"/>
    </row>
    <row r="8" spans="1:25" ht="14.25" customHeight="1">
      <c r="A8" s="397"/>
      <c r="B8" s="398"/>
      <c r="C8" s="399" t="s">
        <v>248</v>
      </c>
      <c r="D8" s="399" t="s">
        <v>259</v>
      </c>
      <c r="E8" s="400" t="s">
        <v>295</v>
      </c>
      <c r="F8" s="401"/>
      <c r="G8" s="397"/>
      <c r="H8" s="398"/>
      <c r="I8" s="399" t="s">
        <v>272</v>
      </c>
      <c r="J8" s="399" t="s">
        <v>283</v>
      </c>
      <c r="K8" s="400" t="s">
        <v>296</v>
      </c>
      <c r="L8" s="402"/>
      <c r="M8" s="284"/>
      <c r="N8" s="393"/>
      <c r="O8" s="9"/>
      <c r="P8" s="422" t="str" cm="1">
        <f t="array" ref="P8">IF(AND(ISNUMBER(Q4),ISNUMBER(R4)),IF((Q4+Q7)&gt;(R4+R7),P4,S4),"-")</f>
        <v>España</v>
      </c>
      <c r="Q8" s="422" cm="1">
        <f t="array" ref="Q8">S5</f>
        <v>0</v>
      </c>
      <c r="R8" s="422"/>
      <c r="S8" s="422" t="str" cm="1">
        <f t="array" ref="S8">IF(AND(ISNUMBER(Q4),ISNUMBER(R4)),IF((Q4+Q7)&gt;(R4+R7),S4,P4),"-")</f>
        <v>Argentina</v>
      </c>
      <c r="T8" s="9"/>
      <c r="U8" s="9"/>
      <c r="V8" s="9"/>
      <c r="W8" s="9"/>
      <c r="X8" s="9"/>
      <c r="Y8" s="26"/>
    </row>
    <row r="9" spans="1:25" ht="14.25" customHeight="1">
      <c r="A9" s="406" t="s">
        <v>297</v>
      </c>
      <c r="B9" s="308" t="str" cm="1">
        <f t="array" ref="B9">_xlfn.XLOOKUP(C8,'Round of 32 &amp; Round of 16'!$Q1:$Q100,'Round of 32 &amp; Round of 16'!$P1:$P100,_xlfn.XLOOKUP(C8,'Round of 32 &amp; Round of 16'!$W1:$W100,'Round of 32 &amp; Round of 16'!$V1:$V100,"-",0),0)</f>
        <v>España</v>
      </c>
      <c r="C9" s="309">
        <v>1</v>
      </c>
      <c r="D9" s="310">
        <v>0</v>
      </c>
      <c r="E9" s="407" t="str" cm="1">
        <f t="array" ref="E9">_xlfn.XLOOKUP(D8,'Round of 32 &amp; Round of 16'!$Q1:$Q100,'Round of 32 &amp; Round of 16'!$P1:$P100,_xlfn.XLOOKUP(D8,'Round of 32 &amp; Round of 16'!$W1:$W100,'Round of 32 &amp; Round of 16'!$V1:$V100,"-",0),0)</f>
        <v>Belgica</v>
      </c>
      <c r="F9" s="401"/>
      <c r="G9" s="406" t="s">
        <v>298</v>
      </c>
      <c r="H9" s="308" t="str" cm="1">
        <f t="array" ref="H9">_xlfn.XLOOKUP(I8,'Round of 32 &amp; Round of 16'!$Q1:$Q100,'Round of 32 &amp; Round of 16'!$P1:$P100,_xlfn.XLOOKUP(I8,'Round of 32 &amp; Round of 16'!$W1:$W100,'Round of 32 &amp; Round of 16'!$V1:$V100,"-",0),0)</f>
        <v>Argentina</v>
      </c>
      <c r="I9" s="309">
        <v>2</v>
      </c>
      <c r="J9" s="310">
        <v>1</v>
      </c>
      <c r="K9" s="407" t="str" cm="1">
        <f t="array" ref="K9">_xlfn.XLOOKUP(J8,'Round of 32 &amp; Round of 16'!$Q1:$Q100,'Round of 32 &amp; Round of 16'!$P1:$P100,_xlfn.XLOOKUP(J8,'Round of 32 &amp; Round of 16'!$W1:$W100,'Round of 32 &amp; Round of 16'!$V1:$V100,"-",0),0)</f>
        <v>Portugal</v>
      </c>
      <c r="L9" s="402"/>
      <c r="M9" s="284"/>
      <c r="N9" s="393"/>
      <c r="O9" s="9"/>
      <c r="P9" s="9"/>
      <c r="Q9" s="9"/>
      <c r="R9" s="9"/>
      <c r="S9" s="9"/>
      <c r="T9" s="9"/>
      <c r="U9" s="9"/>
      <c r="V9" s="9"/>
      <c r="W9" s="9"/>
      <c r="X9" s="9"/>
      <c r="Y9" s="26"/>
    </row>
    <row r="10" spans="1:25" ht="14.25" customHeight="1">
      <c r="A10" s="409"/>
      <c r="B10" s="410" t="s">
        <v>253</v>
      </c>
      <c r="C10" s="411"/>
      <c r="D10" s="411"/>
      <c r="E10" s="412" t="str" cm="1">
        <f t="array" ref="E10">IF(AND(ISNUMBER(C9),ISNUMBER(D9),C9=D9),"Y","N")</f>
        <v>N</v>
      </c>
      <c r="F10" s="401"/>
      <c r="G10" s="409"/>
      <c r="H10" s="410" t="s">
        <v>253</v>
      </c>
      <c r="I10" s="411"/>
      <c r="J10" s="411"/>
      <c r="K10" s="412" t="str" cm="1">
        <f t="array" ref="K10">IF(AND(ISNUMBER(I9),ISNUMBER(J9),I9=J9),"Y","N")</f>
        <v>N</v>
      </c>
      <c r="L10" s="402"/>
      <c r="M10" s="284"/>
      <c r="N10" s="393"/>
      <c r="O10" s="9"/>
      <c r="P10" s="9"/>
      <c r="Q10" s="9"/>
      <c r="R10" s="9"/>
      <c r="S10" s="9"/>
      <c r="T10" s="9"/>
      <c r="U10" s="9"/>
      <c r="V10" s="9"/>
      <c r="W10" s="9"/>
      <c r="X10" s="9"/>
      <c r="Y10" s="26"/>
    </row>
    <row r="11" spans="1:25" ht="15" customHeight="1">
      <c r="A11" s="423"/>
      <c r="B11" s="424" t="str" cm="1">
        <f t="array" ref="B11">IF(AND(ISNUMBER(C9),ISNUMBER(D9)),IF((C9+C10)&gt;(D9+D10),B9,E9),"-")</f>
        <v>España</v>
      </c>
      <c r="C11" s="424" t="str" cm="1">
        <f t="array" ref="C11">E8</f>
        <v>W98</v>
      </c>
      <c r="D11" s="424"/>
      <c r="E11" s="424"/>
      <c r="F11" s="324"/>
      <c r="G11" s="425"/>
      <c r="H11" s="424" t="str" cm="1">
        <f t="array" ref="H11">IF(AND(ISNUMBER(I9),ISNUMBER(J9)),IF((I9+I10)&gt;(J9+J10),H9,K9),"-")</f>
        <v>Argentina</v>
      </c>
      <c r="I11" s="424" t="str" cm="1">
        <f t="array" ref="I11">K8</f>
        <v>W100</v>
      </c>
      <c r="J11" s="424"/>
      <c r="K11" s="424"/>
      <c r="L11" s="283"/>
      <c r="M11" s="284"/>
      <c r="N11" s="393"/>
      <c r="O11" s="426"/>
      <c r="P11" s="426"/>
      <c r="Q11" s="426"/>
      <c r="R11" s="426"/>
      <c r="S11" s="426"/>
      <c r="T11" s="9"/>
      <c r="U11" s="9"/>
      <c r="V11" s="9"/>
      <c r="W11" s="9"/>
      <c r="X11" s="9"/>
      <c r="Y11" s="26"/>
    </row>
    <row r="12" spans="1:25" ht="14.25" customHeight="1">
      <c r="A12" s="281"/>
      <c r="B12" s="282"/>
      <c r="C12" s="282"/>
      <c r="D12" s="282"/>
      <c r="E12" s="282"/>
      <c r="F12" s="282"/>
      <c r="G12" s="282"/>
      <c r="H12" s="282"/>
      <c r="I12" s="282"/>
      <c r="J12" s="282"/>
      <c r="K12" s="282"/>
      <c r="L12" s="283"/>
      <c r="M12" s="284"/>
      <c r="N12" s="427"/>
      <c r="O12" s="428"/>
      <c r="P12" s="429"/>
      <c r="Q12" s="430" t="s">
        <v>299</v>
      </c>
      <c r="R12" s="430" t="s">
        <v>300</v>
      </c>
      <c r="S12" s="431"/>
      <c r="T12" s="432"/>
      <c r="U12" s="9"/>
      <c r="V12" s="9"/>
      <c r="W12" s="9"/>
      <c r="X12" s="9"/>
      <c r="Y12" s="26"/>
    </row>
    <row r="13" spans="1:25" ht="14.25" customHeight="1">
      <c r="A13" s="281"/>
      <c r="B13" s="282"/>
      <c r="C13" s="282"/>
      <c r="D13" s="282"/>
      <c r="E13" s="282"/>
      <c r="F13" s="282"/>
      <c r="G13" s="282"/>
      <c r="H13" s="282"/>
      <c r="I13" s="282"/>
      <c r="J13" s="282"/>
      <c r="K13" s="282"/>
      <c r="L13" s="283"/>
      <c r="M13" s="284"/>
      <c r="N13" s="427"/>
      <c r="O13" s="433" t="s">
        <v>301</v>
      </c>
      <c r="P13" s="434" t="str" cm="1">
        <f t="array" ref="P13">E21</f>
        <v>Francia</v>
      </c>
      <c r="Q13" s="309">
        <v>2</v>
      </c>
      <c r="R13" s="310">
        <v>1</v>
      </c>
      <c r="S13" s="435" t="str" cm="1">
        <f t="array" ref="S13">K21</f>
        <v>Brasil</v>
      </c>
      <c r="T13" s="432"/>
      <c r="U13" s="9"/>
      <c r="V13" s="9"/>
      <c r="W13" s="9"/>
      <c r="X13" s="9"/>
      <c r="Y13" s="26"/>
    </row>
    <row r="14" spans="1:25" ht="15" customHeight="1">
      <c r="A14" s="436"/>
      <c r="B14" s="437"/>
      <c r="C14" s="437"/>
      <c r="D14" s="437"/>
      <c r="E14" s="437"/>
      <c r="F14" s="437"/>
      <c r="G14" s="437"/>
      <c r="H14" s="437"/>
      <c r="I14" s="437"/>
      <c r="J14" s="437"/>
      <c r="K14" s="437"/>
      <c r="L14" s="438"/>
      <c r="M14" s="284"/>
      <c r="N14" s="427"/>
      <c r="O14" s="439"/>
      <c r="P14" s="440" t="s">
        <v>253</v>
      </c>
      <c r="Q14" s="441"/>
      <c r="R14" s="441"/>
      <c r="S14" s="442" t="str" cm="1">
        <f t="array" ref="S14">IF(AND(ISNUMBER(Q13),ISNUMBER(R13),Q13=R13),"Y","N")</f>
        <v>N</v>
      </c>
      <c r="T14" s="432"/>
      <c r="U14" s="9"/>
      <c r="V14" s="9"/>
      <c r="W14" s="9"/>
      <c r="X14" s="9"/>
      <c r="Y14" s="26"/>
    </row>
    <row r="15" spans="1:25" ht="14.25" customHeight="1">
      <c r="A15" s="281"/>
      <c r="B15" s="9"/>
      <c r="C15" s="9"/>
      <c r="D15" s="9"/>
      <c r="E15" s="9"/>
      <c r="F15" s="282"/>
      <c r="G15" s="282"/>
      <c r="H15" s="9"/>
      <c r="I15" s="9"/>
      <c r="J15" s="9"/>
      <c r="K15" s="9"/>
      <c r="L15" s="283"/>
      <c r="M15" s="284"/>
      <c r="N15" s="393"/>
      <c r="O15" s="443"/>
      <c r="P15" s="444" t="str" cm="1">
        <f t="array" ref="P15">IF(AND(ISNUMBER(Q13),ISNUMBER(R13)),IF((Q13+Q14)&gt;(R13+R14),P13,S13),"-")</f>
        <v>Francia</v>
      </c>
      <c r="Q15" s="445" cm="1">
        <f t="array" ref="Q15">S12</f>
        <v>0</v>
      </c>
      <c r="R15" s="444"/>
      <c r="S15" s="444" t="str" cm="1">
        <f t="array" ref="S15">IF(AND(ISNUMBER(Q13),ISNUMBER(R13)),IF((Q13+Q14)&gt;(R13+R14),S13,P13),"-")</f>
        <v>Brasil</v>
      </c>
      <c r="T15" s="9"/>
      <c r="U15" s="9"/>
      <c r="V15" s="9"/>
      <c r="W15" s="9"/>
      <c r="X15" s="9"/>
      <c r="Y15" s="26"/>
    </row>
    <row r="16" spans="1:25" ht="14.25" customHeight="1">
      <c r="A16" s="281"/>
      <c r="B16" s="9"/>
      <c r="C16" s="9"/>
      <c r="D16" s="9"/>
      <c r="E16" s="9"/>
      <c r="F16" s="282"/>
      <c r="G16" s="282"/>
      <c r="H16" s="9"/>
      <c r="I16" s="9"/>
      <c r="J16" s="9"/>
      <c r="K16" s="9"/>
      <c r="L16" s="283"/>
      <c r="M16" s="284"/>
      <c r="N16" s="393"/>
      <c r="O16" s="9"/>
      <c r="P16" s="9"/>
      <c r="Q16" s="9"/>
      <c r="R16" s="9"/>
      <c r="S16" s="9"/>
      <c r="T16" s="9"/>
      <c r="U16" s="9"/>
      <c r="V16" s="9"/>
      <c r="W16" s="9"/>
      <c r="X16" s="9"/>
      <c r="Y16" s="26"/>
    </row>
    <row r="17" spans="1:25" ht="14.25" customHeight="1">
      <c r="A17" s="394"/>
      <c r="B17" s="6"/>
      <c r="C17" s="6"/>
      <c r="D17" s="6"/>
      <c r="E17" s="6"/>
      <c r="F17" s="282"/>
      <c r="G17" s="395"/>
      <c r="H17" s="6"/>
      <c r="I17" s="6"/>
      <c r="J17" s="6"/>
      <c r="K17" s="6"/>
      <c r="L17" s="283"/>
      <c r="M17" s="284"/>
      <c r="N17" s="393"/>
      <c r="O17" s="9"/>
      <c r="P17" s="9"/>
      <c r="Q17" s="446"/>
      <c r="R17" s="446"/>
      <c r="S17" s="446"/>
      <c r="T17" s="9"/>
      <c r="U17" s="9"/>
      <c r="V17" s="9"/>
      <c r="W17" s="9"/>
      <c r="X17" s="9"/>
      <c r="Y17" s="26"/>
    </row>
    <row r="18" spans="1:25" ht="14.25" customHeight="1">
      <c r="A18" s="397"/>
      <c r="B18" s="398"/>
      <c r="C18" s="399" t="s">
        <v>290</v>
      </c>
      <c r="D18" s="399" t="s">
        <v>295</v>
      </c>
      <c r="E18" s="400" t="s">
        <v>299</v>
      </c>
      <c r="F18" s="401"/>
      <c r="G18" s="397"/>
      <c r="H18" s="398"/>
      <c r="I18" s="399" t="s">
        <v>291</v>
      </c>
      <c r="J18" s="399" t="s">
        <v>296</v>
      </c>
      <c r="K18" s="400" t="s">
        <v>300</v>
      </c>
      <c r="L18" s="402"/>
      <c r="M18" s="284"/>
      <c r="N18" s="393"/>
      <c r="O18" s="9"/>
      <c r="P18" s="447"/>
      <c r="Q18" s="448"/>
      <c r="R18" s="449" t="s">
        <v>23</v>
      </c>
      <c r="S18" s="450" t="s">
        <v>865</v>
      </c>
      <c r="T18" s="9"/>
      <c r="U18" s="9"/>
      <c r="V18" s="9"/>
      <c r="W18" s="9"/>
      <c r="X18" s="9"/>
      <c r="Y18" s="26"/>
    </row>
    <row r="19" spans="1:25" ht="14.25" customHeight="1">
      <c r="A19" s="406" t="s">
        <v>302</v>
      </c>
      <c r="B19" s="308" t="str" cm="1">
        <f t="array" ref="B19">B7</f>
        <v>Francia</v>
      </c>
      <c r="C19" s="309">
        <v>1</v>
      </c>
      <c r="D19" s="310">
        <v>2</v>
      </c>
      <c r="E19" s="407" t="str" cm="1">
        <f t="array" ref="E19">B11</f>
        <v>España</v>
      </c>
      <c r="F19" s="401"/>
      <c r="G19" s="406" t="s">
        <v>303</v>
      </c>
      <c r="H19" s="308" t="str" cm="1">
        <f t="array" ref="H19">H7</f>
        <v>Brasil</v>
      </c>
      <c r="I19" s="309">
        <v>1</v>
      </c>
      <c r="J19" s="310">
        <v>2</v>
      </c>
      <c r="K19" s="407" t="str" cm="1">
        <f t="array" ref="K19">H11</f>
        <v>Argentina</v>
      </c>
      <c r="L19" s="402"/>
      <c r="M19" s="284"/>
      <c r="N19" s="393"/>
      <c r="O19" s="9"/>
      <c r="P19" s="447"/>
      <c r="Q19" s="448"/>
      <c r="R19" s="449" t="s">
        <v>25</v>
      </c>
      <c r="S19" s="450" t="s">
        <v>866</v>
      </c>
      <c r="T19" s="9"/>
      <c r="U19" s="9"/>
      <c r="V19" s="9"/>
      <c r="W19" s="9"/>
      <c r="X19" s="9"/>
      <c r="Y19" s="26"/>
    </row>
    <row r="20" spans="1:25" ht="14.25" customHeight="1">
      <c r="A20" s="409"/>
      <c r="B20" s="410" t="s">
        <v>253</v>
      </c>
      <c r="C20" s="411"/>
      <c r="D20" s="411"/>
      <c r="E20" s="412" t="str" cm="1">
        <f t="array" ref="E20">IF(AND(ISNUMBER(C19),ISNUMBER(D19),C19=D19),"Y","N")</f>
        <v>N</v>
      </c>
      <c r="F20" s="401"/>
      <c r="G20" s="409"/>
      <c r="H20" s="410" t="s">
        <v>253</v>
      </c>
      <c r="I20" s="411"/>
      <c r="J20" s="411"/>
      <c r="K20" s="412" t="str" cm="1">
        <f t="array" ref="K20">IF(AND(ISNUMBER(I19),ISNUMBER(J19),I19=J19),"Y","N")</f>
        <v>N</v>
      </c>
      <c r="L20" s="402"/>
      <c r="M20" s="284"/>
      <c r="N20" s="393"/>
      <c r="O20" s="9"/>
      <c r="P20" s="447"/>
      <c r="Q20" s="448"/>
      <c r="R20" s="449" t="s">
        <v>27</v>
      </c>
      <c r="S20" s="451" t="str" cm="1">
        <f t="array" ref="S20">IF(P8="-","-",Aux!BD7)</f>
        <v>No hay Revelación</v>
      </c>
      <c r="T20" s="9"/>
      <c r="U20" s="9"/>
      <c r="V20" s="9"/>
      <c r="W20" s="9"/>
      <c r="X20" s="9"/>
      <c r="Y20" s="26"/>
    </row>
    <row r="21" spans="1:25" ht="14.25" customHeight="1">
      <c r="A21" s="423"/>
      <c r="B21" s="452" t="str" cm="1">
        <f t="array" ref="B21">IF(AND(ISNUMBER(C19),ISNUMBER(D19)),IF((C19+C20)&gt;(D19+D20),B19,E19),"-")</f>
        <v>España</v>
      </c>
      <c r="C21" s="452" t="str" cm="1">
        <f t="array" ref="C21">E18</f>
        <v>W101</v>
      </c>
      <c r="D21" s="452"/>
      <c r="E21" s="452" t="str" cm="1">
        <f t="array" ref="E21">IF(AND(ISNUMBER(C19),ISNUMBER(D19)),IF((C19+C20)&gt;(D19+D20),E19,B19),"-")</f>
        <v>Francia</v>
      </c>
      <c r="F21" s="453"/>
      <c r="G21" s="454"/>
      <c r="H21" s="452" t="str" cm="1">
        <f t="array" ref="H21">IF(AND(ISNUMBER(I19),ISNUMBER(J19)),IF((I19+I20)&gt;(J19+J20),H19,K19),"-")</f>
        <v>Argentina</v>
      </c>
      <c r="I21" s="452" t="str" cm="1">
        <f t="array" ref="I21">K18</f>
        <v>W102</v>
      </c>
      <c r="J21" s="452"/>
      <c r="K21" s="452" t="str" cm="1">
        <f t="array" ref="K21">IF(AND(ISNUMBER(I19),ISNUMBER(J19)),IF((I19+I20)&gt;(J19+J20),K19,H19),"-")</f>
        <v>Brasil</v>
      </c>
      <c r="L21" s="283"/>
      <c r="M21" s="284"/>
      <c r="N21" s="393"/>
      <c r="O21" s="9"/>
      <c r="P21" s="447"/>
      <c r="Q21" s="448"/>
      <c r="R21" s="449" t="s">
        <v>28</v>
      </c>
      <c r="S21" s="451" t="str" cm="1">
        <f t="array" ref="S21">IF(P8="-","-",Aux!AY17)</f>
        <v>Paises Bajos</v>
      </c>
      <c r="T21" s="9"/>
      <c r="U21" s="9"/>
      <c r="V21" s="9"/>
      <c r="W21" s="9"/>
      <c r="X21" s="9"/>
      <c r="Y21" s="26"/>
    </row>
    <row r="22" spans="1:25" ht="14.25" customHeight="1">
      <c r="A22" s="281"/>
      <c r="B22" s="9"/>
      <c r="C22" s="9"/>
      <c r="D22" s="9"/>
      <c r="E22" s="9"/>
      <c r="F22" s="282"/>
      <c r="G22" s="282"/>
      <c r="H22" s="9"/>
      <c r="I22" s="9"/>
      <c r="J22" s="9"/>
      <c r="K22" s="9"/>
      <c r="L22" s="283"/>
      <c r="M22" s="284"/>
      <c r="N22" s="393"/>
      <c r="O22" s="9"/>
      <c r="P22" s="9"/>
      <c r="Q22" s="448"/>
      <c r="R22" s="449" t="s">
        <v>30</v>
      </c>
      <c r="S22" s="451" t="str" cm="1">
        <f t="array" ref="S22">IF(SUM('Groups Stage'!AA1:AA108)=3*4*12,Aux!BS4,"-")</f>
        <v>Alemania</v>
      </c>
      <c r="T22" s="9"/>
      <c r="U22" s="9"/>
      <c r="V22" s="9"/>
      <c r="W22" s="9"/>
      <c r="X22" s="9"/>
      <c r="Y22" s="26"/>
    </row>
    <row r="23" spans="1:25" ht="14.25" customHeight="1">
      <c r="A23" s="281"/>
      <c r="B23" s="9"/>
      <c r="C23" s="9"/>
      <c r="D23" s="9"/>
      <c r="E23" s="9"/>
      <c r="F23" s="282"/>
      <c r="G23" s="282"/>
      <c r="H23" s="9"/>
      <c r="I23" s="9"/>
      <c r="J23" s="9"/>
      <c r="K23" s="9"/>
      <c r="L23" s="283"/>
      <c r="M23" s="284"/>
      <c r="N23" s="393"/>
      <c r="O23" s="9"/>
      <c r="P23" s="9"/>
      <c r="Q23" s="448"/>
      <c r="R23" s="449" t="s">
        <v>32</v>
      </c>
      <c r="S23" s="451" t="str" cm="1">
        <f t="array" ref="S23">IF(SUM('Groups Stage'!AA1:AA108)=3*4*12,Aux!AX22,"-")</f>
        <v>Haiti</v>
      </c>
      <c r="T23" s="9"/>
      <c r="U23" s="9"/>
      <c r="V23" s="9"/>
      <c r="W23" s="9"/>
      <c r="X23" s="9"/>
      <c r="Y23" s="26"/>
    </row>
    <row r="24" spans="1:25" ht="14.25" customHeight="1">
      <c r="A24" s="281"/>
      <c r="B24" s="9"/>
      <c r="C24" s="9"/>
      <c r="D24" s="9"/>
      <c r="E24" s="9"/>
      <c r="F24" s="282"/>
      <c r="G24" s="282"/>
      <c r="H24" s="9"/>
      <c r="I24" s="9"/>
      <c r="J24" s="9"/>
      <c r="K24" s="9"/>
      <c r="L24" s="283"/>
      <c r="M24" s="284"/>
      <c r="N24" s="393"/>
      <c r="O24" s="9"/>
      <c r="P24" s="9"/>
      <c r="Q24" s="455"/>
      <c r="R24" s="455"/>
      <c r="S24" s="455"/>
      <c r="T24" s="9"/>
      <c r="U24" s="9"/>
      <c r="V24" s="9"/>
      <c r="W24" s="9"/>
      <c r="X24" s="9"/>
      <c r="Y24" s="26"/>
    </row>
    <row r="25" spans="1:25" ht="15.95" customHeight="1">
      <c r="A25" s="281"/>
      <c r="B25" s="9"/>
      <c r="C25" s="9"/>
      <c r="D25" s="9"/>
      <c r="E25" s="9"/>
      <c r="F25" s="282"/>
      <c r="G25" s="282"/>
      <c r="H25" s="9"/>
      <c r="I25" s="9"/>
      <c r="J25" s="9"/>
      <c r="K25" s="9"/>
      <c r="L25" s="283"/>
      <c r="M25" s="284"/>
      <c r="N25" s="393"/>
      <c r="O25" s="804" t="str" cm="1">
        <f t="array" ref="O25">IF(AND(ISNUMBER(Q4),ISNUMBER(R4)),_xlfn.XLOOKUP('Total Results'!$D$2,Comentarios!$A1:$A21,Comentarios!$B1:$B21,Comentarios!$B$12,0),"")</f>
        <v>Y… usted apuesta a "lo seguro"… Una España renovada siendo sin duda top 3 del mundo por estos tiempos. Su elección es la clásica elección del cobarde, aquel que no sabe disfrutar de las hermosas cosas que el fútbol nos ofrece, aquel que quiere anteponer la razón al corazón. Lo cual, en este mundo, sólo lo hará caer al  más profundo abismo de la desolación.</v>
      </c>
      <c r="P25" s="804"/>
      <c r="Q25" s="804"/>
      <c r="R25" s="804"/>
      <c r="S25" s="804"/>
      <c r="T25" s="804"/>
      <c r="U25" s="804"/>
      <c r="V25" s="804"/>
      <c r="W25" s="804"/>
      <c r="X25" s="804"/>
      <c r="Y25" s="26"/>
    </row>
    <row r="26" spans="1:25" ht="14.25" customHeight="1">
      <c r="A26" s="281"/>
      <c r="B26" s="9"/>
      <c r="C26" s="9"/>
      <c r="D26" s="9"/>
      <c r="E26" s="9"/>
      <c r="F26" s="282"/>
      <c r="G26" s="282"/>
      <c r="H26" s="9"/>
      <c r="I26" s="9"/>
      <c r="J26" s="9"/>
      <c r="K26" s="9"/>
      <c r="L26" s="283"/>
      <c r="M26" s="284"/>
      <c r="N26" s="393"/>
      <c r="O26" s="804"/>
      <c r="P26" s="804"/>
      <c r="Q26" s="804"/>
      <c r="R26" s="804"/>
      <c r="S26" s="804"/>
      <c r="T26" s="804"/>
      <c r="U26" s="804"/>
      <c r="V26" s="804"/>
      <c r="W26" s="804"/>
      <c r="X26" s="804"/>
      <c r="Y26" s="26"/>
    </row>
    <row r="27" spans="1:25" ht="14.25" customHeight="1">
      <c r="A27" s="281"/>
      <c r="B27" s="9"/>
      <c r="C27" s="9"/>
      <c r="D27" s="9"/>
      <c r="E27" s="9"/>
      <c r="F27" s="282"/>
      <c r="G27" s="282"/>
      <c r="H27" s="9"/>
      <c r="I27" s="9"/>
      <c r="J27" s="9"/>
      <c r="K27" s="9"/>
      <c r="L27" s="283"/>
      <c r="M27" s="284"/>
      <c r="N27" s="393"/>
      <c r="O27" s="804"/>
      <c r="P27" s="804"/>
      <c r="Q27" s="804"/>
      <c r="R27" s="804"/>
      <c r="S27" s="804"/>
      <c r="T27" s="804"/>
      <c r="U27" s="804"/>
      <c r="V27" s="804"/>
      <c r="W27" s="804"/>
      <c r="X27" s="804"/>
      <c r="Y27" s="26"/>
    </row>
    <row r="28" spans="1:25" ht="14.25" customHeight="1">
      <c r="A28" s="281"/>
      <c r="B28" s="9"/>
      <c r="C28" s="9"/>
      <c r="D28" s="9"/>
      <c r="E28" s="9"/>
      <c r="F28" s="282"/>
      <c r="G28" s="282"/>
      <c r="H28" s="9"/>
      <c r="I28" s="9"/>
      <c r="J28" s="9"/>
      <c r="K28" s="9"/>
      <c r="L28" s="283"/>
      <c r="M28" s="284"/>
      <c r="N28" s="393"/>
      <c r="O28" s="804"/>
      <c r="P28" s="804"/>
      <c r="Q28" s="804"/>
      <c r="R28" s="804"/>
      <c r="S28" s="804"/>
      <c r="T28" s="804"/>
      <c r="U28" s="804"/>
      <c r="V28" s="804"/>
      <c r="W28" s="804"/>
      <c r="X28" s="804"/>
      <c r="Y28" s="26"/>
    </row>
    <row r="29" spans="1:25" ht="14.25" customHeight="1">
      <c r="A29" s="281"/>
      <c r="B29" s="9"/>
      <c r="C29" s="9"/>
      <c r="D29" s="9"/>
      <c r="E29" s="9"/>
      <c r="F29" s="282"/>
      <c r="G29" s="282"/>
      <c r="H29" s="9"/>
      <c r="I29" s="9"/>
      <c r="J29" s="9"/>
      <c r="K29" s="9"/>
      <c r="L29" s="283"/>
      <c r="M29" s="284"/>
      <c r="N29" s="393"/>
      <c r="O29" s="804"/>
      <c r="P29" s="804"/>
      <c r="Q29" s="804"/>
      <c r="R29" s="804"/>
      <c r="S29" s="804"/>
      <c r="T29" s="804"/>
      <c r="U29" s="804"/>
      <c r="V29" s="804"/>
      <c r="W29" s="804"/>
      <c r="X29" s="804"/>
      <c r="Y29" s="26"/>
    </row>
    <row r="30" spans="1:25" ht="14.25" customHeight="1">
      <c r="A30" s="281"/>
      <c r="B30" s="9"/>
      <c r="C30" s="9"/>
      <c r="D30" s="9"/>
      <c r="E30" s="9"/>
      <c r="F30" s="282"/>
      <c r="G30" s="282"/>
      <c r="H30" s="9"/>
      <c r="I30" s="9"/>
      <c r="J30" s="9"/>
      <c r="K30" s="9"/>
      <c r="L30" s="283"/>
      <c r="M30" s="284"/>
      <c r="N30" s="393"/>
      <c r="O30" s="804"/>
      <c r="P30" s="804"/>
      <c r="Q30" s="804"/>
      <c r="R30" s="804"/>
      <c r="S30" s="804"/>
      <c r="T30" s="804"/>
      <c r="U30" s="804"/>
      <c r="V30" s="804"/>
      <c r="W30" s="804"/>
      <c r="X30" s="804"/>
      <c r="Y30" s="26"/>
    </row>
    <row r="31" spans="1:25" ht="14.25" customHeight="1">
      <c r="A31" s="281"/>
      <c r="B31" s="9"/>
      <c r="C31" s="9"/>
      <c r="D31" s="9"/>
      <c r="E31" s="9"/>
      <c r="F31" s="282"/>
      <c r="G31" s="282"/>
      <c r="H31" s="9"/>
      <c r="I31" s="9"/>
      <c r="J31" s="9"/>
      <c r="K31" s="9"/>
      <c r="L31" s="283"/>
      <c r="M31" s="284"/>
      <c r="N31" s="393"/>
      <c r="O31" s="804"/>
      <c r="P31" s="804"/>
      <c r="Q31" s="804"/>
      <c r="R31" s="804"/>
      <c r="S31" s="804"/>
      <c r="T31" s="804"/>
      <c r="U31" s="804"/>
      <c r="V31" s="804"/>
      <c r="W31" s="804"/>
      <c r="X31" s="804"/>
      <c r="Y31" s="26"/>
    </row>
    <row r="32" spans="1:25" ht="14.25" customHeight="1">
      <c r="A32" s="281"/>
      <c r="B32" s="9"/>
      <c r="C32" s="9"/>
      <c r="D32" s="9"/>
      <c r="E32" s="9"/>
      <c r="F32" s="282"/>
      <c r="G32" s="282"/>
      <c r="H32" s="9"/>
      <c r="I32" s="9"/>
      <c r="J32" s="9"/>
      <c r="K32" s="9"/>
      <c r="L32" s="283"/>
      <c r="M32" s="284"/>
      <c r="N32" s="393"/>
      <c r="O32" s="804"/>
      <c r="P32" s="804"/>
      <c r="Q32" s="804"/>
      <c r="R32" s="804"/>
      <c r="S32" s="804"/>
      <c r="T32" s="804"/>
      <c r="U32" s="804"/>
      <c r="V32" s="804"/>
      <c r="W32" s="804"/>
      <c r="X32" s="804"/>
      <c r="Y32" s="26"/>
    </row>
    <row r="33" spans="1:25" ht="14.25" customHeight="1">
      <c r="A33" s="281"/>
      <c r="B33" s="9"/>
      <c r="C33" s="9"/>
      <c r="D33" s="9"/>
      <c r="E33" s="9"/>
      <c r="F33" s="282"/>
      <c r="G33" s="282"/>
      <c r="H33" s="9"/>
      <c r="I33" s="9"/>
      <c r="J33" s="9"/>
      <c r="K33" s="9"/>
      <c r="L33" s="283"/>
      <c r="M33" s="284"/>
      <c r="N33" s="393"/>
      <c r="O33" s="9"/>
      <c r="P33" s="9"/>
      <c r="Q33" s="9"/>
      <c r="R33" s="9"/>
      <c r="S33" s="9"/>
      <c r="T33" s="9"/>
      <c r="U33" s="9"/>
      <c r="V33" s="9"/>
      <c r="W33" s="9"/>
      <c r="X33" s="9"/>
      <c r="Y33" s="26"/>
    </row>
    <row r="34" spans="1:25" ht="14.25" customHeight="1">
      <c r="A34" s="281"/>
      <c r="B34" s="9"/>
      <c r="C34" s="9"/>
      <c r="D34" s="9"/>
      <c r="E34" s="9"/>
      <c r="F34" s="282"/>
      <c r="G34" s="282"/>
      <c r="H34" s="9"/>
      <c r="I34" s="9"/>
      <c r="J34" s="9"/>
      <c r="K34" s="9"/>
      <c r="L34" s="283"/>
      <c r="M34" s="284"/>
      <c r="N34" s="393"/>
      <c r="O34" s="9"/>
      <c r="P34" s="9"/>
      <c r="Q34" s="9"/>
      <c r="R34" s="9"/>
      <c r="S34" s="9"/>
      <c r="T34" s="9"/>
      <c r="U34" s="9"/>
      <c r="V34" s="9"/>
      <c r="W34" s="9"/>
      <c r="X34" s="9"/>
      <c r="Y34" s="26"/>
    </row>
    <row r="35" spans="1:25" ht="14.25" customHeight="1">
      <c r="A35" s="281"/>
      <c r="B35" s="9"/>
      <c r="C35" s="9"/>
      <c r="D35" s="9"/>
      <c r="E35" s="9"/>
      <c r="F35" s="282"/>
      <c r="G35" s="282"/>
      <c r="H35" s="9"/>
      <c r="I35" s="9"/>
      <c r="J35" s="9"/>
      <c r="K35" s="9"/>
      <c r="L35" s="283"/>
      <c r="M35" s="284"/>
      <c r="N35" s="393"/>
      <c r="O35" s="9"/>
      <c r="P35" s="9"/>
      <c r="Q35" s="9"/>
      <c r="R35" s="9"/>
      <c r="S35" s="9"/>
      <c r="T35" s="9"/>
      <c r="U35" s="9"/>
      <c r="V35" s="9"/>
      <c r="W35" s="9"/>
      <c r="X35" s="9"/>
      <c r="Y35" s="26"/>
    </row>
    <row r="36" spans="1:25" ht="14.25" customHeight="1">
      <c r="A36" s="281"/>
      <c r="B36" s="9"/>
      <c r="C36" s="9"/>
      <c r="D36" s="9"/>
      <c r="E36" s="9"/>
      <c r="F36" s="282"/>
      <c r="G36" s="282"/>
      <c r="H36" s="9"/>
      <c r="I36" s="9"/>
      <c r="J36" s="9"/>
      <c r="K36" s="9"/>
      <c r="L36" s="283"/>
      <c r="M36" s="284"/>
      <c r="N36" s="393"/>
      <c r="O36" s="9"/>
      <c r="P36" s="9"/>
      <c r="Q36" s="9"/>
      <c r="R36" s="9"/>
      <c r="S36" s="9"/>
      <c r="T36" s="9"/>
      <c r="U36" s="9"/>
      <c r="V36" s="9"/>
      <c r="W36" s="9"/>
      <c r="X36" s="9"/>
      <c r="Y36" s="26"/>
    </row>
    <row r="37" spans="1:25" ht="14.25" customHeight="1">
      <c r="A37" s="281"/>
      <c r="B37" s="9"/>
      <c r="C37" s="9"/>
      <c r="D37" s="9"/>
      <c r="E37" s="9"/>
      <c r="F37" s="282"/>
      <c r="G37" s="282"/>
      <c r="H37" s="9"/>
      <c r="I37" s="9"/>
      <c r="J37" s="9"/>
      <c r="K37" s="9"/>
      <c r="L37" s="283"/>
      <c r="M37" s="284"/>
      <c r="N37" s="393"/>
      <c r="O37" s="9"/>
      <c r="P37" s="9"/>
      <c r="Q37" s="9"/>
      <c r="R37" s="9"/>
      <c r="S37" s="9"/>
      <c r="T37" s="9"/>
      <c r="U37" s="9"/>
      <c r="V37" s="9"/>
      <c r="W37" s="9"/>
      <c r="X37" s="9"/>
      <c r="Y37" s="26"/>
    </row>
    <row r="38" spans="1:25" ht="14.25" customHeight="1">
      <c r="A38" s="281"/>
      <c r="B38" s="9"/>
      <c r="C38" s="9"/>
      <c r="D38" s="9"/>
      <c r="E38" s="9"/>
      <c r="F38" s="282"/>
      <c r="G38" s="282"/>
      <c r="H38" s="9"/>
      <c r="I38" s="9"/>
      <c r="J38" s="9"/>
      <c r="K38" s="9"/>
      <c r="L38" s="283"/>
      <c r="M38" s="284"/>
      <c r="N38" s="393"/>
      <c r="O38" s="9"/>
      <c r="P38" s="9"/>
      <c r="Q38" s="9"/>
      <c r="R38" s="9"/>
      <c r="S38" s="9"/>
      <c r="T38" s="9"/>
      <c r="U38" s="9"/>
      <c r="V38" s="9"/>
      <c r="W38" s="9"/>
      <c r="X38" s="9"/>
      <c r="Y38" s="26"/>
    </row>
    <row r="39" spans="1:25" ht="14.25" customHeight="1">
      <c r="A39" s="281"/>
      <c r="B39" s="9"/>
      <c r="C39" s="9"/>
      <c r="D39" s="9"/>
      <c r="E39" s="9"/>
      <c r="F39" s="282"/>
      <c r="G39" s="282"/>
      <c r="H39" s="9"/>
      <c r="I39" s="9"/>
      <c r="J39" s="9"/>
      <c r="K39" s="9"/>
      <c r="L39" s="283"/>
      <c r="M39" s="284"/>
      <c r="N39" s="393"/>
      <c r="O39" s="9"/>
      <c r="P39" s="9"/>
      <c r="Q39" s="9"/>
      <c r="R39" s="9"/>
      <c r="S39" s="9"/>
      <c r="T39" s="9"/>
      <c r="U39" s="9"/>
      <c r="V39" s="9"/>
      <c r="W39" s="9"/>
      <c r="X39" s="9"/>
      <c r="Y39" s="26"/>
    </row>
    <row r="40" spans="1:25" ht="14.25" customHeight="1">
      <c r="A40" s="281"/>
      <c r="B40" s="9"/>
      <c r="C40" s="9"/>
      <c r="D40" s="9"/>
      <c r="E40" s="9"/>
      <c r="F40" s="282"/>
      <c r="G40" s="282"/>
      <c r="H40" s="9"/>
      <c r="I40" s="9"/>
      <c r="J40" s="9"/>
      <c r="K40" s="9"/>
      <c r="L40" s="283"/>
      <c r="M40" s="284"/>
      <c r="N40" s="393"/>
      <c r="O40" s="9"/>
      <c r="P40" s="9"/>
      <c r="Q40" s="9"/>
      <c r="R40" s="9"/>
      <c r="S40" s="9"/>
      <c r="T40" s="9"/>
      <c r="U40" s="9"/>
      <c r="V40" s="9"/>
      <c r="W40" s="9"/>
      <c r="X40" s="9"/>
      <c r="Y40" s="26"/>
    </row>
    <row r="41" spans="1:25" ht="14.25" customHeight="1">
      <c r="A41" s="281"/>
      <c r="B41" s="9"/>
      <c r="C41" s="9"/>
      <c r="D41" s="9"/>
      <c r="E41" s="9"/>
      <c r="F41" s="282"/>
      <c r="G41" s="282"/>
      <c r="H41" s="9"/>
      <c r="I41" s="9"/>
      <c r="J41" s="9"/>
      <c r="K41" s="9"/>
      <c r="L41" s="283"/>
      <c r="M41" s="284"/>
      <c r="N41" s="393"/>
      <c r="O41" s="9"/>
      <c r="P41" s="9"/>
      <c r="Q41" s="9"/>
      <c r="R41" s="9"/>
      <c r="S41" s="9"/>
      <c r="T41" s="9"/>
      <c r="U41" s="9"/>
      <c r="V41" s="9"/>
      <c r="W41" s="9"/>
      <c r="X41" s="9"/>
      <c r="Y41" s="26"/>
    </row>
    <row r="42" spans="1:25" ht="14.25" customHeight="1">
      <c r="A42" s="281"/>
      <c r="B42" s="9"/>
      <c r="C42" s="9"/>
      <c r="D42" s="9"/>
      <c r="E42" s="9"/>
      <c r="F42" s="282"/>
      <c r="G42" s="282"/>
      <c r="H42" s="9"/>
      <c r="I42" s="9"/>
      <c r="J42" s="9"/>
      <c r="K42" s="9"/>
      <c r="L42" s="283"/>
      <c r="M42" s="284"/>
      <c r="N42" s="393"/>
      <c r="O42" s="9"/>
      <c r="P42" s="9"/>
      <c r="Q42" s="9"/>
      <c r="R42" s="9"/>
      <c r="S42" s="9"/>
      <c r="T42" s="9"/>
      <c r="U42" s="9"/>
      <c r="V42" s="9"/>
      <c r="W42" s="9"/>
      <c r="X42" s="9"/>
      <c r="Y42" s="26"/>
    </row>
    <row r="43" spans="1:25" ht="14.25" customHeight="1">
      <c r="A43" s="281"/>
      <c r="B43" s="9"/>
      <c r="C43" s="9"/>
      <c r="D43" s="9"/>
      <c r="E43" s="9"/>
      <c r="F43" s="282"/>
      <c r="G43" s="282"/>
      <c r="H43" s="9"/>
      <c r="I43" s="9"/>
      <c r="J43" s="9"/>
      <c r="K43" s="9"/>
      <c r="L43" s="283"/>
      <c r="M43" s="284"/>
      <c r="N43" s="393"/>
      <c r="O43" s="9"/>
      <c r="P43" s="9"/>
      <c r="Q43" s="9"/>
      <c r="R43" s="9"/>
      <c r="S43" s="9"/>
      <c r="T43" s="9"/>
      <c r="U43" s="9"/>
      <c r="V43" s="9"/>
      <c r="W43" s="9"/>
      <c r="X43" s="9"/>
      <c r="Y43" s="26"/>
    </row>
    <row r="44" spans="1:25" ht="14.25" customHeight="1">
      <c r="A44" s="281"/>
      <c r="B44" s="9"/>
      <c r="C44" s="9"/>
      <c r="D44" s="9"/>
      <c r="E44" s="9"/>
      <c r="F44" s="282"/>
      <c r="G44" s="282"/>
      <c r="H44" s="9"/>
      <c r="I44" s="9"/>
      <c r="J44" s="9"/>
      <c r="K44" s="9"/>
      <c r="L44" s="283"/>
      <c r="M44" s="284"/>
      <c r="N44" s="393"/>
      <c r="O44" s="9"/>
      <c r="P44" s="9"/>
      <c r="Q44" s="9"/>
      <c r="R44" s="9"/>
      <c r="S44" s="9"/>
      <c r="T44" s="9"/>
      <c r="U44" s="9"/>
      <c r="V44" s="9"/>
      <c r="W44" s="9"/>
      <c r="X44" s="9"/>
      <c r="Y44" s="26"/>
    </row>
    <row r="45" spans="1:25" ht="14.25" customHeight="1">
      <c r="A45" s="281"/>
      <c r="B45" s="9"/>
      <c r="C45" s="9"/>
      <c r="D45" s="9"/>
      <c r="E45" s="9"/>
      <c r="F45" s="282"/>
      <c r="G45" s="282"/>
      <c r="H45" s="9"/>
      <c r="I45" s="9"/>
      <c r="J45" s="9"/>
      <c r="K45" s="9"/>
      <c r="L45" s="283"/>
      <c r="M45" s="284"/>
      <c r="N45" s="393"/>
      <c r="O45" s="9"/>
      <c r="P45" s="9"/>
      <c r="Q45" s="9"/>
      <c r="R45" s="9"/>
      <c r="S45" s="9"/>
      <c r="T45" s="9"/>
      <c r="U45" s="9"/>
      <c r="V45" s="9"/>
      <c r="W45" s="9"/>
      <c r="X45" s="9"/>
      <c r="Y45" s="26"/>
    </row>
    <row r="46" spans="1:25" ht="14.25" customHeight="1">
      <c r="A46" s="281"/>
      <c r="B46" s="9"/>
      <c r="C46" s="9"/>
      <c r="D46" s="9"/>
      <c r="E46" s="9"/>
      <c r="F46" s="282"/>
      <c r="G46" s="282"/>
      <c r="H46" s="9"/>
      <c r="I46" s="9"/>
      <c r="J46" s="9"/>
      <c r="K46" s="9"/>
      <c r="L46" s="283"/>
      <c r="M46" s="284"/>
      <c r="N46" s="393"/>
      <c r="O46" s="9"/>
      <c r="P46" s="9"/>
      <c r="Q46" s="9"/>
      <c r="R46" s="9"/>
      <c r="S46" s="9"/>
      <c r="T46" s="9"/>
      <c r="U46" s="9"/>
      <c r="V46" s="9"/>
      <c r="W46" s="9"/>
      <c r="X46" s="9"/>
      <c r="Y46" s="26"/>
    </row>
    <row r="47" spans="1:25" ht="14.25" customHeight="1">
      <c r="A47" s="281"/>
      <c r="B47" s="9"/>
      <c r="C47" s="9"/>
      <c r="D47" s="9"/>
      <c r="E47" s="9"/>
      <c r="F47" s="282"/>
      <c r="G47" s="282"/>
      <c r="H47" s="9"/>
      <c r="I47" s="9"/>
      <c r="J47" s="9"/>
      <c r="K47" s="9"/>
      <c r="L47" s="283"/>
      <c r="M47" s="284"/>
      <c r="N47" s="393"/>
      <c r="O47" s="9"/>
      <c r="P47" s="9"/>
      <c r="Q47" s="9"/>
      <c r="R47" s="9"/>
      <c r="S47" s="9"/>
      <c r="T47" s="9"/>
      <c r="U47" s="9"/>
      <c r="V47" s="9"/>
      <c r="W47" s="9"/>
      <c r="X47" s="9"/>
      <c r="Y47" s="26"/>
    </row>
    <row r="48" spans="1:25" ht="14.25" customHeight="1">
      <c r="A48" s="281"/>
      <c r="B48" s="9"/>
      <c r="C48" s="9"/>
      <c r="D48" s="9"/>
      <c r="E48" s="9"/>
      <c r="F48" s="282"/>
      <c r="G48" s="282"/>
      <c r="H48" s="9"/>
      <c r="I48" s="9"/>
      <c r="J48" s="9"/>
      <c r="K48" s="9"/>
      <c r="L48" s="283"/>
      <c r="M48" s="284"/>
      <c r="N48" s="393"/>
      <c r="O48" s="9"/>
      <c r="P48" s="9"/>
      <c r="Q48" s="9"/>
      <c r="R48" s="9"/>
      <c r="S48" s="9"/>
      <c r="T48" s="9"/>
      <c r="U48" s="9"/>
      <c r="V48" s="9"/>
      <c r="W48" s="9"/>
      <c r="X48" s="9"/>
      <c r="Y48" s="26"/>
    </row>
    <row r="49" spans="1:25" ht="14.25" customHeight="1">
      <c r="A49" s="281"/>
      <c r="B49" s="9"/>
      <c r="C49" s="9"/>
      <c r="D49" s="9"/>
      <c r="E49" s="9"/>
      <c r="F49" s="282"/>
      <c r="G49" s="282"/>
      <c r="H49" s="9"/>
      <c r="I49" s="9"/>
      <c r="J49" s="9"/>
      <c r="K49" s="9"/>
      <c r="L49" s="283"/>
      <c r="M49" s="284"/>
      <c r="N49" s="393"/>
      <c r="O49" s="9"/>
      <c r="P49" s="9"/>
      <c r="Q49" s="9"/>
      <c r="R49" s="9"/>
      <c r="S49" s="9"/>
      <c r="T49" s="9"/>
      <c r="U49" s="9"/>
      <c r="V49" s="9"/>
      <c r="W49" s="9"/>
      <c r="X49" s="9"/>
      <c r="Y49" s="26"/>
    </row>
    <row r="50" spans="1:25" ht="14.25" customHeight="1">
      <c r="A50" s="281"/>
      <c r="B50" s="9"/>
      <c r="C50" s="9"/>
      <c r="D50" s="9"/>
      <c r="E50" s="9"/>
      <c r="F50" s="282"/>
      <c r="G50" s="282"/>
      <c r="H50" s="9"/>
      <c r="I50" s="9"/>
      <c r="J50" s="9"/>
      <c r="K50" s="9"/>
      <c r="L50" s="283"/>
      <c r="M50" s="284"/>
      <c r="N50" s="393"/>
      <c r="O50" s="9"/>
      <c r="P50" s="9"/>
      <c r="Q50" s="9"/>
      <c r="R50" s="9"/>
      <c r="S50" s="9"/>
      <c r="T50" s="9"/>
      <c r="U50" s="9"/>
      <c r="V50" s="9"/>
      <c r="W50" s="9"/>
      <c r="X50" s="9"/>
      <c r="Y50" s="26"/>
    </row>
    <row r="51" spans="1:25" ht="14.25" customHeight="1">
      <c r="A51" s="281"/>
      <c r="B51" s="9"/>
      <c r="C51" s="9"/>
      <c r="D51" s="9"/>
      <c r="E51" s="9"/>
      <c r="F51" s="282"/>
      <c r="G51" s="282"/>
      <c r="H51" s="9"/>
      <c r="I51" s="9"/>
      <c r="J51" s="9"/>
      <c r="K51" s="9"/>
      <c r="L51" s="283"/>
      <c r="M51" s="284"/>
      <c r="N51" s="393"/>
      <c r="O51" s="9"/>
      <c r="P51" s="9"/>
      <c r="Q51" s="9"/>
      <c r="R51" s="9"/>
      <c r="S51" s="9"/>
      <c r="T51" s="9"/>
      <c r="U51" s="9"/>
      <c r="V51" s="9"/>
      <c r="W51" s="9"/>
      <c r="X51" s="9"/>
      <c r="Y51" s="26"/>
    </row>
    <row r="52" spans="1:25" ht="14.25" customHeight="1">
      <c r="A52" s="281"/>
      <c r="B52" s="9"/>
      <c r="C52" s="9"/>
      <c r="D52" s="9"/>
      <c r="E52" s="9"/>
      <c r="F52" s="282"/>
      <c r="G52" s="282"/>
      <c r="H52" s="9"/>
      <c r="I52" s="9"/>
      <c r="J52" s="9"/>
      <c r="K52" s="9"/>
      <c r="L52" s="283"/>
      <c r="M52" s="284"/>
      <c r="N52" s="393"/>
      <c r="O52" s="9"/>
      <c r="P52" s="9"/>
      <c r="Q52" s="9"/>
      <c r="R52" s="9"/>
      <c r="S52" s="9"/>
      <c r="T52" s="9"/>
      <c r="U52" s="9"/>
      <c r="V52" s="9"/>
      <c r="W52" s="9"/>
      <c r="X52" s="9"/>
      <c r="Y52" s="26"/>
    </row>
    <row r="53" spans="1:25" ht="14.25" customHeight="1">
      <c r="A53" s="281"/>
      <c r="B53" s="9"/>
      <c r="C53" s="9"/>
      <c r="D53" s="9"/>
      <c r="E53" s="9"/>
      <c r="F53" s="282"/>
      <c r="G53" s="282"/>
      <c r="H53" s="9"/>
      <c r="I53" s="9"/>
      <c r="J53" s="9"/>
      <c r="K53" s="9"/>
      <c r="L53" s="283"/>
      <c r="M53" s="284"/>
      <c r="N53" s="393"/>
      <c r="O53" s="9"/>
      <c r="P53" s="9"/>
      <c r="Q53" s="9"/>
      <c r="R53" s="9"/>
      <c r="S53" s="9"/>
      <c r="T53" s="9"/>
      <c r="U53" s="9"/>
      <c r="V53" s="9"/>
      <c r="W53" s="9"/>
      <c r="X53" s="9"/>
      <c r="Y53" s="26"/>
    </row>
    <row r="54" spans="1:25" ht="14.25" customHeight="1">
      <c r="A54" s="281"/>
      <c r="B54" s="9"/>
      <c r="C54" s="9"/>
      <c r="D54" s="9"/>
      <c r="E54" s="9"/>
      <c r="F54" s="282"/>
      <c r="G54" s="282"/>
      <c r="H54" s="9"/>
      <c r="I54" s="9"/>
      <c r="J54" s="9"/>
      <c r="K54" s="9"/>
      <c r="L54" s="283"/>
      <c r="M54" s="284"/>
      <c r="N54" s="393"/>
      <c r="O54" s="9"/>
      <c r="P54" s="9"/>
      <c r="Q54" s="9"/>
      <c r="R54" s="9"/>
      <c r="S54" s="9"/>
      <c r="T54" s="9"/>
      <c r="U54" s="9"/>
      <c r="V54" s="9"/>
      <c r="W54" s="9"/>
      <c r="X54" s="9"/>
      <c r="Y54" s="26"/>
    </row>
    <row r="55" spans="1:25" ht="14.25" customHeight="1">
      <c r="A55" s="281"/>
      <c r="B55" s="9"/>
      <c r="C55" s="9"/>
      <c r="D55" s="9"/>
      <c r="E55" s="9"/>
      <c r="F55" s="282"/>
      <c r="G55" s="282"/>
      <c r="H55" s="9"/>
      <c r="I55" s="9"/>
      <c r="J55" s="9"/>
      <c r="K55" s="9"/>
      <c r="L55" s="283"/>
      <c r="M55" s="284"/>
      <c r="N55" s="393"/>
      <c r="O55" s="9"/>
      <c r="P55" s="9"/>
      <c r="Q55" s="9"/>
      <c r="R55" s="9"/>
      <c r="S55" s="9"/>
      <c r="T55" s="9"/>
      <c r="U55" s="9"/>
      <c r="V55" s="9"/>
      <c r="W55" s="9"/>
      <c r="X55" s="9"/>
      <c r="Y55" s="26"/>
    </row>
    <row r="56" spans="1:25" ht="14.25" customHeight="1">
      <c r="A56" s="281"/>
      <c r="B56" s="9"/>
      <c r="C56" s="9"/>
      <c r="D56" s="9"/>
      <c r="E56" s="9"/>
      <c r="F56" s="282"/>
      <c r="G56" s="282"/>
      <c r="H56" s="9"/>
      <c r="I56" s="9"/>
      <c r="J56" s="9"/>
      <c r="K56" s="9"/>
      <c r="L56" s="283"/>
      <c r="M56" s="284"/>
      <c r="N56" s="393"/>
      <c r="O56" s="9"/>
      <c r="P56" s="9"/>
      <c r="Q56" s="9"/>
      <c r="R56" s="9"/>
      <c r="S56" s="9"/>
      <c r="T56" s="9"/>
      <c r="U56" s="9"/>
      <c r="V56" s="9"/>
      <c r="W56" s="9"/>
      <c r="X56" s="9"/>
      <c r="Y56" s="26"/>
    </row>
    <row r="57" spans="1:25" ht="14.25" customHeight="1">
      <c r="A57" s="281"/>
      <c r="B57" s="9"/>
      <c r="C57" s="9"/>
      <c r="D57" s="9"/>
      <c r="E57" s="9"/>
      <c r="F57" s="282"/>
      <c r="G57" s="282"/>
      <c r="H57" s="9"/>
      <c r="I57" s="9"/>
      <c r="J57" s="9"/>
      <c r="K57" s="9"/>
      <c r="L57" s="283"/>
      <c r="M57" s="284"/>
      <c r="N57" s="393"/>
      <c r="O57" s="9"/>
      <c r="P57" s="9"/>
      <c r="Q57" s="9"/>
      <c r="R57" s="9"/>
      <c r="S57" s="9"/>
      <c r="T57" s="9"/>
      <c r="U57" s="9"/>
      <c r="V57" s="9"/>
      <c r="W57" s="9"/>
      <c r="X57" s="9"/>
      <c r="Y57" s="26"/>
    </row>
    <row r="58" spans="1:25" ht="14.25" customHeight="1">
      <c r="A58" s="281"/>
      <c r="B58" s="9"/>
      <c r="C58" s="9"/>
      <c r="D58" s="9"/>
      <c r="E58" s="9"/>
      <c r="F58" s="282"/>
      <c r="G58" s="282"/>
      <c r="H58" s="9"/>
      <c r="I58" s="9"/>
      <c r="J58" s="9"/>
      <c r="K58" s="9"/>
      <c r="L58" s="283"/>
      <c r="M58" s="284"/>
      <c r="N58" s="393"/>
      <c r="O58" s="9"/>
      <c r="P58" s="9"/>
      <c r="Q58" s="9"/>
      <c r="R58" s="9"/>
      <c r="S58" s="9"/>
      <c r="T58" s="9"/>
      <c r="U58" s="9"/>
      <c r="V58" s="9"/>
      <c r="W58" s="9"/>
      <c r="X58" s="9"/>
      <c r="Y58" s="26"/>
    </row>
    <row r="59" spans="1:25" ht="14.25" customHeight="1">
      <c r="A59" s="281"/>
      <c r="B59" s="9"/>
      <c r="C59" s="9"/>
      <c r="D59" s="9"/>
      <c r="E59" s="9"/>
      <c r="F59" s="282"/>
      <c r="G59" s="282"/>
      <c r="H59" s="9"/>
      <c r="I59" s="9"/>
      <c r="J59" s="9"/>
      <c r="K59" s="9"/>
      <c r="L59" s="283"/>
      <c r="M59" s="284"/>
      <c r="N59" s="393"/>
      <c r="O59" s="9"/>
      <c r="P59" s="9"/>
      <c r="Q59" s="9"/>
      <c r="R59" s="9"/>
      <c r="S59" s="9"/>
      <c r="T59" s="9"/>
      <c r="U59" s="9"/>
      <c r="V59" s="9"/>
      <c r="W59" s="9"/>
      <c r="X59" s="9"/>
      <c r="Y59" s="26"/>
    </row>
    <row r="60" spans="1:25" ht="14.25" customHeight="1">
      <c r="A60" s="281"/>
      <c r="B60" s="9"/>
      <c r="C60" s="9"/>
      <c r="D60" s="9"/>
      <c r="E60" s="9"/>
      <c r="F60" s="282"/>
      <c r="G60" s="282"/>
      <c r="H60" s="9"/>
      <c r="I60" s="9"/>
      <c r="J60" s="9"/>
      <c r="K60" s="9"/>
      <c r="L60" s="283"/>
      <c r="M60" s="284"/>
      <c r="N60" s="393"/>
      <c r="O60" s="9"/>
      <c r="P60" s="9"/>
      <c r="Q60" s="9"/>
      <c r="R60" s="9"/>
      <c r="S60" s="9"/>
      <c r="T60" s="9"/>
      <c r="U60" s="9"/>
      <c r="V60" s="9"/>
      <c r="W60" s="9"/>
      <c r="X60" s="9"/>
      <c r="Y60" s="26"/>
    </row>
    <row r="61" spans="1:25" ht="14.25" customHeight="1">
      <c r="A61" s="281"/>
      <c r="B61" s="9"/>
      <c r="C61" s="9"/>
      <c r="D61" s="9"/>
      <c r="E61" s="9"/>
      <c r="F61" s="282"/>
      <c r="G61" s="282"/>
      <c r="H61" s="9"/>
      <c r="I61" s="9"/>
      <c r="J61" s="9"/>
      <c r="K61" s="9"/>
      <c r="L61" s="283"/>
      <c r="M61" s="284"/>
      <c r="N61" s="393"/>
      <c r="O61" s="9"/>
      <c r="P61" s="9"/>
      <c r="Q61" s="9"/>
      <c r="R61" s="9"/>
      <c r="S61" s="9"/>
      <c r="T61" s="9"/>
      <c r="U61" s="9"/>
      <c r="V61" s="9"/>
      <c r="W61" s="9"/>
      <c r="X61" s="9"/>
      <c r="Y61" s="26"/>
    </row>
    <row r="62" spans="1:25" ht="14.25" customHeight="1">
      <c r="A62" s="281"/>
      <c r="B62" s="9"/>
      <c r="C62" s="9"/>
      <c r="D62" s="9"/>
      <c r="E62" s="9"/>
      <c r="F62" s="282"/>
      <c r="G62" s="282"/>
      <c r="H62" s="9"/>
      <c r="I62" s="9"/>
      <c r="J62" s="9"/>
      <c r="K62" s="9"/>
      <c r="L62" s="283"/>
      <c r="M62" s="284"/>
      <c r="N62" s="393"/>
      <c r="O62" s="9"/>
      <c r="P62" s="9"/>
      <c r="Q62" s="9"/>
      <c r="R62" s="9"/>
      <c r="S62" s="9"/>
      <c r="T62" s="9"/>
      <c r="U62" s="9"/>
      <c r="V62" s="9"/>
      <c r="W62" s="9"/>
      <c r="X62" s="9"/>
      <c r="Y62" s="26"/>
    </row>
    <row r="63" spans="1:25" ht="14.25" customHeight="1">
      <c r="A63" s="281"/>
      <c r="B63" s="9"/>
      <c r="C63" s="9"/>
      <c r="D63" s="9"/>
      <c r="E63" s="9"/>
      <c r="F63" s="282"/>
      <c r="G63" s="282"/>
      <c r="H63" s="9"/>
      <c r="I63" s="9"/>
      <c r="J63" s="9"/>
      <c r="K63" s="9"/>
      <c r="L63" s="283"/>
      <c r="M63" s="284"/>
      <c r="N63" s="393"/>
      <c r="O63" s="9"/>
      <c r="P63" s="9"/>
      <c r="Q63" s="9"/>
      <c r="R63" s="9"/>
      <c r="S63" s="9"/>
      <c r="T63" s="9"/>
      <c r="U63" s="9"/>
      <c r="V63" s="9"/>
      <c r="W63" s="9"/>
      <c r="X63" s="9"/>
      <c r="Y63" s="26"/>
    </row>
    <row r="64" spans="1:25" ht="14.25" customHeight="1">
      <c r="A64" s="281"/>
      <c r="B64" s="9"/>
      <c r="C64" s="9"/>
      <c r="D64" s="9"/>
      <c r="E64" s="9"/>
      <c r="F64" s="282"/>
      <c r="G64" s="282"/>
      <c r="H64" s="9"/>
      <c r="I64" s="9"/>
      <c r="J64" s="9"/>
      <c r="K64" s="9"/>
      <c r="L64" s="283"/>
      <c r="M64" s="284"/>
      <c r="N64" s="393"/>
      <c r="O64" s="9"/>
      <c r="P64" s="9"/>
      <c r="Q64" s="9"/>
      <c r="R64" s="9"/>
      <c r="S64" s="9"/>
      <c r="T64" s="9"/>
      <c r="U64" s="9"/>
      <c r="V64" s="9"/>
      <c r="W64" s="9"/>
      <c r="X64" s="9"/>
      <c r="Y64" s="26"/>
    </row>
    <row r="65" spans="1:25" ht="14.25" customHeight="1">
      <c r="A65" s="281"/>
      <c r="B65" s="9"/>
      <c r="C65" s="9"/>
      <c r="D65" s="9"/>
      <c r="E65" s="9"/>
      <c r="F65" s="282"/>
      <c r="G65" s="282"/>
      <c r="H65" s="9"/>
      <c r="I65" s="9"/>
      <c r="J65" s="9"/>
      <c r="K65" s="9"/>
      <c r="L65" s="283"/>
      <c r="M65" s="284"/>
      <c r="N65" s="393"/>
      <c r="O65" s="9"/>
      <c r="P65" s="9"/>
      <c r="Q65" s="9"/>
      <c r="R65" s="9"/>
      <c r="S65" s="9"/>
      <c r="T65" s="9"/>
      <c r="U65" s="9"/>
      <c r="V65" s="9"/>
      <c r="W65" s="9"/>
      <c r="X65" s="9"/>
      <c r="Y65" s="26"/>
    </row>
    <row r="66" spans="1:25" ht="14.25" customHeight="1">
      <c r="A66" s="281"/>
      <c r="B66" s="9"/>
      <c r="C66" s="9"/>
      <c r="D66" s="9"/>
      <c r="E66" s="9"/>
      <c r="F66" s="282"/>
      <c r="G66" s="282"/>
      <c r="H66" s="9"/>
      <c r="I66" s="9"/>
      <c r="J66" s="9"/>
      <c r="K66" s="9"/>
      <c r="L66" s="283"/>
      <c r="M66" s="284"/>
      <c r="N66" s="393"/>
      <c r="O66" s="9"/>
      <c r="P66" s="9"/>
      <c r="Q66" s="9"/>
      <c r="R66" s="9"/>
      <c r="S66" s="9"/>
      <c r="T66" s="9"/>
      <c r="U66" s="9"/>
      <c r="V66" s="9"/>
      <c r="W66" s="9"/>
      <c r="X66" s="9"/>
      <c r="Y66" s="26"/>
    </row>
    <row r="67" spans="1:25" ht="14.25" customHeight="1">
      <c r="A67" s="281"/>
      <c r="B67" s="9"/>
      <c r="C67" s="9"/>
      <c r="D67" s="9"/>
      <c r="E67" s="9"/>
      <c r="F67" s="282"/>
      <c r="G67" s="282"/>
      <c r="H67" s="9"/>
      <c r="I67" s="9"/>
      <c r="J67" s="9"/>
      <c r="K67" s="9"/>
      <c r="L67" s="283"/>
      <c r="M67" s="284"/>
      <c r="N67" s="393"/>
      <c r="O67" s="9"/>
      <c r="P67" s="9"/>
      <c r="Q67" s="9"/>
      <c r="R67" s="9"/>
      <c r="S67" s="9"/>
      <c r="T67" s="9"/>
      <c r="U67" s="9"/>
      <c r="V67" s="9"/>
      <c r="W67" s="9"/>
      <c r="X67" s="9"/>
      <c r="Y67" s="26"/>
    </row>
    <row r="68" spans="1:25" ht="14.25" customHeight="1">
      <c r="A68" s="281"/>
      <c r="B68" s="9"/>
      <c r="C68" s="9"/>
      <c r="D68" s="9"/>
      <c r="E68" s="9"/>
      <c r="F68" s="282"/>
      <c r="G68" s="282"/>
      <c r="H68" s="9"/>
      <c r="I68" s="9"/>
      <c r="J68" s="9"/>
      <c r="K68" s="9"/>
      <c r="L68" s="283"/>
      <c r="M68" s="284"/>
      <c r="N68" s="393"/>
      <c r="O68" s="9"/>
      <c r="P68" s="9"/>
      <c r="Q68" s="9"/>
      <c r="R68" s="9"/>
      <c r="S68" s="9"/>
      <c r="T68" s="9"/>
      <c r="U68" s="9"/>
      <c r="V68" s="9"/>
      <c r="W68" s="9"/>
      <c r="X68" s="9"/>
      <c r="Y68" s="26"/>
    </row>
    <row r="69" spans="1:25" ht="14.25" customHeight="1">
      <c r="A69" s="281"/>
      <c r="B69" s="9"/>
      <c r="C69" s="9"/>
      <c r="D69" s="9"/>
      <c r="E69" s="9"/>
      <c r="F69" s="282"/>
      <c r="G69" s="282"/>
      <c r="H69" s="9"/>
      <c r="I69" s="9"/>
      <c r="J69" s="9"/>
      <c r="K69" s="9"/>
      <c r="L69" s="283"/>
      <c r="M69" s="284"/>
      <c r="N69" s="393"/>
      <c r="O69" s="9"/>
      <c r="P69" s="9"/>
      <c r="Q69" s="9"/>
      <c r="R69" s="9"/>
      <c r="S69" s="9"/>
      <c r="T69" s="9"/>
      <c r="U69" s="9"/>
      <c r="V69" s="9"/>
      <c r="W69" s="9"/>
      <c r="X69" s="9"/>
      <c r="Y69" s="26"/>
    </row>
    <row r="70" spans="1:25" ht="14.25" customHeight="1">
      <c r="A70" s="281"/>
      <c r="B70" s="9"/>
      <c r="C70" s="9"/>
      <c r="D70" s="9"/>
      <c r="E70" s="9"/>
      <c r="F70" s="282"/>
      <c r="G70" s="282"/>
      <c r="H70" s="9"/>
      <c r="I70" s="9"/>
      <c r="J70" s="9"/>
      <c r="K70" s="9"/>
      <c r="L70" s="283"/>
      <c r="M70" s="284"/>
      <c r="N70" s="393"/>
      <c r="O70" s="9"/>
      <c r="P70" s="9"/>
      <c r="Q70" s="9"/>
      <c r="R70" s="9"/>
      <c r="S70" s="9"/>
      <c r="T70" s="9"/>
      <c r="U70" s="9"/>
      <c r="V70" s="9"/>
      <c r="W70" s="9"/>
      <c r="X70" s="9"/>
      <c r="Y70" s="26"/>
    </row>
    <row r="71" spans="1:25" ht="14.25" customHeight="1">
      <c r="A71" s="281"/>
      <c r="B71" s="9"/>
      <c r="C71" s="9"/>
      <c r="D71" s="9"/>
      <c r="E71" s="9"/>
      <c r="F71" s="282"/>
      <c r="G71" s="282"/>
      <c r="H71" s="9"/>
      <c r="I71" s="9"/>
      <c r="J71" s="9"/>
      <c r="K71" s="9"/>
      <c r="L71" s="283"/>
      <c r="M71" s="284"/>
      <c r="N71" s="393"/>
      <c r="O71" s="9"/>
      <c r="P71" s="9"/>
      <c r="Q71" s="9"/>
      <c r="R71" s="9"/>
      <c r="S71" s="9"/>
      <c r="T71" s="9"/>
      <c r="U71" s="9"/>
      <c r="V71" s="9"/>
      <c r="W71" s="9"/>
      <c r="X71" s="9"/>
      <c r="Y71" s="26"/>
    </row>
    <row r="72" spans="1:25" ht="14.25" customHeight="1">
      <c r="A72" s="281"/>
      <c r="B72" s="9"/>
      <c r="C72" s="9"/>
      <c r="D72" s="9"/>
      <c r="E72" s="9"/>
      <c r="F72" s="282"/>
      <c r="G72" s="282"/>
      <c r="H72" s="9"/>
      <c r="I72" s="9"/>
      <c r="J72" s="9"/>
      <c r="K72" s="9"/>
      <c r="L72" s="283"/>
      <c r="M72" s="284"/>
      <c r="N72" s="393"/>
      <c r="O72" s="9"/>
      <c r="P72" s="9"/>
      <c r="Q72" s="9"/>
      <c r="R72" s="9"/>
      <c r="S72" s="9"/>
      <c r="T72" s="9"/>
      <c r="U72" s="9"/>
      <c r="V72" s="9"/>
      <c r="W72" s="9"/>
      <c r="X72" s="9"/>
      <c r="Y72" s="26"/>
    </row>
    <row r="73" spans="1:25" ht="14.25" customHeight="1">
      <c r="A73" s="281"/>
      <c r="B73" s="9"/>
      <c r="C73" s="9"/>
      <c r="D73" s="9"/>
      <c r="E73" s="9"/>
      <c r="F73" s="282"/>
      <c r="G73" s="282"/>
      <c r="H73" s="9"/>
      <c r="I73" s="9"/>
      <c r="J73" s="9"/>
      <c r="K73" s="9"/>
      <c r="L73" s="283"/>
      <c r="M73" s="284"/>
      <c r="N73" s="393"/>
      <c r="O73" s="9"/>
      <c r="P73" s="9"/>
      <c r="Q73" s="9"/>
      <c r="R73" s="9"/>
      <c r="S73" s="9"/>
      <c r="T73" s="9"/>
      <c r="U73" s="9"/>
      <c r="V73" s="9"/>
      <c r="W73" s="9"/>
      <c r="X73" s="9"/>
      <c r="Y73" s="26"/>
    </row>
    <row r="74" spans="1:25" ht="14.25" customHeight="1">
      <c r="A74" s="281"/>
      <c r="B74" s="9"/>
      <c r="C74" s="9"/>
      <c r="D74" s="9"/>
      <c r="E74" s="9"/>
      <c r="F74" s="282"/>
      <c r="G74" s="282"/>
      <c r="H74" s="9"/>
      <c r="I74" s="9"/>
      <c r="J74" s="9"/>
      <c r="K74" s="9"/>
      <c r="L74" s="283"/>
      <c r="M74" s="284"/>
      <c r="N74" s="393"/>
      <c r="O74" s="9"/>
      <c r="P74" s="9"/>
      <c r="Q74" s="9"/>
      <c r="R74" s="9"/>
      <c r="S74" s="9"/>
      <c r="T74" s="9"/>
      <c r="U74" s="9"/>
      <c r="V74" s="9"/>
      <c r="W74" s="9"/>
      <c r="X74" s="9"/>
      <c r="Y74" s="26"/>
    </row>
    <row r="75" spans="1:25" ht="14.25" customHeight="1">
      <c r="A75" s="281"/>
      <c r="B75" s="9"/>
      <c r="C75" s="9"/>
      <c r="D75" s="9"/>
      <c r="E75" s="9"/>
      <c r="F75" s="282"/>
      <c r="G75" s="282"/>
      <c r="H75" s="9"/>
      <c r="I75" s="9"/>
      <c r="J75" s="9"/>
      <c r="K75" s="9"/>
      <c r="L75" s="283"/>
      <c r="M75" s="284"/>
      <c r="N75" s="393"/>
      <c r="O75" s="9"/>
      <c r="P75" s="9"/>
      <c r="Q75" s="9"/>
      <c r="R75" s="9"/>
      <c r="S75" s="9"/>
      <c r="T75" s="9"/>
      <c r="U75" s="9"/>
      <c r="V75" s="9"/>
      <c r="W75" s="9"/>
      <c r="X75" s="9"/>
      <c r="Y75" s="26"/>
    </row>
    <row r="76" spans="1:25" ht="14.25" customHeight="1">
      <c r="A76" s="281"/>
      <c r="B76" s="9"/>
      <c r="C76" s="9"/>
      <c r="D76" s="9"/>
      <c r="E76" s="9"/>
      <c r="F76" s="282"/>
      <c r="G76" s="282"/>
      <c r="H76" s="9"/>
      <c r="I76" s="9"/>
      <c r="J76" s="9"/>
      <c r="K76" s="9"/>
      <c r="L76" s="283"/>
      <c r="M76" s="284"/>
      <c r="N76" s="393"/>
      <c r="O76" s="9"/>
      <c r="P76" s="9"/>
      <c r="Q76" s="9"/>
      <c r="R76" s="9"/>
      <c r="S76" s="9"/>
      <c r="T76" s="9"/>
      <c r="U76" s="9"/>
      <c r="V76" s="9"/>
      <c r="W76" s="9"/>
      <c r="X76" s="9"/>
      <c r="Y76" s="26"/>
    </row>
    <row r="77" spans="1:25" ht="14.25" customHeight="1">
      <c r="A77" s="281"/>
      <c r="B77" s="9"/>
      <c r="C77" s="9"/>
      <c r="D77" s="9"/>
      <c r="E77" s="9"/>
      <c r="F77" s="282"/>
      <c r="G77" s="282"/>
      <c r="H77" s="9"/>
      <c r="I77" s="9"/>
      <c r="J77" s="9"/>
      <c r="K77" s="9"/>
      <c r="L77" s="283"/>
      <c r="M77" s="284"/>
      <c r="N77" s="393"/>
      <c r="O77" s="9"/>
      <c r="P77" s="9"/>
      <c r="Q77" s="9"/>
      <c r="R77" s="9"/>
      <c r="S77" s="9"/>
      <c r="T77" s="9"/>
      <c r="U77" s="9"/>
      <c r="V77" s="9"/>
      <c r="W77" s="9"/>
      <c r="X77" s="9"/>
      <c r="Y77" s="26"/>
    </row>
    <row r="78" spans="1:25" ht="14.25" customHeight="1">
      <c r="A78" s="281"/>
      <c r="B78" s="9"/>
      <c r="C78" s="9"/>
      <c r="D78" s="9"/>
      <c r="E78" s="9"/>
      <c r="F78" s="282"/>
      <c r="G78" s="282"/>
      <c r="H78" s="9"/>
      <c r="I78" s="9"/>
      <c r="J78" s="9"/>
      <c r="K78" s="9"/>
      <c r="L78" s="283"/>
      <c r="M78" s="284"/>
      <c r="N78" s="393"/>
      <c r="O78" s="9"/>
      <c r="P78" s="9"/>
      <c r="Q78" s="9"/>
      <c r="R78" s="9"/>
      <c r="S78" s="9"/>
      <c r="T78" s="9"/>
      <c r="U78" s="9"/>
      <c r="V78" s="9"/>
      <c r="W78" s="9"/>
      <c r="X78" s="9"/>
      <c r="Y78" s="26"/>
    </row>
    <row r="79" spans="1:25" ht="14.25" customHeight="1">
      <c r="A79" s="281"/>
      <c r="B79" s="9"/>
      <c r="C79" s="9"/>
      <c r="D79" s="9"/>
      <c r="E79" s="9"/>
      <c r="F79" s="282"/>
      <c r="G79" s="282"/>
      <c r="H79" s="9"/>
      <c r="I79" s="9"/>
      <c r="J79" s="9"/>
      <c r="K79" s="9"/>
      <c r="L79" s="283"/>
      <c r="M79" s="284"/>
      <c r="N79" s="393"/>
      <c r="O79" s="9"/>
      <c r="P79" s="9"/>
      <c r="Q79" s="9"/>
      <c r="R79" s="9"/>
      <c r="S79" s="9"/>
      <c r="T79" s="9"/>
      <c r="U79" s="9"/>
      <c r="V79" s="9"/>
      <c r="W79" s="9"/>
      <c r="X79" s="9"/>
      <c r="Y79" s="26"/>
    </row>
    <row r="80" spans="1:25" ht="14.25" customHeight="1">
      <c r="A80" s="281"/>
      <c r="B80" s="9"/>
      <c r="C80" s="9"/>
      <c r="D80" s="9"/>
      <c r="E80" s="9"/>
      <c r="F80" s="282"/>
      <c r="G80" s="282"/>
      <c r="H80" s="9"/>
      <c r="I80" s="9"/>
      <c r="J80" s="9"/>
      <c r="K80" s="9"/>
      <c r="L80" s="283"/>
      <c r="M80" s="284"/>
      <c r="N80" s="393"/>
      <c r="O80" s="9"/>
      <c r="P80" s="9"/>
      <c r="Q80" s="9"/>
      <c r="R80" s="9"/>
      <c r="S80" s="9"/>
      <c r="T80" s="9"/>
      <c r="U80" s="9"/>
      <c r="V80" s="9"/>
      <c r="W80" s="9"/>
      <c r="X80" s="9"/>
      <c r="Y80" s="26"/>
    </row>
    <row r="81" spans="1:25" ht="14.25" customHeight="1">
      <c r="A81" s="281"/>
      <c r="B81" s="9"/>
      <c r="C81" s="9"/>
      <c r="D81" s="9"/>
      <c r="E81" s="9"/>
      <c r="F81" s="282"/>
      <c r="G81" s="282"/>
      <c r="H81" s="9"/>
      <c r="I81" s="9"/>
      <c r="J81" s="9"/>
      <c r="K81" s="9"/>
      <c r="L81" s="283"/>
      <c r="M81" s="284"/>
      <c r="N81" s="393"/>
      <c r="O81" s="9"/>
      <c r="P81" s="9"/>
      <c r="Q81" s="9"/>
      <c r="R81" s="9"/>
      <c r="S81" s="9"/>
      <c r="T81" s="9"/>
      <c r="U81" s="9"/>
      <c r="V81" s="9"/>
      <c r="W81" s="9"/>
      <c r="X81" s="9"/>
      <c r="Y81" s="26"/>
    </row>
    <row r="82" spans="1:25" ht="14.25" customHeight="1">
      <c r="A82" s="281"/>
      <c r="B82" s="9"/>
      <c r="C82" s="9"/>
      <c r="D82" s="9"/>
      <c r="E82" s="9"/>
      <c r="F82" s="282"/>
      <c r="G82" s="282"/>
      <c r="H82" s="9"/>
      <c r="I82" s="9"/>
      <c r="J82" s="9"/>
      <c r="K82" s="9"/>
      <c r="L82" s="283"/>
      <c r="M82" s="284"/>
      <c r="N82" s="393"/>
      <c r="O82" s="9"/>
      <c r="P82" s="9"/>
      <c r="Q82" s="9"/>
      <c r="R82" s="9"/>
      <c r="S82" s="9"/>
      <c r="T82" s="9"/>
      <c r="U82" s="9"/>
      <c r="V82" s="9"/>
      <c r="W82" s="9"/>
      <c r="X82" s="9"/>
      <c r="Y82" s="26"/>
    </row>
    <row r="83" spans="1:25" ht="14.25" customHeight="1">
      <c r="A83" s="281"/>
      <c r="B83" s="9"/>
      <c r="C83" s="9"/>
      <c r="D83" s="9"/>
      <c r="E83" s="9"/>
      <c r="F83" s="282"/>
      <c r="G83" s="282"/>
      <c r="H83" s="9"/>
      <c r="I83" s="9"/>
      <c r="J83" s="9"/>
      <c r="K83" s="9"/>
      <c r="L83" s="283"/>
      <c r="M83" s="284"/>
      <c r="N83" s="393"/>
      <c r="O83" s="9"/>
      <c r="P83" s="9"/>
      <c r="Q83" s="9"/>
      <c r="R83" s="9"/>
      <c r="S83" s="9"/>
      <c r="T83" s="9"/>
      <c r="U83" s="9"/>
      <c r="V83" s="9"/>
      <c r="W83" s="9"/>
      <c r="X83" s="9"/>
      <c r="Y83" s="26"/>
    </row>
    <row r="84" spans="1:25" ht="14.25" customHeight="1">
      <c r="A84" s="281"/>
      <c r="B84" s="9"/>
      <c r="C84" s="9"/>
      <c r="D84" s="9"/>
      <c r="E84" s="9"/>
      <c r="F84" s="282"/>
      <c r="G84" s="282"/>
      <c r="H84" s="9"/>
      <c r="I84" s="9"/>
      <c r="J84" s="9"/>
      <c r="K84" s="9"/>
      <c r="L84" s="283"/>
      <c r="M84" s="284"/>
      <c r="N84" s="393"/>
      <c r="O84" s="9"/>
      <c r="P84" s="9"/>
      <c r="Q84" s="9"/>
      <c r="R84" s="9"/>
      <c r="S84" s="9"/>
      <c r="T84" s="9"/>
      <c r="U84" s="9"/>
      <c r="V84" s="9"/>
      <c r="W84" s="9"/>
      <c r="X84" s="9"/>
      <c r="Y84" s="26"/>
    </row>
    <row r="85" spans="1:25" ht="14.25" customHeight="1">
      <c r="A85" s="281"/>
      <c r="B85" s="9"/>
      <c r="C85" s="9"/>
      <c r="D85" s="9"/>
      <c r="E85" s="9"/>
      <c r="F85" s="282"/>
      <c r="G85" s="282"/>
      <c r="H85" s="9"/>
      <c r="I85" s="9"/>
      <c r="J85" s="9"/>
      <c r="K85" s="9"/>
      <c r="L85" s="283"/>
      <c r="M85" s="284"/>
      <c r="N85" s="393"/>
      <c r="O85" s="9"/>
      <c r="P85" s="9"/>
      <c r="Q85" s="9"/>
      <c r="R85" s="9"/>
      <c r="S85" s="9"/>
      <c r="T85" s="9"/>
      <c r="U85" s="9"/>
      <c r="V85" s="9"/>
      <c r="W85" s="9"/>
      <c r="X85" s="9"/>
      <c r="Y85" s="26"/>
    </row>
    <row r="86" spans="1:25" ht="14.25" customHeight="1">
      <c r="A86" s="281"/>
      <c r="B86" s="9"/>
      <c r="C86" s="9"/>
      <c r="D86" s="9"/>
      <c r="E86" s="9"/>
      <c r="F86" s="282"/>
      <c r="G86" s="282"/>
      <c r="H86" s="9"/>
      <c r="I86" s="9"/>
      <c r="J86" s="9"/>
      <c r="K86" s="9"/>
      <c r="L86" s="283"/>
      <c r="M86" s="284"/>
      <c r="N86" s="393"/>
      <c r="O86" s="9"/>
      <c r="P86" s="9"/>
      <c r="Q86" s="9"/>
      <c r="R86" s="9"/>
      <c r="S86" s="9"/>
      <c r="T86" s="9"/>
      <c r="U86" s="9"/>
      <c r="V86" s="9"/>
      <c r="W86" s="9"/>
      <c r="X86" s="9"/>
      <c r="Y86" s="26"/>
    </row>
    <row r="87" spans="1:25" ht="14.25" customHeight="1">
      <c r="A87" s="281"/>
      <c r="B87" s="9"/>
      <c r="C87" s="9"/>
      <c r="D87" s="9"/>
      <c r="E87" s="9"/>
      <c r="F87" s="282"/>
      <c r="G87" s="282"/>
      <c r="H87" s="9"/>
      <c r="I87" s="9"/>
      <c r="J87" s="9"/>
      <c r="K87" s="9"/>
      <c r="L87" s="283"/>
      <c r="M87" s="284"/>
      <c r="N87" s="393"/>
      <c r="O87" s="9"/>
      <c r="P87" s="9"/>
      <c r="Q87" s="9"/>
      <c r="R87" s="9"/>
      <c r="S87" s="9"/>
      <c r="T87" s="9"/>
      <c r="U87" s="9"/>
      <c r="V87" s="9"/>
      <c r="W87" s="9"/>
      <c r="X87" s="9"/>
      <c r="Y87" s="26"/>
    </row>
    <row r="88" spans="1:25" ht="14.25" customHeight="1">
      <c r="A88" s="281"/>
      <c r="B88" s="9"/>
      <c r="C88" s="9"/>
      <c r="D88" s="9"/>
      <c r="E88" s="9"/>
      <c r="F88" s="282"/>
      <c r="G88" s="282"/>
      <c r="H88" s="9"/>
      <c r="I88" s="9"/>
      <c r="J88" s="9"/>
      <c r="K88" s="9"/>
      <c r="L88" s="283"/>
      <c r="M88" s="284"/>
      <c r="N88" s="393"/>
      <c r="O88" s="9"/>
      <c r="P88" s="9"/>
      <c r="Q88" s="9"/>
      <c r="R88" s="9"/>
      <c r="S88" s="9"/>
      <c r="T88" s="9"/>
      <c r="U88" s="9"/>
      <c r="V88" s="9"/>
      <c r="W88" s="9"/>
      <c r="X88" s="9"/>
      <c r="Y88" s="26"/>
    </row>
    <row r="89" spans="1:25" ht="14.25" customHeight="1">
      <c r="A89" s="281"/>
      <c r="B89" s="9"/>
      <c r="C89" s="9"/>
      <c r="D89" s="9"/>
      <c r="E89" s="9"/>
      <c r="F89" s="282"/>
      <c r="G89" s="282"/>
      <c r="H89" s="9"/>
      <c r="I89" s="9"/>
      <c r="J89" s="9"/>
      <c r="K89" s="9"/>
      <c r="L89" s="283"/>
      <c r="M89" s="284"/>
      <c r="N89" s="393"/>
      <c r="O89" s="9"/>
      <c r="P89" s="9"/>
      <c r="Q89" s="9"/>
      <c r="R89" s="9"/>
      <c r="S89" s="9"/>
      <c r="T89" s="9"/>
      <c r="U89" s="9"/>
      <c r="V89" s="9"/>
      <c r="W89" s="9"/>
      <c r="X89" s="9"/>
      <c r="Y89" s="26"/>
    </row>
    <row r="90" spans="1:25" ht="14.25" customHeight="1">
      <c r="A90" s="281"/>
      <c r="B90" s="9"/>
      <c r="C90" s="9"/>
      <c r="D90" s="9"/>
      <c r="E90" s="9"/>
      <c r="F90" s="282"/>
      <c r="G90" s="282"/>
      <c r="H90" s="9"/>
      <c r="I90" s="9"/>
      <c r="J90" s="9"/>
      <c r="K90" s="9"/>
      <c r="L90" s="283"/>
      <c r="M90" s="284"/>
      <c r="N90" s="393"/>
      <c r="O90" s="9"/>
      <c r="P90" s="9"/>
      <c r="Q90" s="9"/>
      <c r="R90" s="9"/>
      <c r="S90" s="9"/>
      <c r="T90" s="9"/>
      <c r="U90" s="9"/>
      <c r="V90" s="9"/>
      <c r="W90" s="9"/>
      <c r="X90" s="9"/>
      <c r="Y90" s="26"/>
    </row>
    <row r="91" spans="1:25" ht="14.25" customHeight="1">
      <c r="A91" s="281"/>
      <c r="B91" s="9"/>
      <c r="C91" s="9"/>
      <c r="D91" s="9"/>
      <c r="E91" s="9"/>
      <c r="F91" s="282"/>
      <c r="G91" s="282"/>
      <c r="H91" s="9"/>
      <c r="I91" s="9"/>
      <c r="J91" s="9"/>
      <c r="K91" s="9"/>
      <c r="L91" s="283"/>
      <c r="M91" s="284"/>
      <c r="N91" s="393"/>
      <c r="O91" s="9"/>
      <c r="P91" s="9"/>
      <c r="Q91" s="9"/>
      <c r="R91" s="9"/>
      <c r="S91" s="9"/>
      <c r="T91" s="9"/>
      <c r="U91" s="9"/>
      <c r="V91" s="9"/>
      <c r="W91" s="9"/>
      <c r="X91" s="9"/>
      <c r="Y91" s="26"/>
    </row>
    <row r="92" spans="1:25" ht="14.25" customHeight="1">
      <c r="A92" s="281"/>
      <c r="B92" s="9"/>
      <c r="C92" s="9"/>
      <c r="D92" s="9"/>
      <c r="E92" s="9"/>
      <c r="F92" s="282"/>
      <c r="G92" s="282"/>
      <c r="H92" s="9"/>
      <c r="I92" s="9"/>
      <c r="J92" s="9"/>
      <c r="K92" s="9"/>
      <c r="L92" s="283"/>
      <c r="M92" s="284"/>
      <c r="N92" s="393"/>
      <c r="O92" s="9"/>
      <c r="P92" s="9"/>
      <c r="Q92" s="9"/>
      <c r="R92" s="9"/>
      <c r="S92" s="9"/>
      <c r="T92" s="9"/>
      <c r="U92" s="9"/>
      <c r="V92" s="9"/>
      <c r="W92" s="9"/>
      <c r="X92" s="9"/>
      <c r="Y92" s="26"/>
    </row>
    <row r="93" spans="1:25" ht="14.25" customHeight="1">
      <c r="A93" s="281"/>
      <c r="B93" s="9"/>
      <c r="C93" s="9"/>
      <c r="D93" s="9"/>
      <c r="E93" s="9"/>
      <c r="F93" s="282"/>
      <c r="G93" s="282"/>
      <c r="H93" s="9"/>
      <c r="I93" s="9"/>
      <c r="J93" s="9"/>
      <c r="K93" s="9"/>
      <c r="L93" s="283"/>
      <c r="M93" s="284"/>
      <c r="N93" s="393"/>
      <c r="O93" s="9"/>
      <c r="P93" s="9"/>
      <c r="Q93" s="9"/>
      <c r="R93" s="9"/>
      <c r="S93" s="9"/>
      <c r="T93" s="9"/>
      <c r="U93" s="9"/>
      <c r="V93" s="9"/>
      <c r="W93" s="9"/>
      <c r="X93" s="9"/>
      <c r="Y93" s="26"/>
    </row>
    <row r="94" spans="1:25" ht="14.25" customHeight="1">
      <c r="A94" s="281"/>
      <c r="B94" s="9"/>
      <c r="C94" s="9"/>
      <c r="D94" s="9"/>
      <c r="E94" s="9"/>
      <c r="F94" s="282"/>
      <c r="G94" s="282"/>
      <c r="H94" s="9"/>
      <c r="I94" s="9"/>
      <c r="J94" s="9"/>
      <c r="K94" s="9"/>
      <c r="L94" s="283"/>
      <c r="M94" s="284"/>
      <c r="N94" s="393"/>
      <c r="O94" s="9"/>
      <c r="P94" s="9"/>
      <c r="Q94" s="9"/>
      <c r="R94" s="9"/>
      <c r="S94" s="9"/>
      <c r="T94" s="9"/>
      <c r="U94" s="9"/>
      <c r="V94" s="9"/>
      <c r="W94" s="9"/>
      <c r="X94" s="9"/>
      <c r="Y94" s="26"/>
    </row>
    <row r="95" spans="1:25" ht="14.25" customHeight="1">
      <c r="A95" s="281"/>
      <c r="B95" s="9"/>
      <c r="C95" s="9"/>
      <c r="D95" s="9"/>
      <c r="E95" s="9"/>
      <c r="F95" s="282"/>
      <c r="G95" s="282"/>
      <c r="H95" s="9"/>
      <c r="I95" s="9"/>
      <c r="J95" s="9"/>
      <c r="K95" s="9"/>
      <c r="L95" s="283"/>
      <c r="M95" s="284"/>
      <c r="N95" s="393"/>
      <c r="O95" s="9"/>
      <c r="P95" s="9"/>
      <c r="Q95" s="9"/>
      <c r="R95" s="9"/>
      <c r="S95" s="9"/>
      <c r="T95" s="9"/>
      <c r="U95" s="9"/>
      <c r="V95" s="9"/>
      <c r="W95" s="9"/>
      <c r="X95" s="9"/>
      <c r="Y95" s="26"/>
    </row>
    <row r="96" spans="1:25" ht="14.25" customHeight="1">
      <c r="A96" s="281"/>
      <c r="B96" s="9"/>
      <c r="C96" s="9"/>
      <c r="D96" s="9"/>
      <c r="E96" s="9"/>
      <c r="F96" s="282"/>
      <c r="G96" s="282"/>
      <c r="H96" s="9"/>
      <c r="I96" s="9"/>
      <c r="J96" s="9"/>
      <c r="K96" s="9"/>
      <c r="L96" s="283"/>
      <c r="M96" s="284"/>
      <c r="N96" s="393"/>
      <c r="O96" s="9"/>
      <c r="P96" s="9"/>
      <c r="Q96" s="9"/>
      <c r="R96" s="9"/>
      <c r="S96" s="9"/>
      <c r="T96" s="9"/>
      <c r="U96" s="9"/>
      <c r="V96" s="9"/>
      <c r="W96" s="9"/>
      <c r="X96" s="9"/>
      <c r="Y96" s="26"/>
    </row>
    <row r="97" spans="1:25" ht="14.25" customHeight="1">
      <c r="A97" s="281"/>
      <c r="B97" s="282"/>
      <c r="C97" s="282"/>
      <c r="D97" s="282"/>
      <c r="E97" s="282"/>
      <c r="F97" s="282"/>
      <c r="G97" s="282"/>
      <c r="H97" s="282"/>
      <c r="I97" s="282"/>
      <c r="J97" s="282"/>
      <c r="K97" s="282"/>
      <c r="L97" s="283"/>
      <c r="M97" s="284"/>
      <c r="N97" s="393"/>
      <c r="O97" s="9"/>
      <c r="P97" s="9"/>
      <c r="Q97" s="9"/>
      <c r="R97" s="9"/>
      <c r="S97" s="9"/>
      <c r="T97" s="9"/>
      <c r="U97" s="9"/>
      <c r="V97" s="9"/>
      <c r="W97" s="9"/>
      <c r="X97" s="9"/>
      <c r="Y97" s="26"/>
    </row>
    <row r="98" spans="1:25" ht="14.25" customHeight="1">
      <c r="A98" s="281"/>
      <c r="B98" s="282"/>
      <c r="C98" s="282"/>
      <c r="D98" s="282"/>
      <c r="E98" s="282"/>
      <c r="F98" s="282"/>
      <c r="G98" s="282"/>
      <c r="H98" s="282"/>
      <c r="I98" s="282"/>
      <c r="J98" s="282"/>
      <c r="K98" s="282"/>
      <c r="L98" s="283"/>
      <c r="M98" s="284"/>
      <c r="N98" s="393"/>
      <c r="O98" s="9"/>
      <c r="P98" s="9"/>
      <c r="Q98" s="9"/>
      <c r="R98" s="9"/>
      <c r="S98" s="9"/>
      <c r="T98" s="9"/>
      <c r="U98" s="9"/>
      <c r="V98" s="9"/>
      <c r="W98" s="9"/>
      <c r="X98" s="9"/>
      <c r="Y98" s="26"/>
    </row>
    <row r="99" spans="1:25" ht="14.25" customHeight="1">
      <c r="A99" s="281"/>
      <c r="B99" s="282"/>
      <c r="C99" s="282"/>
      <c r="D99" s="282"/>
      <c r="E99" s="282"/>
      <c r="F99" s="282"/>
      <c r="G99" s="282"/>
      <c r="H99" s="282"/>
      <c r="I99" s="282"/>
      <c r="J99" s="282"/>
      <c r="K99" s="282"/>
      <c r="L99" s="283"/>
      <c r="M99" s="284"/>
      <c r="N99" s="393"/>
      <c r="O99" s="9"/>
      <c r="P99" s="9"/>
      <c r="Q99" s="9"/>
      <c r="R99" s="9"/>
      <c r="S99" s="9"/>
      <c r="T99" s="9"/>
      <c r="U99" s="9"/>
      <c r="V99" s="9"/>
      <c r="W99" s="9"/>
      <c r="X99" s="9"/>
      <c r="Y99" s="26"/>
    </row>
    <row r="100" spans="1:25" ht="14.25" customHeight="1">
      <c r="A100" s="384"/>
      <c r="B100" s="385"/>
      <c r="C100" s="385"/>
      <c r="D100" s="385"/>
      <c r="E100" s="385"/>
      <c r="F100" s="385"/>
      <c r="G100" s="385"/>
      <c r="H100" s="385"/>
      <c r="I100" s="385"/>
      <c r="J100" s="385"/>
      <c r="K100" s="385"/>
      <c r="L100" s="386"/>
      <c r="M100" s="387"/>
      <c r="N100" s="456"/>
      <c r="O100" s="45"/>
      <c r="P100" s="45"/>
      <c r="Q100" s="45"/>
      <c r="R100" s="45"/>
      <c r="S100" s="45"/>
      <c r="T100" s="45"/>
      <c r="U100" s="45"/>
      <c r="V100" s="45"/>
      <c r="W100" s="45"/>
      <c r="X100" s="45"/>
      <c r="Y100" s="46"/>
    </row>
  </sheetData>
  <mergeCells count="5">
    <mergeCell ref="P4:P6"/>
    <mergeCell ref="S4:S6"/>
    <mergeCell ref="Q4:Q6"/>
    <mergeCell ref="R4:R6"/>
    <mergeCell ref="O25:X32"/>
  </mergeCells>
  <pageMargins left="0.7" right="0.7" top="0.75" bottom="0.75" header="0.3" footer="0.3"/>
  <pageSetup orientation="portrait"/>
  <headerFooter>
    <oddFooter>&amp;C&amp;"Helvetica Neue,Regular"&amp;12&amp;K000000&amp;P</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214"/>
  <sheetViews>
    <sheetView showGridLines="0" workbookViewId="0"/>
  </sheetViews>
  <sheetFormatPr defaultColWidth="8.875" defaultRowHeight="14.25" customHeight="1"/>
  <cols>
    <col min="1" max="1" width="2.625" style="457" customWidth="1"/>
    <col min="2" max="2" width="15.875" style="457" customWidth="1"/>
    <col min="3" max="3" width="8.875" style="457" hidden="1" customWidth="1"/>
    <col min="4" max="4" width="15.875" style="457" customWidth="1"/>
    <col min="5" max="11" width="11.625" style="457" customWidth="1"/>
    <col min="12" max="31" width="9" style="457" customWidth="1"/>
    <col min="32" max="32" width="8.875" style="457" customWidth="1"/>
    <col min="33" max="16384" width="8.875" style="457"/>
  </cols>
  <sheetData>
    <row r="1" spans="1:31" ht="23.25" customHeight="1">
      <c r="A1" s="458"/>
      <c r="B1" s="459" t="s">
        <v>304</v>
      </c>
      <c r="C1" s="460" t="s">
        <v>305</v>
      </c>
      <c r="D1" s="459" t="s">
        <v>45</v>
      </c>
      <c r="E1" s="461" t="s">
        <v>306</v>
      </c>
      <c r="F1" s="461" t="s">
        <v>105</v>
      </c>
      <c r="G1" s="461" t="s">
        <v>106</v>
      </c>
      <c r="H1" s="461" t="s">
        <v>107</v>
      </c>
      <c r="I1" s="461" t="s">
        <v>108</v>
      </c>
      <c r="J1" s="461" t="s">
        <v>109</v>
      </c>
      <c r="K1" s="462" t="s">
        <v>110</v>
      </c>
      <c r="L1" s="463"/>
      <c r="M1" s="464"/>
      <c r="N1" s="464"/>
      <c r="O1" s="464"/>
      <c r="P1" s="464"/>
      <c r="Q1" s="464"/>
      <c r="R1" s="464"/>
      <c r="S1" s="464"/>
      <c r="T1" s="464"/>
      <c r="U1" s="464"/>
      <c r="V1" s="464"/>
      <c r="W1" s="464"/>
      <c r="X1" s="464"/>
      <c r="Y1" s="464"/>
      <c r="Z1" s="464"/>
      <c r="AA1" s="464"/>
      <c r="AB1" s="464"/>
      <c r="AC1" s="464"/>
      <c r="AD1" s="464"/>
      <c r="AE1" s="465"/>
    </row>
    <row r="2" spans="1:31" ht="20.25" customHeight="1">
      <c r="A2" s="466">
        <v>1</v>
      </c>
      <c r="B2" s="467" t="s">
        <v>20</v>
      </c>
      <c r="C2" s="468" cm="1">
        <f t="array" ref="C2">LARGE(Aux!$W$4:$W$51,A2)</f>
        <v>822.13150000499991</v>
      </c>
      <c r="D2" s="469" t="str" cm="1">
        <f t="array" ref="D2">_xlfn.XLOOKUP($C2,Aux!$W1:$W51,Aux!H1:H51,"-",0)</f>
        <v>España</v>
      </c>
      <c r="E2" s="470" cm="1">
        <f t="array" ref="E2">F2*3+G2</f>
        <v>22</v>
      </c>
      <c r="F2" s="470" cm="1">
        <f t="array" ref="F2">_xlfn.XLOOKUP($C2,Aux!$W1:$W51,Aux!Q1:Q51,"-",0)</f>
        <v>7</v>
      </c>
      <c r="G2" s="470" cm="1">
        <f t="array" ref="G2">_xlfn.XLOOKUP($C2,Aux!$W1:$W51,Aux!R1:R51,"-",0)</f>
        <v>1</v>
      </c>
      <c r="H2" s="470" cm="1">
        <f t="array" ref="H2">_xlfn.XLOOKUP($C2,Aux!$W1:$W51,Aux!S1:S51,"-",0)</f>
        <v>0</v>
      </c>
      <c r="I2" s="470" cm="1">
        <f t="array" ref="I2">_xlfn.XLOOKUP($C2,Aux!$W1:$W51,Aux!T1:T51,"-",0)</f>
        <v>13</v>
      </c>
      <c r="J2" s="470" cm="1">
        <f t="array" ref="J2">_xlfn.XLOOKUP($C2,Aux!$W1:$W51,Aux!U1:U51,"-",0)</f>
        <v>15</v>
      </c>
      <c r="K2" s="471" cm="1">
        <f t="array" ref="K2">_xlfn.XLOOKUP($C2,Aux!$W1:$W51,Aux!V1:V51,"-",0)</f>
        <v>2</v>
      </c>
      <c r="L2" s="472"/>
      <c r="M2" s="473"/>
      <c r="N2" s="473"/>
      <c r="O2" s="473"/>
      <c r="P2" s="473"/>
      <c r="Q2" s="473"/>
      <c r="R2" s="473"/>
      <c r="S2" s="473"/>
      <c r="T2" s="473"/>
      <c r="U2" s="473"/>
      <c r="V2" s="473"/>
      <c r="W2" s="473"/>
      <c r="X2" s="473"/>
      <c r="Y2" s="473"/>
      <c r="Z2" s="473"/>
      <c r="AA2" s="473"/>
      <c r="AB2" s="473"/>
      <c r="AC2" s="473"/>
      <c r="AD2" s="473"/>
      <c r="AE2" s="474"/>
    </row>
    <row r="3" spans="1:31" ht="18" customHeight="1">
      <c r="A3" s="475">
        <v>2</v>
      </c>
      <c r="B3" s="476" t="s">
        <v>307</v>
      </c>
      <c r="C3" s="477" cm="1">
        <f t="array" ref="C3">LARGE(Aux!$W$4:$W$51,A3)</f>
        <v>621.09140000333332</v>
      </c>
      <c r="D3" s="478" t="str" cm="1">
        <f t="array" ref="D3">_xlfn.XLOOKUP($C3,Aux!$W1:$W51,Aux!H1:H51,"-",0)</f>
        <v>Argentina</v>
      </c>
      <c r="E3" s="479" cm="1">
        <f t="array" ref="E3">F3*3+G3</f>
        <v>21</v>
      </c>
      <c r="F3" s="479" cm="1">
        <f t="array" ref="F3">_xlfn.XLOOKUP($C3,Aux!$W1:$W51,Aux!Q1:Q51,"-",0)</f>
        <v>7</v>
      </c>
      <c r="G3" s="479" cm="1">
        <f t="array" ref="G3">_xlfn.XLOOKUP($C3,Aux!$W1:$W51,Aux!R1:R51,"-",0)</f>
        <v>0</v>
      </c>
      <c r="H3" s="479" cm="1">
        <f t="array" ref="H3">_xlfn.XLOOKUP($C3,Aux!$W1:$W51,Aux!S1:S51,"-",0)</f>
        <v>1</v>
      </c>
      <c r="I3" s="479" cm="1">
        <f t="array" ref="I3">_xlfn.XLOOKUP($C3,Aux!$W1:$W51,Aux!T1:T51,"-",0)</f>
        <v>9</v>
      </c>
      <c r="J3" s="479" cm="1">
        <f t="array" ref="J3">_xlfn.XLOOKUP($C3,Aux!$W1:$W51,Aux!U1:U51,"-",0)</f>
        <v>14</v>
      </c>
      <c r="K3" s="480" cm="1">
        <f t="array" ref="K3">_xlfn.XLOOKUP($C3,Aux!$W1:$W51,Aux!V1:V51,"-",0)</f>
        <v>5</v>
      </c>
      <c r="L3" s="472"/>
      <c r="M3" s="473"/>
      <c r="N3" s="473"/>
      <c r="O3" s="473"/>
      <c r="P3" s="473"/>
      <c r="Q3" s="473"/>
      <c r="R3" s="473"/>
      <c r="S3" s="473"/>
      <c r="T3" s="473"/>
      <c r="U3" s="473"/>
      <c r="V3" s="473"/>
      <c r="W3" s="473"/>
      <c r="X3" s="473"/>
      <c r="Y3" s="473"/>
      <c r="Z3" s="473"/>
      <c r="AA3" s="473"/>
      <c r="AB3" s="473"/>
      <c r="AC3" s="473"/>
      <c r="AD3" s="473"/>
      <c r="AE3" s="474"/>
    </row>
    <row r="4" spans="1:31" ht="14.25" customHeight="1">
      <c r="A4" s="481">
        <v>3</v>
      </c>
      <c r="B4" s="482" t="s">
        <v>308</v>
      </c>
      <c r="C4" s="483" cm="1">
        <f t="array" ref="C4">LARGE(Aux!$W$4:$W$51,A4)</f>
        <v>521.09170001000007</v>
      </c>
      <c r="D4" s="484" t="str" cm="1">
        <f t="array" ref="D4">_xlfn.XLOOKUP($C4,Aux!$W1:$W51,Aux!H1:H51,"-",0)</f>
        <v>Francia</v>
      </c>
      <c r="E4" s="485" cm="1">
        <f t="array" ref="E4">F4*3+G4</f>
        <v>21</v>
      </c>
      <c r="F4" s="485" cm="1">
        <f t="array" ref="F4">_xlfn.XLOOKUP($C4,Aux!$W1:$W51,Aux!Q1:Q51,"-",0)</f>
        <v>7</v>
      </c>
      <c r="G4" s="485" cm="1">
        <f t="array" ref="G4">_xlfn.XLOOKUP($C4,Aux!$W1:$W51,Aux!R1:R51,"-",0)</f>
        <v>0</v>
      </c>
      <c r="H4" s="485" cm="1">
        <f t="array" ref="H4">_xlfn.XLOOKUP($C4,Aux!$W1:$W51,Aux!S1:S51,"-",0)</f>
        <v>1</v>
      </c>
      <c r="I4" s="485" cm="1">
        <f t="array" ref="I4">_xlfn.XLOOKUP($C4,Aux!$W1:$W51,Aux!T1:T51,"-",0)</f>
        <v>9</v>
      </c>
      <c r="J4" s="485" cm="1">
        <f t="array" ref="J4">_xlfn.XLOOKUP($C4,Aux!$W1:$W51,Aux!U1:U51,"-",0)</f>
        <v>17</v>
      </c>
      <c r="K4" s="486" cm="1">
        <f t="array" ref="K4">_xlfn.XLOOKUP($C4,Aux!$W1:$W51,Aux!V1:V51,"-",0)</f>
        <v>8</v>
      </c>
      <c r="L4" s="472"/>
      <c r="M4" s="473"/>
      <c r="N4" s="473"/>
      <c r="O4" s="473"/>
      <c r="P4" s="473"/>
      <c r="Q4" s="473"/>
      <c r="R4" s="473"/>
      <c r="S4" s="473"/>
      <c r="T4" s="473"/>
      <c r="U4" s="473"/>
      <c r="V4" s="473"/>
      <c r="W4" s="473"/>
      <c r="X4" s="473"/>
      <c r="Y4" s="473"/>
      <c r="Z4" s="473"/>
      <c r="AA4" s="473"/>
      <c r="AB4" s="473"/>
      <c r="AC4" s="473"/>
      <c r="AD4" s="473"/>
      <c r="AE4" s="474"/>
    </row>
    <row r="5" spans="1:31" ht="14.25" customHeight="1">
      <c r="A5" s="487">
        <v>4</v>
      </c>
      <c r="B5" s="488" t="s">
        <v>309</v>
      </c>
      <c r="C5" s="489" cm="1">
        <f t="array" ref="C5">LARGE(Aux!$W$4:$W$51,A5)</f>
        <v>418.08150000166665</v>
      </c>
      <c r="D5" s="490" t="str" cm="1">
        <f t="array" ref="D5">_xlfn.XLOOKUP($C5,Aux!$W1:$W51,Aux!H1:H51,"-",0)</f>
        <v>Brasil</v>
      </c>
      <c r="E5" s="491" cm="1">
        <f t="array" ref="E5">F5*3+G5</f>
        <v>18</v>
      </c>
      <c r="F5" s="491" cm="1">
        <f t="array" ref="F5">_xlfn.XLOOKUP($C5,Aux!$W1:$W51,Aux!Q1:Q51,"-",0)</f>
        <v>6</v>
      </c>
      <c r="G5" s="491" cm="1">
        <f t="array" ref="G5">_xlfn.XLOOKUP($C5,Aux!$W1:$W51,Aux!R1:R51,"-",0)</f>
        <v>0</v>
      </c>
      <c r="H5" s="491" cm="1">
        <f t="array" ref="H5">_xlfn.XLOOKUP($C5,Aux!$W1:$W51,Aux!S1:S51,"-",0)</f>
        <v>2</v>
      </c>
      <c r="I5" s="491" cm="1">
        <f t="array" ref="I5">_xlfn.XLOOKUP($C5,Aux!$W1:$W51,Aux!T1:T51,"-",0)</f>
        <v>8</v>
      </c>
      <c r="J5" s="491" cm="1">
        <f t="array" ref="J5">_xlfn.XLOOKUP($C5,Aux!$W1:$W51,Aux!U1:U51,"-",0)</f>
        <v>15</v>
      </c>
      <c r="K5" s="492" cm="1">
        <f t="array" ref="K5">_xlfn.XLOOKUP($C5,Aux!$W1:$W51,Aux!V1:V51,"-",0)</f>
        <v>7</v>
      </c>
      <c r="L5" s="472"/>
      <c r="M5" s="473"/>
      <c r="N5" s="473"/>
      <c r="O5" s="473"/>
      <c r="P5" s="473"/>
      <c r="Q5" s="473"/>
      <c r="R5" s="473"/>
      <c r="S5" s="473"/>
      <c r="T5" s="473"/>
      <c r="U5" s="473"/>
      <c r="V5" s="473"/>
      <c r="W5" s="473"/>
      <c r="X5" s="473"/>
      <c r="Y5" s="473"/>
      <c r="Z5" s="473"/>
      <c r="AA5" s="473"/>
      <c r="AB5" s="473"/>
      <c r="AC5" s="473"/>
      <c r="AD5" s="473"/>
      <c r="AE5" s="474"/>
    </row>
    <row r="6" spans="1:31" ht="14.25" customHeight="1">
      <c r="A6" s="493">
        <v>5</v>
      </c>
      <c r="B6" s="494" t="s">
        <v>310</v>
      </c>
      <c r="C6" s="495" cm="1">
        <f t="array" ref="C6">LARGE(Aux!$W$4:$W$51,A6)</f>
        <v>315.07110000111112</v>
      </c>
      <c r="D6" s="496" t="str" cm="1">
        <f t="array" ref="D6">_xlfn.XLOOKUP($C6,Aux!$W1:$W51,Aux!H1:H51,"-",0)</f>
        <v>Belgica</v>
      </c>
      <c r="E6" s="497" cm="1">
        <f t="array" ref="E6">F6*3+G6</f>
        <v>15</v>
      </c>
      <c r="F6" s="497" cm="1">
        <f t="array" ref="F6">_xlfn.XLOOKUP($C6,Aux!$W1:$W51,Aux!Q1:Q51,"-",0)</f>
        <v>5</v>
      </c>
      <c r="G6" s="497" cm="1">
        <f t="array" ref="G6">_xlfn.XLOOKUP($C6,Aux!$W1:$W51,Aux!R1:R51,"-",0)</f>
        <v>0</v>
      </c>
      <c r="H6" s="497" cm="1">
        <f t="array" ref="H6">_xlfn.XLOOKUP($C6,Aux!$W1:$W51,Aux!S1:S51,"-",0)</f>
        <v>1</v>
      </c>
      <c r="I6" s="497" cm="1">
        <f t="array" ref="I6">_xlfn.XLOOKUP($C6,Aux!$W1:$W51,Aux!T1:T51,"-",0)</f>
        <v>7</v>
      </c>
      <c r="J6" s="497" cm="1">
        <f t="array" ref="J6">_xlfn.XLOOKUP($C6,Aux!$W1:$W51,Aux!U1:U51,"-",0)</f>
        <v>11</v>
      </c>
      <c r="K6" s="498" cm="1">
        <f t="array" ref="K6">_xlfn.XLOOKUP($C6,Aux!$W1:$W51,Aux!V1:V51,"-",0)</f>
        <v>4</v>
      </c>
      <c r="L6" s="472"/>
      <c r="M6" s="473"/>
      <c r="N6" s="473"/>
      <c r="O6" s="473"/>
      <c r="P6" s="473"/>
      <c r="Q6" s="473"/>
      <c r="R6" s="473"/>
      <c r="S6" s="473"/>
      <c r="T6" s="473"/>
      <c r="U6" s="473"/>
      <c r="V6" s="473"/>
      <c r="W6" s="473"/>
      <c r="X6" s="473"/>
      <c r="Y6" s="473"/>
      <c r="Z6" s="473"/>
      <c r="AA6" s="473"/>
      <c r="AB6" s="473"/>
      <c r="AC6" s="473"/>
      <c r="AD6" s="473"/>
      <c r="AE6" s="474"/>
    </row>
    <row r="7" spans="1:31" ht="14.25" customHeight="1">
      <c r="A7" s="499">
        <v>6</v>
      </c>
      <c r="B7" s="500" t="s">
        <v>310</v>
      </c>
      <c r="C7" s="501" cm="1">
        <f t="array" ref="C7">LARGE(Aux!$W$4:$W$51,A7)</f>
        <v>313.07120000199996</v>
      </c>
      <c r="D7" s="286" t="str" cm="1">
        <f t="array" ref="D7">_xlfn.XLOOKUP($C7,Aux!$W1:$W51,Aux!H1:H51,"-",0)</f>
        <v>Portugal</v>
      </c>
      <c r="E7" s="502" cm="1">
        <f t="array" ref="E7">F7*3+G7</f>
        <v>13</v>
      </c>
      <c r="F7" s="502" cm="1">
        <f t="array" ref="F7">_xlfn.XLOOKUP($C7,Aux!$W1:$W51,Aux!Q1:Q51,"-",0)</f>
        <v>4</v>
      </c>
      <c r="G7" s="502" cm="1">
        <f t="array" ref="G7">_xlfn.XLOOKUP($C7,Aux!$W1:$W51,Aux!R1:R51,"-",0)</f>
        <v>1</v>
      </c>
      <c r="H7" s="502" cm="1">
        <f t="array" ref="H7">_xlfn.XLOOKUP($C7,Aux!$W1:$W51,Aux!S1:S51,"-",0)</f>
        <v>1</v>
      </c>
      <c r="I7" s="502" cm="1">
        <f t="array" ref="I7">_xlfn.XLOOKUP($C7,Aux!$W1:$W51,Aux!T1:T51,"-",0)</f>
        <v>7</v>
      </c>
      <c r="J7" s="502" cm="1">
        <f t="array" ref="J7">_xlfn.XLOOKUP($C7,Aux!$W1:$W51,Aux!U1:U51,"-",0)</f>
        <v>12</v>
      </c>
      <c r="K7" s="503" cm="1">
        <f t="array" ref="K7">_xlfn.XLOOKUP($C7,Aux!$W1:$W51,Aux!V1:V51,"-",0)</f>
        <v>5</v>
      </c>
      <c r="L7" s="472"/>
      <c r="M7" s="473"/>
      <c r="N7" s="473"/>
      <c r="O7" s="473"/>
      <c r="P7" s="473"/>
      <c r="Q7" s="473"/>
      <c r="R7" s="473"/>
      <c r="S7" s="473"/>
      <c r="T7" s="473"/>
      <c r="U7" s="473"/>
      <c r="V7" s="473"/>
      <c r="W7" s="473"/>
      <c r="X7" s="473"/>
      <c r="Y7" s="473"/>
      <c r="Z7" s="473"/>
      <c r="AA7" s="473"/>
      <c r="AB7" s="473"/>
      <c r="AC7" s="473"/>
      <c r="AD7" s="473"/>
      <c r="AE7" s="474"/>
    </row>
    <row r="8" spans="1:31" ht="14.25" customHeight="1">
      <c r="A8" s="499">
        <v>7</v>
      </c>
      <c r="B8" s="500" t="s">
        <v>310</v>
      </c>
      <c r="C8" s="501" cm="1">
        <f t="array" ref="C8">LARGE(Aux!$W$4:$W$51,A8)</f>
        <v>313.05110000249999</v>
      </c>
      <c r="D8" s="286" t="str" cm="1">
        <f t="array" ref="D8">_xlfn.XLOOKUP($C8,Aux!$W1:$W51,Aux!H1:H51,"-",0)</f>
        <v>Inglaterra</v>
      </c>
      <c r="E8" s="502" cm="1">
        <f t="array" ref="E8">F8*3+G8</f>
        <v>13</v>
      </c>
      <c r="F8" s="502" cm="1">
        <f t="array" ref="F8">_xlfn.XLOOKUP($C8,Aux!$W1:$W51,Aux!Q1:Q51,"-",0)</f>
        <v>4</v>
      </c>
      <c r="G8" s="502" cm="1">
        <f t="array" ref="G8">_xlfn.XLOOKUP($C8,Aux!$W1:$W51,Aux!R1:R51,"-",0)</f>
        <v>1</v>
      </c>
      <c r="H8" s="502" cm="1">
        <f t="array" ref="H8">_xlfn.XLOOKUP($C8,Aux!$W1:$W51,Aux!S1:S51,"-",0)</f>
        <v>1</v>
      </c>
      <c r="I8" s="502" cm="1">
        <f t="array" ref="I8">_xlfn.XLOOKUP($C8,Aux!$W1:$W51,Aux!T1:T51,"-",0)</f>
        <v>5</v>
      </c>
      <c r="J8" s="502" cm="1">
        <f t="array" ref="J8">_xlfn.XLOOKUP($C8,Aux!$W1:$W51,Aux!U1:U51,"-",0)</f>
        <v>11</v>
      </c>
      <c r="K8" s="503" cm="1">
        <f t="array" ref="K8">_xlfn.XLOOKUP($C8,Aux!$W1:$W51,Aux!V1:V51,"-",0)</f>
        <v>6</v>
      </c>
      <c r="L8" s="472"/>
      <c r="M8" s="473"/>
      <c r="N8" s="473"/>
      <c r="O8" s="473"/>
      <c r="P8" s="473"/>
      <c r="Q8" s="473"/>
      <c r="R8" s="473"/>
      <c r="S8" s="473"/>
      <c r="T8" s="473"/>
      <c r="U8" s="473"/>
      <c r="V8" s="473"/>
      <c r="W8" s="473"/>
      <c r="X8" s="473"/>
      <c r="Y8" s="473"/>
      <c r="Z8" s="473"/>
      <c r="AA8" s="473"/>
      <c r="AB8" s="473"/>
      <c r="AC8" s="473"/>
      <c r="AD8" s="473"/>
      <c r="AE8" s="474"/>
    </row>
    <row r="9" spans="1:31" ht="14.25" customHeight="1">
      <c r="A9" s="504">
        <v>8</v>
      </c>
      <c r="B9" s="505" t="s">
        <v>310</v>
      </c>
      <c r="C9" s="506" cm="1">
        <f t="array" ref="C9">LARGE(Aux!$W$4:$W$51,A9)</f>
        <v>312.04110000125002</v>
      </c>
      <c r="D9" s="507" t="str" cm="1">
        <f t="array" ref="D9">_xlfn.XLOOKUP($C9,Aux!$W1:$W51,Aux!H1:H51,"-",0)</f>
        <v>Marruecos</v>
      </c>
      <c r="E9" s="508" cm="1">
        <f t="array" ref="E9">F9*3+G9</f>
        <v>12</v>
      </c>
      <c r="F9" s="508" cm="1">
        <f t="array" ref="F9">_xlfn.XLOOKUP($C9,Aux!$W1:$W51,Aux!Q1:Q51,"-",0)</f>
        <v>4</v>
      </c>
      <c r="G9" s="508" cm="1">
        <f t="array" ref="G9">_xlfn.XLOOKUP($C9,Aux!$W1:$W51,Aux!R1:R51,"-",0)</f>
        <v>0</v>
      </c>
      <c r="H9" s="508" cm="1">
        <f t="array" ref="H9">_xlfn.XLOOKUP($C9,Aux!$W1:$W51,Aux!S1:S51,"-",0)</f>
        <v>2</v>
      </c>
      <c r="I9" s="508" cm="1">
        <f t="array" ref="I9">_xlfn.XLOOKUP($C9,Aux!$W1:$W51,Aux!T1:T51,"-",0)</f>
        <v>4</v>
      </c>
      <c r="J9" s="508" cm="1">
        <f t="array" ref="J9">_xlfn.XLOOKUP($C9,Aux!$W1:$W51,Aux!U1:U51,"-",0)</f>
        <v>11</v>
      </c>
      <c r="K9" s="509" cm="1">
        <f t="array" ref="K9">_xlfn.XLOOKUP($C9,Aux!$W1:$W51,Aux!V1:V51,"-",0)</f>
        <v>7</v>
      </c>
      <c r="L9" s="472"/>
      <c r="M9" s="473"/>
      <c r="N9" s="473"/>
      <c r="O9" s="473"/>
      <c r="P9" s="473"/>
      <c r="Q9" s="473"/>
      <c r="R9" s="473"/>
      <c r="S9" s="473"/>
      <c r="T9" s="473"/>
      <c r="U9" s="473"/>
      <c r="V9" s="473"/>
      <c r="W9" s="473"/>
      <c r="X9" s="473"/>
      <c r="Y9" s="473"/>
      <c r="Z9" s="473"/>
      <c r="AA9" s="473"/>
      <c r="AB9" s="473"/>
      <c r="AC9" s="473"/>
      <c r="AD9" s="473"/>
      <c r="AE9" s="474"/>
    </row>
    <row r="10" spans="1:31" ht="14.25" customHeight="1">
      <c r="A10" s="510">
        <v>9</v>
      </c>
      <c r="B10" s="511" t="s">
        <v>311</v>
      </c>
      <c r="C10" s="512" cm="1">
        <f t="array" ref="C10">LARGE(Aux!$W$4:$W$51,A10)</f>
        <v>212.07110000099999</v>
      </c>
      <c r="D10" s="513" t="str" cm="1">
        <f t="array" ref="D10">_xlfn.XLOOKUP($C10,Aux!$W1:$W51,Aux!H1:H51,"-",0)</f>
        <v>Alemania</v>
      </c>
      <c r="E10" s="514" cm="1">
        <f t="array" ref="E10">F10*3+G10</f>
        <v>12</v>
      </c>
      <c r="F10" s="514" cm="1">
        <f t="array" ref="F10">_xlfn.XLOOKUP($C10,Aux!$W1:$W51,Aux!Q1:Q51,"-",0)</f>
        <v>4</v>
      </c>
      <c r="G10" s="514" cm="1">
        <f t="array" ref="G10">_xlfn.XLOOKUP($C10,Aux!$W1:$W51,Aux!R1:R51,"-",0)</f>
        <v>0</v>
      </c>
      <c r="H10" s="514" cm="1">
        <f t="array" ref="H10">_xlfn.XLOOKUP($C10,Aux!$W1:$W51,Aux!S1:S51,"-",0)</f>
        <v>1</v>
      </c>
      <c r="I10" s="514" cm="1">
        <f t="array" ref="I10">_xlfn.XLOOKUP($C10,Aux!$W1:$W51,Aux!T1:T51,"-",0)</f>
        <v>7</v>
      </c>
      <c r="J10" s="514" cm="1">
        <f t="array" ref="J10">_xlfn.XLOOKUP($C10,Aux!$W1:$W51,Aux!U1:U51,"-",0)</f>
        <v>11</v>
      </c>
      <c r="K10" s="515" cm="1">
        <f t="array" ref="K10">_xlfn.XLOOKUP($C10,Aux!$W1:$W51,Aux!V1:V51,"-",0)</f>
        <v>4</v>
      </c>
      <c r="L10" s="472"/>
      <c r="M10" s="473"/>
      <c r="N10" s="473"/>
      <c r="O10" s="473"/>
      <c r="P10" s="473"/>
      <c r="Q10" s="473"/>
      <c r="R10" s="473"/>
      <c r="S10" s="473"/>
      <c r="T10" s="473"/>
      <c r="U10" s="473"/>
      <c r="V10" s="473"/>
      <c r="W10" s="473"/>
      <c r="X10" s="473"/>
      <c r="Y10" s="473"/>
      <c r="Z10" s="473"/>
      <c r="AA10" s="473"/>
      <c r="AB10" s="473"/>
      <c r="AC10" s="473"/>
      <c r="AD10" s="473"/>
      <c r="AE10" s="474"/>
    </row>
    <row r="11" spans="1:31" ht="14.25" customHeight="1">
      <c r="A11" s="516">
        <v>10</v>
      </c>
      <c r="B11" s="517" t="s">
        <v>311</v>
      </c>
      <c r="C11" s="518" cm="1">
        <f t="array" ref="C11">LARGE(Aux!$W$4:$W$51,A11)</f>
        <v>212.04080000066665</v>
      </c>
      <c r="D11" s="519" t="str" cm="1">
        <f t="array" ref="D11">_xlfn.XLOOKUP($C11,Aux!$W1:$W51,Aux!H1:H51,"-",0)</f>
        <v>Mexico</v>
      </c>
      <c r="E11" s="520" cm="1">
        <f t="array" ref="E11">F11*3+G11</f>
        <v>12</v>
      </c>
      <c r="F11" s="520" cm="1">
        <f t="array" ref="F11">_xlfn.XLOOKUP($C11,Aux!$W1:$W51,Aux!Q1:Q51,"-",0)</f>
        <v>4</v>
      </c>
      <c r="G11" s="520" cm="1">
        <f t="array" ref="G11">_xlfn.XLOOKUP($C11,Aux!$W1:$W51,Aux!R1:R51,"-",0)</f>
        <v>0</v>
      </c>
      <c r="H11" s="520" cm="1">
        <f t="array" ref="H11">_xlfn.XLOOKUP($C11,Aux!$W1:$W51,Aux!S1:S51,"-",0)</f>
        <v>1</v>
      </c>
      <c r="I11" s="520" cm="1">
        <f t="array" ref="I11">_xlfn.XLOOKUP($C11,Aux!$W1:$W51,Aux!T1:T51,"-",0)</f>
        <v>4</v>
      </c>
      <c r="J11" s="520" cm="1">
        <f t="array" ref="J11">_xlfn.XLOOKUP($C11,Aux!$W1:$W51,Aux!U1:U51,"-",0)</f>
        <v>8</v>
      </c>
      <c r="K11" s="521" cm="1">
        <f t="array" ref="K11">_xlfn.XLOOKUP($C11,Aux!$W1:$W51,Aux!V1:V51,"-",0)</f>
        <v>4</v>
      </c>
      <c r="L11" s="472"/>
      <c r="M11" s="473"/>
      <c r="N11" s="473"/>
      <c r="O11" s="473"/>
      <c r="P11" s="473"/>
      <c r="Q11" s="473"/>
      <c r="R11" s="473"/>
      <c r="S11" s="473"/>
      <c r="T11" s="473"/>
      <c r="U11" s="473"/>
      <c r="V11" s="473"/>
      <c r="W11" s="473"/>
      <c r="X11" s="473"/>
      <c r="Y11" s="473"/>
      <c r="Z11" s="473"/>
      <c r="AA11" s="473"/>
      <c r="AB11" s="473"/>
      <c r="AC11" s="473"/>
      <c r="AD11" s="473"/>
      <c r="AE11" s="474"/>
    </row>
    <row r="12" spans="1:31" ht="14.25" customHeight="1">
      <c r="A12" s="516">
        <v>11</v>
      </c>
      <c r="B12" s="517" t="s">
        <v>311</v>
      </c>
      <c r="C12" s="518" cm="1">
        <f t="array" ref="C12">LARGE(Aux!$W$4:$W$51,A12)</f>
        <v>210.03060000052631</v>
      </c>
      <c r="D12" s="519" t="str" cm="1">
        <f t="array" ref="D12">_xlfn.XLOOKUP($C12,Aux!$W1:$W51,Aux!H1:H51,"-",0)</f>
        <v>Suiza</v>
      </c>
      <c r="E12" s="520" cm="1">
        <f t="array" ref="E12">F12*3+G12</f>
        <v>10</v>
      </c>
      <c r="F12" s="520" cm="1">
        <f t="array" ref="F12">_xlfn.XLOOKUP($C12,Aux!$W1:$W51,Aux!Q1:Q51,"-",0)</f>
        <v>3</v>
      </c>
      <c r="G12" s="520" cm="1">
        <f t="array" ref="G12">_xlfn.XLOOKUP($C12,Aux!$W1:$W51,Aux!R1:R51,"-",0)</f>
        <v>1</v>
      </c>
      <c r="H12" s="520" cm="1">
        <f t="array" ref="H12">_xlfn.XLOOKUP($C12,Aux!$W1:$W51,Aux!S1:S51,"-",0)</f>
        <v>1</v>
      </c>
      <c r="I12" s="520" cm="1">
        <f t="array" ref="I12">_xlfn.XLOOKUP($C12,Aux!$W1:$W51,Aux!T1:T51,"-",0)</f>
        <v>3</v>
      </c>
      <c r="J12" s="520" cm="1">
        <f t="array" ref="J12">_xlfn.XLOOKUP($C12,Aux!$W1:$W51,Aux!U1:U51,"-",0)</f>
        <v>6</v>
      </c>
      <c r="K12" s="521" cm="1">
        <f t="array" ref="K12">_xlfn.XLOOKUP($C12,Aux!$W1:$W51,Aux!V1:V51,"-",0)</f>
        <v>3</v>
      </c>
      <c r="L12" s="472"/>
      <c r="M12" s="473"/>
      <c r="N12" s="473"/>
      <c r="O12" s="473"/>
      <c r="P12" s="473"/>
      <c r="Q12" s="473"/>
      <c r="R12" s="473"/>
      <c r="S12" s="473"/>
      <c r="T12" s="473"/>
      <c r="U12" s="473"/>
      <c r="V12" s="473"/>
      <c r="W12" s="473"/>
      <c r="X12" s="473"/>
      <c r="Y12" s="473"/>
      <c r="Z12" s="473"/>
      <c r="AA12" s="473"/>
      <c r="AB12" s="473"/>
      <c r="AC12" s="473"/>
      <c r="AD12" s="473"/>
      <c r="AE12" s="474"/>
    </row>
    <row r="13" spans="1:31" ht="14.25" customHeight="1">
      <c r="A13" s="516">
        <v>12</v>
      </c>
      <c r="B13" s="517" t="s">
        <v>311</v>
      </c>
      <c r="C13" s="518" cm="1">
        <f t="array" ref="C13">LARGE(Aux!$W$4:$W$51,A13)</f>
        <v>210.020600000625</v>
      </c>
      <c r="D13" s="519" t="str" cm="1">
        <f t="array" ref="D13">_xlfn.XLOOKUP($C13,Aux!$W1:$W51,Aux!H1:H51,"-",0)</f>
        <v>Estados Unidos</v>
      </c>
      <c r="E13" s="520" cm="1">
        <f t="array" ref="E13">F13*3+G13</f>
        <v>10</v>
      </c>
      <c r="F13" s="520" cm="1">
        <f t="array" ref="F13">_xlfn.XLOOKUP($C13,Aux!$W1:$W51,Aux!Q1:Q51,"-",0)</f>
        <v>3</v>
      </c>
      <c r="G13" s="520" cm="1">
        <f t="array" ref="G13">_xlfn.XLOOKUP($C13,Aux!$W1:$W51,Aux!R1:R51,"-",0)</f>
        <v>1</v>
      </c>
      <c r="H13" s="520" cm="1">
        <f t="array" ref="H13">_xlfn.XLOOKUP($C13,Aux!$W1:$W51,Aux!S1:S51,"-",0)</f>
        <v>1</v>
      </c>
      <c r="I13" s="520" cm="1">
        <f t="array" ref="I13">_xlfn.XLOOKUP($C13,Aux!$W1:$W51,Aux!T1:T51,"-",0)</f>
        <v>2</v>
      </c>
      <c r="J13" s="520" cm="1">
        <f t="array" ref="J13">_xlfn.XLOOKUP($C13,Aux!$W1:$W51,Aux!U1:U51,"-",0)</f>
        <v>6</v>
      </c>
      <c r="K13" s="521" cm="1">
        <f t="array" ref="K13">_xlfn.XLOOKUP($C13,Aux!$W1:$W51,Aux!V1:V51,"-",0)</f>
        <v>4</v>
      </c>
      <c r="L13" s="472"/>
      <c r="M13" s="473"/>
      <c r="N13" s="473"/>
      <c r="O13" s="473"/>
      <c r="P13" s="473"/>
      <c r="Q13" s="473"/>
      <c r="R13" s="473"/>
      <c r="S13" s="473"/>
      <c r="T13" s="473"/>
      <c r="U13" s="473"/>
      <c r="V13" s="473"/>
      <c r="W13" s="473"/>
      <c r="X13" s="473"/>
      <c r="Y13" s="473"/>
      <c r="Z13" s="473"/>
      <c r="AA13" s="473"/>
      <c r="AB13" s="473"/>
      <c r="AC13" s="473"/>
      <c r="AD13" s="473"/>
      <c r="AE13" s="474"/>
    </row>
    <row r="14" spans="1:31" ht="14.25" customHeight="1">
      <c r="A14" s="516">
        <v>13</v>
      </c>
      <c r="B14" s="517" t="s">
        <v>311</v>
      </c>
      <c r="C14" s="518" cm="1">
        <f t="array" ref="C14">LARGE(Aux!$W$4:$W$51,A14)</f>
        <v>208.01060000090908</v>
      </c>
      <c r="D14" s="519" t="str" cm="1">
        <f t="array" ref="D14">_xlfn.XLOOKUP($C14,Aux!$W1:$W51,Aux!H1:H51,"-",0)</f>
        <v>Croacia</v>
      </c>
      <c r="E14" s="520" cm="1">
        <f t="array" ref="E14">F14*3+G14</f>
        <v>8</v>
      </c>
      <c r="F14" s="520" cm="1">
        <f t="array" ref="F14">_xlfn.XLOOKUP($C14,Aux!$W1:$W51,Aux!Q1:Q51,"-",0)</f>
        <v>2</v>
      </c>
      <c r="G14" s="520" cm="1">
        <f t="array" ref="G14">_xlfn.XLOOKUP($C14,Aux!$W1:$W51,Aux!R1:R51,"-",0)</f>
        <v>2</v>
      </c>
      <c r="H14" s="520" cm="1">
        <f t="array" ref="H14">_xlfn.XLOOKUP($C14,Aux!$W1:$W51,Aux!S1:S51,"-",0)</f>
        <v>1</v>
      </c>
      <c r="I14" s="520" cm="1">
        <f t="array" ref="I14">_xlfn.XLOOKUP($C14,Aux!$W1:$W51,Aux!T1:T51,"-",0)</f>
        <v>1</v>
      </c>
      <c r="J14" s="520" cm="1">
        <f t="array" ref="J14">_xlfn.XLOOKUP($C14,Aux!$W1:$W51,Aux!U1:U51,"-",0)</f>
        <v>6</v>
      </c>
      <c r="K14" s="521" cm="1">
        <f t="array" ref="K14">_xlfn.XLOOKUP($C14,Aux!$W1:$W51,Aux!V1:V51,"-",0)</f>
        <v>5</v>
      </c>
      <c r="L14" s="472"/>
      <c r="M14" s="473"/>
      <c r="N14" s="473"/>
      <c r="O14" s="473"/>
      <c r="P14" s="473"/>
      <c r="Q14" s="473"/>
      <c r="R14" s="473"/>
      <c r="S14" s="473"/>
      <c r="T14" s="473"/>
      <c r="U14" s="473"/>
      <c r="V14" s="473"/>
      <c r="W14" s="473"/>
      <c r="X14" s="473"/>
      <c r="Y14" s="473"/>
      <c r="Z14" s="473"/>
      <c r="AA14" s="473"/>
      <c r="AB14" s="473"/>
      <c r="AC14" s="473"/>
      <c r="AD14" s="473"/>
      <c r="AE14" s="474"/>
    </row>
    <row r="15" spans="1:31" ht="14.25" customHeight="1">
      <c r="A15" s="516">
        <v>14</v>
      </c>
      <c r="B15" s="517" t="s">
        <v>311</v>
      </c>
      <c r="C15" s="518" cm="1">
        <f t="array" ref="C15">LARGE(Aux!$W$4:$W$51,A15)</f>
        <v>208.00060000024999</v>
      </c>
      <c r="D15" s="519" t="str" cm="1">
        <f t="array" ref="D15">_xlfn.XLOOKUP($C15,Aux!$W1:$W51,Aux!H1:H51,"-",0)</f>
        <v>Paraguay</v>
      </c>
      <c r="E15" s="520" cm="1">
        <f t="array" ref="E15">F15*3+G15</f>
        <v>8</v>
      </c>
      <c r="F15" s="520" cm="1">
        <f t="array" ref="F15">_xlfn.XLOOKUP($C15,Aux!$W1:$W51,Aux!Q1:Q51,"-",0)</f>
        <v>2</v>
      </c>
      <c r="G15" s="520" cm="1">
        <f t="array" ref="G15">_xlfn.XLOOKUP($C15,Aux!$W1:$W51,Aux!R1:R51,"-",0)</f>
        <v>2</v>
      </c>
      <c r="H15" s="520" cm="1">
        <f t="array" ref="H15">_xlfn.XLOOKUP($C15,Aux!$W1:$W51,Aux!S1:S51,"-",0)</f>
        <v>1</v>
      </c>
      <c r="I15" s="520" cm="1">
        <f t="array" ref="I15">_xlfn.XLOOKUP($C15,Aux!$W1:$W51,Aux!T1:T51,"-",0)</f>
        <v>0</v>
      </c>
      <c r="J15" s="520" cm="1">
        <f t="array" ref="J15">_xlfn.XLOOKUP($C15,Aux!$W1:$W51,Aux!U1:U51,"-",0)</f>
        <v>6</v>
      </c>
      <c r="K15" s="521" cm="1">
        <f t="array" ref="K15">_xlfn.XLOOKUP($C15,Aux!$W1:$W51,Aux!V1:V51,"-",0)</f>
        <v>6</v>
      </c>
      <c r="L15" s="472"/>
      <c r="M15" s="473"/>
      <c r="N15" s="473"/>
      <c r="O15" s="473"/>
      <c r="P15" s="473"/>
      <c r="Q15" s="473"/>
      <c r="R15" s="473"/>
      <c r="S15" s="473"/>
      <c r="T15" s="473"/>
      <c r="U15" s="473"/>
      <c r="V15" s="473"/>
      <c r="W15" s="473"/>
      <c r="X15" s="473"/>
      <c r="Y15" s="473"/>
      <c r="Z15" s="473"/>
      <c r="AA15" s="473"/>
      <c r="AB15" s="473"/>
      <c r="AC15" s="473"/>
      <c r="AD15" s="473"/>
      <c r="AE15" s="474"/>
    </row>
    <row r="16" spans="1:31" ht="14.25" customHeight="1">
      <c r="A16" s="516">
        <v>15</v>
      </c>
      <c r="B16" s="517" t="s">
        <v>311</v>
      </c>
      <c r="C16" s="518" cm="1">
        <f t="array" ref="C16">LARGE(Aux!$W$4:$W$51,A16)</f>
        <v>207.00060000043479</v>
      </c>
      <c r="D16" s="519" t="str" cm="1">
        <f t="array" ref="D16">_xlfn.XLOOKUP($C16,Aux!$W1:$W51,Aux!H1:H51,"-",0)</f>
        <v>Ecuador</v>
      </c>
      <c r="E16" s="520" cm="1">
        <f t="array" ref="E16">F16*3+G16</f>
        <v>7</v>
      </c>
      <c r="F16" s="520" cm="1">
        <f t="array" ref="F16">_xlfn.XLOOKUP($C16,Aux!$W1:$W51,Aux!Q1:Q51,"-",0)</f>
        <v>2</v>
      </c>
      <c r="G16" s="520" cm="1">
        <f t="array" ref="G16">_xlfn.XLOOKUP($C16,Aux!$W1:$W51,Aux!R1:R51,"-",0)</f>
        <v>1</v>
      </c>
      <c r="H16" s="520" cm="1">
        <f t="array" ref="H16">_xlfn.XLOOKUP($C16,Aux!$W1:$W51,Aux!S1:S51,"-",0)</f>
        <v>2</v>
      </c>
      <c r="I16" s="520" cm="1">
        <f t="array" ref="I16">_xlfn.XLOOKUP($C16,Aux!$W1:$W51,Aux!T1:T51,"-",0)</f>
        <v>0</v>
      </c>
      <c r="J16" s="520" cm="1">
        <f t="array" ref="J16">_xlfn.XLOOKUP($C16,Aux!$W1:$W51,Aux!U1:U51,"-",0)</f>
        <v>6</v>
      </c>
      <c r="K16" s="521" cm="1">
        <f t="array" ref="K16">_xlfn.XLOOKUP($C16,Aux!$W1:$W51,Aux!V1:V51,"-",0)</f>
        <v>6</v>
      </c>
      <c r="L16" s="472"/>
      <c r="M16" s="473"/>
      <c r="N16" s="473"/>
      <c r="O16" s="473"/>
      <c r="P16" s="473"/>
      <c r="Q16" s="473"/>
      <c r="R16" s="473"/>
      <c r="S16" s="473"/>
      <c r="T16" s="473"/>
      <c r="U16" s="473"/>
      <c r="V16" s="473"/>
      <c r="W16" s="473"/>
      <c r="X16" s="473"/>
      <c r="Y16" s="473"/>
      <c r="Z16" s="473"/>
      <c r="AA16" s="473"/>
      <c r="AB16" s="473"/>
      <c r="AC16" s="473"/>
      <c r="AD16" s="473"/>
      <c r="AE16" s="474"/>
    </row>
    <row r="17" spans="1:31" ht="14.25" customHeight="1">
      <c r="A17" s="522">
        <v>16</v>
      </c>
      <c r="B17" s="523" t="s">
        <v>311</v>
      </c>
      <c r="C17" s="524" cm="1">
        <f t="array" ref="C17">LARGE(Aux!$W$4:$W$51,A17)</f>
        <v>207.0005000004</v>
      </c>
      <c r="D17" s="525" t="str" cm="1">
        <f t="array" ref="D17">_xlfn.XLOOKUP($C17,Aux!$W1:$W51,Aux!H1:H51,"-",0)</f>
        <v>Corea del Sur</v>
      </c>
      <c r="E17" s="526" cm="1">
        <f t="array" ref="E17">F17*3+G17</f>
        <v>7</v>
      </c>
      <c r="F17" s="526" cm="1">
        <f t="array" ref="F17">_xlfn.XLOOKUP($C17,Aux!$W1:$W51,Aux!Q1:Q51,"-",0)</f>
        <v>2</v>
      </c>
      <c r="G17" s="526" cm="1">
        <f t="array" ref="G17">_xlfn.XLOOKUP($C17,Aux!$W1:$W51,Aux!R1:R51,"-",0)</f>
        <v>1</v>
      </c>
      <c r="H17" s="526" cm="1">
        <f t="array" ref="H17">_xlfn.XLOOKUP($C17,Aux!$W1:$W51,Aux!S1:S51,"-",0)</f>
        <v>2</v>
      </c>
      <c r="I17" s="526" cm="1">
        <f t="array" ref="I17">_xlfn.XLOOKUP($C17,Aux!$W1:$W51,Aux!T1:T51,"-",0)</f>
        <v>0</v>
      </c>
      <c r="J17" s="526" cm="1">
        <f t="array" ref="J17">_xlfn.XLOOKUP($C17,Aux!$W1:$W51,Aux!U1:U51,"-",0)</f>
        <v>5</v>
      </c>
      <c r="K17" s="527" cm="1">
        <f t="array" ref="K17">_xlfn.XLOOKUP($C17,Aux!$W1:$W51,Aux!V1:V51,"-",0)</f>
        <v>5</v>
      </c>
      <c r="L17" s="472"/>
      <c r="M17" s="473"/>
      <c r="N17" s="473"/>
      <c r="O17" s="473"/>
      <c r="P17" s="473"/>
      <c r="Q17" s="473"/>
      <c r="R17" s="473"/>
      <c r="S17" s="473"/>
      <c r="T17" s="473"/>
      <c r="U17" s="473"/>
      <c r="V17" s="473"/>
      <c r="W17" s="473"/>
      <c r="X17" s="473"/>
      <c r="Y17" s="473"/>
      <c r="Z17" s="473"/>
      <c r="AA17" s="473"/>
      <c r="AB17" s="473"/>
      <c r="AC17" s="473"/>
      <c r="AD17" s="473"/>
      <c r="AE17" s="474"/>
    </row>
    <row r="18" spans="1:31" ht="14.25" customHeight="1">
      <c r="A18" s="528">
        <v>17</v>
      </c>
      <c r="B18" s="529" t="s">
        <v>312</v>
      </c>
      <c r="C18" s="530" cm="1">
        <f t="array" ref="C18">LARGE(Aux!$W$4:$W$51,A18)</f>
        <v>109.04070000142858</v>
      </c>
      <c r="D18" s="531" t="str" cm="1">
        <f t="array" ref="D18">_xlfn.XLOOKUP($C18,Aux!$W1:$W51,Aux!H1:H51,"-",0)</f>
        <v>Paises Bajos</v>
      </c>
      <c r="E18" s="532" cm="1">
        <f t="array" ref="E18">F18*3+G18</f>
        <v>9</v>
      </c>
      <c r="F18" s="532" cm="1">
        <f t="array" ref="F18">_xlfn.XLOOKUP($C18,Aux!$W1:$W51,Aux!Q1:Q51,"-",0)</f>
        <v>3</v>
      </c>
      <c r="G18" s="532" cm="1">
        <f t="array" ref="G18">_xlfn.XLOOKUP($C18,Aux!$W1:$W51,Aux!R1:R51,"-",0)</f>
        <v>0</v>
      </c>
      <c r="H18" s="532" cm="1">
        <f t="array" ref="H18">_xlfn.XLOOKUP($C18,Aux!$W1:$W51,Aux!S1:S51,"-",0)</f>
        <v>1</v>
      </c>
      <c r="I18" s="532" cm="1">
        <f t="array" ref="I18">_xlfn.XLOOKUP($C18,Aux!$W1:$W51,Aux!T1:T51,"-",0)</f>
        <v>4</v>
      </c>
      <c r="J18" s="532" cm="1">
        <f t="array" ref="J18">_xlfn.XLOOKUP($C18,Aux!$W1:$W51,Aux!U1:U51,"-",0)</f>
        <v>7</v>
      </c>
      <c r="K18" s="533" cm="1">
        <f t="array" ref="K18">_xlfn.XLOOKUP($C18,Aux!$W1:$W51,Aux!V1:V51,"-",0)</f>
        <v>3</v>
      </c>
      <c r="L18" s="472"/>
      <c r="M18" s="473"/>
      <c r="N18" s="473"/>
      <c r="O18" s="473"/>
      <c r="P18" s="473"/>
      <c r="Q18" s="473"/>
      <c r="R18" s="473"/>
      <c r="S18" s="473"/>
      <c r="T18" s="473"/>
      <c r="U18" s="473"/>
      <c r="V18" s="473"/>
      <c r="W18" s="473"/>
      <c r="X18" s="473"/>
      <c r="Y18" s="473"/>
      <c r="Z18" s="473"/>
      <c r="AA18" s="473"/>
      <c r="AB18" s="473"/>
      <c r="AC18" s="473"/>
      <c r="AD18" s="473"/>
      <c r="AE18" s="474"/>
    </row>
    <row r="19" spans="1:31" ht="14.25" customHeight="1">
      <c r="A19" s="534">
        <v>18</v>
      </c>
      <c r="B19" s="535" t="s">
        <v>312</v>
      </c>
      <c r="C19" s="536" cm="1">
        <f t="array" ref="C19">LARGE(Aux!$W$4:$W$51,A19)</f>
        <v>107.03070000076923</v>
      </c>
      <c r="D19" s="537" t="str" cm="1">
        <f t="array" ref="D19">_xlfn.XLOOKUP($C19,Aux!$W1:$W51,Aux!H1:H51,"-",0)</f>
        <v>Colombia</v>
      </c>
      <c r="E19" s="538" cm="1">
        <f t="array" ref="E19">F19*3+G19</f>
        <v>7</v>
      </c>
      <c r="F19" s="538" cm="1">
        <f t="array" ref="F19">_xlfn.XLOOKUP($C19,Aux!$W1:$W51,Aux!Q1:Q51,"-",0)</f>
        <v>2</v>
      </c>
      <c r="G19" s="538" cm="1">
        <f t="array" ref="G19">_xlfn.XLOOKUP($C19,Aux!$W1:$W51,Aux!R1:R51,"-",0)</f>
        <v>1</v>
      </c>
      <c r="H19" s="538" cm="1">
        <f t="array" ref="H19">_xlfn.XLOOKUP($C19,Aux!$W1:$W51,Aux!S1:S51,"-",0)</f>
        <v>1</v>
      </c>
      <c r="I19" s="538" cm="1">
        <f t="array" ref="I19">_xlfn.XLOOKUP($C19,Aux!$W1:$W51,Aux!T1:T51,"-",0)</f>
        <v>3</v>
      </c>
      <c r="J19" s="538" cm="1">
        <f t="array" ref="J19">_xlfn.XLOOKUP($C19,Aux!$W1:$W51,Aux!U1:U51,"-",0)</f>
        <v>7</v>
      </c>
      <c r="K19" s="539" cm="1">
        <f t="array" ref="K19">_xlfn.XLOOKUP($C19,Aux!$W1:$W51,Aux!V1:V51,"-",0)</f>
        <v>4</v>
      </c>
      <c r="L19" s="472"/>
      <c r="M19" s="473"/>
      <c r="N19" s="473"/>
      <c r="O19" s="473"/>
      <c r="P19" s="473"/>
      <c r="Q19" s="473"/>
      <c r="R19" s="473"/>
      <c r="S19" s="473"/>
      <c r="T19" s="473"/>
      <c r="U19" s="473"/>
      <c r="V19" s="473"/>
      <c r="W19" s="473"/>
      <c r="X19" s="473"/>
      <c r="Y19" s="473"/>
      <c r="Z19" s="473"/>
      <c r="AA19" s="473"/>
      <c r="AB19" s="473"/>
      <c r="AC19" s="473"/>
      <c r="AD19" s="473"/>
      <c r="AE19" s="474"/>
    </row>
    <row r="20" spans="1:31" ht="14.25" customHeight="1">
      <c r="A20" s="534">
        <v>19</v>
      </c>
      <c r="B20" s="535" t="s">
        <v>312</v>
      </c>
      <c r="C20" s="536" cm="1">
        <f t="array" ref="C20">LARGE(Aux!$W$4:$W$51,A20)</f>
        <v>107.02050000058823</v>
      </c>
      <c r="D20" s="537" t="str" cm="1">
        <f t="array" ref="D20">_xlfn.XLOOKUP($C20,Aux!$W1:$W51,Aux!H1:H51,"-",0)</f>
        <v>Uruguay</v>
      </c>
      <c r="E20" s="538" cm="1">
        <f t="array" ref="E20">F20*3+G20</f>
        <v>7</v>
      </c>
      <c r="F20" s="538" cm="1">
        <f t="array" ref="F20">_xlfn.XLOOKUP($C20,Aux!$W1:$W51,Aux!Q1:Q51,"-",0)</f>
        <v>2</v>
      </c>
      <c r="G20" s="538" cm="1">
        <f t="array" ref="G20">_xlfn.XLOOKUP($C20,Aux!$W1:$W51,Aux!R1:R51,"-",0)</f>
        <v>1</v>
      </c>
      <c r="H20" s="538" cm="1">
        <f t="array" ref="H20">_xlfn.XLOOKUP($C20,Aux!$W1:$W51,Aux!S1:S51,"-",0)</f>
        <v>1</v>
      </c>
      <c r="I20" s="538" cm="1">
        <f t="array" ref="I20">_xlfn.XLOOKUP($C20,Aux!$W1:$W51,Aux!T1:T51,"-",0)</f>
        <v>2</v>
      </c>
      <c r="J20" s="538" cm="1">
        <f t="array" ref="J20">_xlfn.XLOOKUP($C20,Aux!$W1:$W51,Aux!U1:U51,"-",0)</f>
        <v>5</v>
      </c>
      <c r="K20" s="539" cm="1">
        <f t="array" ref="K20">_xlfn.XLOOKUP($C20,Aux!$W1:$W51,Aux!V1:V51,"-",0)</f>
        <v>3</v>
      </c>
      <c r="L20" s="472"/>
      <c r="M20" s="473"/>
      <c r="N20" s="473"/>
      <c r="O20" s="473"/>
      <c r="P20" s="473"/>
      <c r="Q20" s="473"/>
      <c r="R20" s="473"/>
      <c r="S20" s="473"/>
      <c r="T20" s="473"/>
      <c r="U20" s="473"/>
      <c r="V20" s="473"/>
      <c r="W20" s="473"/>
      <c r="X20" s="473"/>
      <c r="Y20" s="473"/>
      <c r="Z20" s="473"/>
      <c r="AA20" s="473"/>
      <c r="AB20" s="473"/>
      <c r="AC20" s="473"/>
      <c r="AD20" s="473"/>
      <c r="AE20" s="474"/>
    </row>
    <row r="21" spans="1:31" ht="14.25" customHeight="1">
      <c r="A21" s="534">
        <v>20</v>
      </c>
      <c r="B21" s="535" t="s">
        <v>312</v>
      </c>
      <c r="C21" s="536" cm="1">
        <f t="array" ref="C21">LARGE(Aux!$W$4:$W$51,A21)</f>
        <v>107.02040000033332</v>
      </c>
      <c r="D21" s="537" t="str" cm="1">
        <f t="array" ref="D21">_xlfn.XLOOKUP($C21,Aux!$W1:$W51,Aux!H1:H51,"-",0)</f>
        <v>Canada</v>
      </c>
      <c r="E21" s="538" cm="1">
        <f t="array" ref="E21">F21*3+G21</f>
        <v>7</v>
      </c>
      <c r="F21" s="538" cm="1">
        <f t="array" ref="F21">_xlfn.XLOOKUP($C21,Aux!$W1:$W51,Aux!Q1:Q51,"-",0)</f>
        <v>2</v>
      </c>
      <c r="G21" s="538" cm="1">
        <f t="array" ref="G21">_xlfn.XLOOKUP($C21,Aux!$W1:$W51,Aux!R1:R51,"-",0)</f>
        <v>1</v>
      </c>
      <c r="H21" s="538" cm="1">
        <f t="array" ref="H21">_xlfn.XLOOKUP($C21,Aux!$W1:$W51,Aux!S1:S51,"-",0)</f>
        <v>1</v>
      </c>
      <c r="I21" s="538" cm="1">
        <f t="array" ref="I21">_xlfn.XLOOKUP($C21,Aux!$W1:$W51,Aux!T1:T51,"-",0)</f>
        <v>2</v>
      </c>
      <c r="J21" s="538" cm="1">
        <f t="array" ref="J21">_xlfn.XLOOKUP($C21,Aux!$W1:$W51,Aux!U1:U51,"-",0)</f>
        <v>4</v>
      </c>
      <c r="K21" s="539" cm="1">
        <f t="array" ref="K21">_xlfn.XLOOKUP($C21,Aux!$W1:$W51,Aux!V1:V51,"-",0)</f>
        <v>2</v>
      </c>
      <c r="L21" s="472"/>
      <c r="M21" s="473"/>
      <c r="N21" s="473"/>
      <c r="O21" s="473"/>
      <c r="P21" s="473"/>
      <c r="Q21" s="473"/>
      <c r="R21" s="473"/>
      <c r="S21" s="473"/>
      <c r="T21" s="473"/>
      <c r="U21" s="473"/>
      <c r="V21" s="473"/>
      <c r="W21" s="473"/>
      <c r="X21" s="473"/>
      <c r="Y21" s="473"/>
      <c r="Z21" s="473"/>
      <c r="AA21" s="473"/>
      <c r="AB21" s="473"/>
      <c r="AC21" s="473"/>
      <c r="AD21" s="473"/>
      <c r="AE21" s="474"/>
    </row>
    <row r="22" spans="1:31" ht="14.25" customHeight="1">
      <c r="A22" s="534">
        <v>21</v>
      </c>
      <c r="B22" s="535" t="s">
        <v>312</v>
      </c>
      <c r="C22" s="536" cm="1">
        <f t="array" ref="C22">LARGE(Aux!$W$4:$W$51,A22)</f>
        <v>105.99050000034482</v>
      </c>
      <c r="D22" s="537" t="str" cm="1">
        <f t="array" ref="D22">_xlfn.XLOOKUP($C22,Aux!$W1:$W51,Aux!H1:H51,"-",0)</f>
        <v>Egipto</v>
      </c>
      <c r="E22" s="538" cm="1">
        <f t="array" ref="E22">F22*3+G22</f>
        <v>6</v>
      </c>
      <c r="F22" s="538" cm="1">
        <f t="array" ref="F22">_xlfn.XLOOKUP($C22,Aux!$W1:$W51,Aux!Q1:Q51,"-",0)</f>
        <v>2</v>
      </c>
      <c r="G22" s="538" cm="1">
        <f t="array" ref="G22">_xlfn.XLOOKUP($C22,Aux!$W1:$W51,Aux!R1:R51,"-",0)</f>
        <v>0</v>
      </c>
      <c r="H22" s="538" cm="1">
        <f t="array" ref="H22">_xlfn.XLOOKUP($C22,Aux!$W1:$W51,Aux!S1:S51,"-",0)</f>
        <v>2</v>
      </c>
      <c r="I22" s="538" cm="1">
        <f t="array" ref="I22">_xlfn.XLOOKUP($C22,Aux!$W1:$W51,Aux!T1:T51,"-",0)</f>
        <v>-1</v>
      </c>
      <c r="J22" s="538" cm="1">
        <f t="array" ref="J22">_xlfn.XLOOKUP($C22,Aux!$W1:$W51,Aux!U1:U51,"-",0)</f>
        <v>5</v>
      </c>
      <c r="K22" s="539" cm="1">
        <f t="array" ref="K22">_xlfn.XLOOKUP($C22,Aux!$W1:$W51,Aux!V1:V51,"-",0)</f>
        <v>6</v>
      </c>
      <c r="L22" s="472"/>
      <c r="M22" s="473"/>
      <c r="N22" s="473"/>
      <c r="O22" s="473"/>
      <c r="P22" s="473"/>
      <c r="Q22" s="473"/>
      <c r="R22" s="473"/>
      <c r="S22" s="473"/>
      <c r="T22" s="473"/>
      <c r="U22" s="473"/>
      <c r="V22" s="473"/>
      <c r="W22" s="473"/>
      <c r="X22" s="473"/>
      <c r="Y22" s="473"/>
      <c r="Z22" s="473"/>
      <c r="AA22" s="473"/>
      <c r="AB22" s="473"/>
      <c r="AC22" s="473"/>
      <c r="AD22" s="473"/>
      <c r="AE22" s="474"/>
    </row>
    <row r="23" spans="1:31" ht="14.25" customHeight="1">
      <c r="A23" s="534">
        <v>22</v>
      </c>
      <c r="B23" s="535" t="s">
        <v>312</v>
      </c>
      <c r="C23" s="536" cm="1">
        <f t="array" ref="C23">LARGE(Aux!$W$4:$W$51,A23)</f>
        <v>104.00060000071429</v>
      </c>
      <c r="D23" s="537" t="str" cm="1">
        <f t="array" ref="D23">_xlfn.XLOOKUP($C23,Aux!$W1:$W51,Aux!H1:H51,"-",0)</f>
        <v>Senegal</v>
      </c>
      <c r="E23" s="538" cm="1">
        <f t="array" ref="E23">F23*3+G23</f>
        <v>4</v>
      </c>
      <c r="F23" s="538" cm="1">
        <f t="array" ref="F23">_xlfn.XLOOKUP($C23,Aux!$W1:$W51,Aux!Q1:Q51,"-",0)</f>
        <v>1</v>
      </c>
      <c r="G23" s="538" cm="1">
        <f t="array" ref="G23">_xlfn.XLOOKUP($C23,Aux!$W1:$W51,Aux!R1:R51,"-",0)</f>
        <v>1</v>
      </c>
      <c r="H23" s="538" cm="1">
        <f t="array" ref="H23">_xlfn.XLOOKUP($C23,Aux!$W1:$W51,Aux!S1:S51,"-",0)</f>
        <v>2</v>
      </c>
      <c r="I23" s="538" cm="1">
        <f t="array" ref="I23">_xlfn.XLOOKUP($C23,Aux!$W1:$W51,Aux!T1:T51,"-",0)</f>
        <v>0</v>
      </c>
      <c r="J23" s="538" cm="1">
        <f t="array" ref="J23">_xlfn.XLOOKUP($C23,Aux!$W1:$W51,Aux!U1:U51,"-",0)</f>
        <v>6</v>
      </c>
      <c r="K23" s="539" cm="1">
        <f t="array" ref="K23">_xlfn.XLOOKUP($C23,Aux!$W1:$W51,Aux!V1:V51,"-",0)</f>
        <v>6</v>
      </c>
      <c r="L23" s="472"/>
      <c r="M23" s="473"/>
      <c r="N23" s="473"/>
      <c r="O23" s="473"/>
      <c r="P23" s="473"/>
      <c r="Q23" s="473"/>
      <c r="R23" s="473"/>
      <c r="S23" s="473"/>
      <c r="T23" s="473"/>
      <c r="U23" s="473"/>
      <c r="V23" s="473"/>
      <c r="W23" s="473"/>
      <c r="X23" s="473"/>
      <c r="Y23" s="473"/>
      <c r="Z23" s="473"/>
      <c r="AA23" s="473"/>
      <c r="AB23" s="473"/>
      <c r="AC23" s="473"/>
      <c r="AD23" s="473"/>
      <c r="AE23" s="474"/>
    </row>
    <row r="24" spans="1:31" ht="14.25" customHeight="1">
      <c r="A24" s="534">
        <v>23</v>
      </c>
      <c r="B24" s="535" t="s">
        <v>312</v>
      </c>
      <c r="C24" s="536" cm="1">
        <f t="array" ref="C24">LARGE(Aux!$W$4:$W$51,A24)</f>
        <v>104.00060000032259</v>
      </c>
      <c r="D24" s="537" t="str" cm="1">
        <f t="array" ref="D24">_xlfn.XLOOKUP($C24,Aux!$W1:$W51,Aux!H1:H51,"-",0)</f>
        <v>Noruega</v>
      </c>
      <c r="E24" s="538" cm="1">
        <f t="array" ref="E24">F24*3+G24</f>
        <v>4</v>
      </c>
      <c r="F24" s="538" cm="1">
        <f t="array" ref="F24">_xlfn.XLOOKUP($C24,Aux!$W1:$W51,Aux!Q1:Q51,"-",0)</f>
        <v>1</v>
      </c>
      <c r="G24" s="538" cm="1">
        <f t="array" ref="G24">_xlfn.XLOOKUP($C24,Aux!$W1:$W51,Aux!R1:R51,"-",0)</f>
        <v>1</v>
      </c>
      <c r="H24" s="538" cm="1">
        <f t="array" ref="H24">_xlfn.XLOOKUP($C24,Aux!$W1:$W51,Aux!S1:S51,"-",0)</f>
        <v>2</v>
      </c>
      <c r="I24" s="538" cm="1">
        <f t="array" ref="I24">_xlfn.XLOOKUP($C24,Aux!$W1:$W51,Aux!T1:T51,"-",0)</f>
        <v>0</v>
      </c>
      <c r="J24" s="538" cm="1">
        <f t="array" ref="J24">_xlfn.XLOOKUP($C24,Aux!$W1:$W51,Aux!U1:U51,"-",0)</f>
        <v>6</v>
      </c>
      <c r="K24" s="539" cm="1">
        <f t="array" ref="K24">_xlfn.XLOOKUP($C24,Aux!$W1:$W51,Aux!V1:V51,"-",0)</f>
        <v>6</v>
      </c>
      <c r="L24" s="472"/>
      <c r="M24" s="473"/>
      <c r="N24" s="473"/>
      <c r="O24" s="473"/>
      <c r="P24" s="473"/>
      <c r="Q24" s="473"/>
      <c r="R24" s="473"/>
      <c r="S24" s="473"/>
      <c r="T24" s="473"/>
      <c r="U24" s="473"/>
      <c r="V24" s="473"/>
      <c r="W24" s="473"/>
      <c r="X24" s="473"/>
      <c r="Y24" s="473"/>
      <c r="Z24" s="473"/>
      <c r="AA24" s="473"/>
      <c r="AB24" s="473"/>
      <c r="AC24" s="473"/>
      <c r="AD24" s="473"/>
      <c r="AE24" s="474"/>
    </row>
    <row r="25" spans="1:31" ht="14.25" customHeight="1">
      <c r="A25" s="534">
        <v>24</v>
      </c>
      <c r="B25" s="535" t="s">
        <v>312</v>
      </c>
      <c r="C25" s="536" cm="1">
        <f t="array" ref="C25">LARGE(Aux!$W$4:$W$51,A25)</f>
        <v>103.99050000013513</v>
      </c>
      <c r="D25" s="537" t="str" cm="1">
        <f t="array" ref="D25">_xlfn.XLOOKUP($C25,Aux!$W1:$W51,Aux!H1:H51,"-",0)</f>
        <v>Ghana</v>
      </c>
      <c r="E25" s="538" cm="1">
        <f t="array" ref="E25">F25*3+G25</f>
        <v>4</v>
      </c>
      <c r="F25" s="538" cm="1">
        <f t="array" ref="F25">_xlfn.XLOOKUP($C25,Aux!$W1:$W51,Aux!Q1:Q51,"-",0)</f>
        <v>1</v>
      </c>
      <c r="G25" s="538" cm="1">
        <f t="array" ref="G25">_xlfn.XLOOKUP($C25,Aux!$W1:$W51,Aux!R1:R51,"-",0)</f>
        <v>1</v>
      </c>
      <c r="H25" s="538" cm="1">
        <f t="array" ref="H25">_xlfn.XLOOKUP($C25,Aux!$W1:$W51,Aux!S1:S51,"-",0)</f>
        <v>2</v>
      </c>
      <c r="I25" s="538" cm="1">
        <f t="array" ref="I25">_xlfn.XLOOKUP($C25,Aux!$W1:$W51,Aux!T1:T51,"-",0)</f>
        <v>-1</v>
      </c>
      <c r="J25" s="538" cm="1">
        <f t="array" ref="J25">_xlfn.XLOOKUP($C25,Aux!$W1:$W51,Aux!U1:U51,"-",0)</f>
        <v>5</v>
      </c>
      <c r="K25" s="539" cm="1">
        <f t="array" ref="K25">_xlfn.XLOOKUP($C25,Aux!$W1:$W51,Aux!V1:V51,"-",0)</f>
        <v>6</v>
      </c>
      <c r="L25" s="472"/>
      <c r="M25" s="473"/>
      <c r="N25" s="473"/>
      <c r="O25" s="473"/>
      <c r="P25" s="473"/>
      <c r="Q25" s="473"/>
      <c r="R25" s="473"/>
      <c r="S25" s="473"/>
      <c r="T25" s="473"/>
      <c r="U25" s="473"/>
      <c r="V25" s="473"/>
      <c r="W25" s="473"/>
      <c r="X25" s="473"/>
      <c r="Y25" s="473"/>
      <c r="Z25" s="473"/>
      <c r="AA25" s="473"/>
      <c r="AB25" s="473"/>
      <c r="AC25" s="473"/>
      <c r="AD25" s="473"/>
      <c r="AE25" s="474"/>
    </row>
    <row r="26" spans="1:31" ht="14.25" customHeight="1">
      <c r="A26" s="534">
        <v>25</v>
      </c>
      <c r="B26" s="535" t="s">
        <v>312</v>
      </c>
      <c r="C26" s="536" cm="1">
        <f t="array" ref="C26">LARGE(Aux!$W$4:$W$51,A26)</f>
        <v>103.99040000055555</v>
      </c>
      <c r="D26" s="537" t="str" cm="1">
        <f t="array" ref="D26">_xlfn.XLOOKUP($C26,Aux!$W1:$W51,Aux!H1:H51,"-",0)</f>
        <v>Japon</v>
      </c>
      <c r="E26" s="538" cm="1">
        <f t="array" ref="E26">F26*3+G26</f>
        <v>4</v>
      </c>
      <c r="F26" s="538" cm="1">
        <f t="array" ref="F26">_xlfn.XLOOKUP($C26,Aux!$W1:$W51,Aux!Q1:Q51,"-",0)</f>
        <v>1</v>
      </c>
      <c r="G26" s="538" cm="1">
        <f t="array" ref="G26">_xlfn.XLOOKUP($C26,Aux!$W1:$W51,Aux!R1:R51,"-",0)</f>
        <v>1</v>
      </c>
      <c r="H26" s="538" cm="1">
        <f t="array" ref="H26">_xlfn.XLOOKUP($C26,Aux!$W1:$W51,Aux!S1:S51,"-",0)</f>
        <v>2</v>
      </c>
      <c r="I26" s="538" cm="1">
        <f t="array" ref="I26">_xlfn.XLOOKUP($C26,Aux!$W1:$W51,Aux!T1:T51,"-",0)</f>
        <v>-1</v>
      </c>
      <c r="J26" s="538" cm="1">
        <f t="array" ref="J26">_xlfn.XLOOKUP($C26,Aux!$W1:$W51,Aux!U1:U51,"-",0)</f>
        <v>4</v>
      </c>
      <c r="K26" s="539" cm="1">
        <f t="array" ref="K26">_xlfn.XLOOKUP($C26,Aux!$W1:$W51,Aux!V1:V51,"-",0)</f>
        <v>5</v>
      </c>
      <c r="L26" s="472"/>
      <c r="M26" s="473"/>
      <c r="N26" s="473"/>
      <c r="O26" s="473"/>
      <c r="P26" s="473"/>
      <c r="Q26" s="473"/>
      <c r="R26" s="473"/>
      <c r="S26" s="473"/>
      <c r="T26" s="473"/>
      <c r="U26" s="473"/>
      <c r="V26" s="473"/>
      <c r="W26" s="473"/>
      <c r="X26" s="473"/>
      <c r="Y26" s="473"/>
      <c r="Z26" s="473"/>
      <c r="AA26" s="473"/>
      <c r="AB26" s="473"/>
      <c r="AC26" s="473"/>
      <c r="AD26" s="473"/>
      <c r="AE26" s="474"/>
    </row>
    <row r="27" spans="1:31" ht="14.25" customHeight="1">
      <c r="A27" s="534">
        <v>26</v>
      </c>
      <c r="B27" s="535" t="s">
        <v>312</v>
      </c>
      <c r="C27" s="536" cm="1">
        <f t="array" ref="C27">LARGE(Aux!$W$4:$W$51,A27)</f>
        <v>103.99030000045454</v>
      </c>
      <c r="D27" s="537" t="str" cm="1">
        <f t="array" ref="D27">_xlfn.XLOOKUP($C27,Aux!$W1:$W51,Aux!H1:H51,"-",0)</f>
        <v>Turquia</v>
      </c>
      <c r="E27" s="538" cm="1">
        <f t="array" ref="E27">F27*3+G27</f>
        <v>4</v>
      </c>
      <c r="F27" s="538" cm="1">
        <f t="array" ref="F27">_xlfn.XLOOKUP($C27,Aux!$W1:$W51,Aux!Q1:Q51,"-",0)</f>
        <v>1</v>
      </c>
      <c r="G27" s="538" cm="1">
        <f t="array" ref="G27">_xlfn.XLOOKUP($C27,Aux!$W1:$W51,Aux!R1:R51,"-",0)</f>
        <v>1</v>
      </c>
      <c r="H27" s="538" cm="1">
        <f t="array" ref="H27">_xlfn.XLOOKUP($C27,Aux!$W1:$W51,Aux!S1:S51,"-",0)</f>
        <v>2</v>
      </c>
      <c r="I27" s="538" cm="1">
        <f t="array" ref="I27">_xlfn.XLOOKUP($C27,Aux!$W1:$W51,Aux!T1:T51,"-",0)</f>
        <v>-1</v>
      </c>
      <c r="J27" s="538" cm="1">
        <f t="array" ref="J27">_xlfn.XLOOKUP($C27,Aux!$W1:$W51,Aux!U1:U51,"-",0)</f>
        <v>3</v>
      </c>
      <c r="K27" s="539" cm="1">
        <f t="array" ref="K27">_xlfn.XLOOKUP($C27,Aux!$W1:$W51,Aux!V1:V51,"-",0)</f>
        <v>4</v>
      </c>
      <c r="L27" s="472"/>
      <c r="M27" s="473"/>
      <c r="N27" s="473"/>
      <c r="O27" s="473"/>
      <c r="P27" s="473"/>
      <c r="Q27" s="473"/>
      <c r="R27" s="473"/>
      <c r="S27" s="473"/>
      <c r="T27" s="473"/>
      <c r="U27" s="473"/>
      <c r="V27" s="473"/>
      <c r="W27" s="473"/>
      <c r="X27" s="473"/>
      <c r="Y27" s="473"/>
      <c r="Z27" s="473"/>
      <c r="AA27" s="473"/>
      <c r="AB27" s="473"/>
      <c r="AC27" s="473"/>
      <c r="AD27" s="473"/>
      <c r="AE27" s="474"/>
    </row>
    <row r="28" spans="1:31" ht="14.25" customHeight="1">
      <c r="A28" s="534">
        <v>27</v>
      </c>
      <c r="B28" s="535" t="s">
        <v>312</v>
      </c>
      <c r="C28" s="536" cm="1">
        <f t="array" ref="C28">LARGE(Aux!$W$4:$W$51,A28)</f>
        <v>103.99030000029411</v>
      </c>
      <c r="D28" s="537" t="str" cm="1">
        <f t="array" ref="D28">_xlfn.XLOOKUP($C28,Aux!$W1:$W51,Aux!H1:H51,"-",0)</f>
        <v>Costa de Marfil</v>
      </c>
      <c r="E28" s="538" cm="1">
        <f t="array" ref="E28">F28*3+G28</f>
        <v>4</v>
      </c>
      <c r="F28" s="538" cm="1">
        <f t="array" ref="F28">_xlfn.XLOOKUP($C28,Aux!$W1:$W51,Aux!Q1:Q51,"-",0)</f>
        <v>1</v>
      </c>
      <c r="G28" s="538" cm="1">
        <f t="array" ref="G28">_xlfn.XLOOKUP($C28,Aux!$W1:$W51,Aux!R1:R51,"-",0)</f>
        <v>1</v>
      </c>
      <c r="H28" s="538" cm="1">
        <f t="array" ref="H28">_xlfn.XLOOKUP($C28,Aux!$W1:$W51,Aux!S1:S51,"-",0)</f>
        <v>2</v>
      </c>
      <c r="I28" s="538" cm="1">
        <f t="array" ref="I28">_xlfn.XLOOKUP($C28,Aux!$W1:$W51,Aux!T1:T51,"-",0)</f>
        <v>-1</v>
      </c>
      <c r="J28" s="538" cm="1">
        <f t="array" ref="J28">_xlfn.XLOOKUP($C28,Aux!$W1:$W51,Aux!U1:U51,"-",0)</f>
        <v>3</v>
      </c>
      <c r="K28" s="539" cm="1">
        <f t="array" ref="K28">_xlfn.XLOOKUP($C28,Aux!$W1:$W51,Aux!V1:V51,"-",0)</f>
        <v>4</v>
      </c>
      <c r="L28" s="472"/>
      <c r="M28" s="473"/>
      <c r="N28" s="473"/>
      <c r="O28" s="473"/>
      <c r="P28" s="473"/>
      <c r="Q28" s="473"/>
      <c r="R28" s="473"/>
      <c r="S28" s="473"/>
      <c r="T28" s="473"/>
      <c r="U28" s="473"/>
      <c r="V28" s="473"/>
      <c r="W28" s="473"/>
      <c r="X28" s="473"/>
      <c r="Y28" s="473"/>
      <c r="Z28" s="473"/>
      <c r="AA28" s="473"/>
      <c r="AB28" s="473"/>
      <c r="AC28" s="473"/>
      <c r="AD28" s="473"/>
      <c r="AE28" s="474"/>
    </row>
    <row r="29" spans="1:31" ht="14.25" customHeight="1">
      <c r="A29" s="534">
        <v>28</v>
      </c>
      <c r="B29" s="535" t="s">
        <v>312</v>
      </c>
      <c r="C29" s="536" cm="1">
        <f t="array" ref="C29">LARGE(Aux!$W$4:$W$51,A29)</f>
        <v>103.99030000024389</v>
      </c>
      <c r="D29" s="537" t="str" cm="1">
        <f t="array" ref="D29">_xlfn.XLOOKUP($C29,Aux!$W1:$W51,Aux!H1:H51,"-",0)</f>
        <v>Repubilca Checa</v>
      </c>
      <c r="E29" s="538" cm="1">
        <f t="array" ref="E29">F29*3+G29</f>
        <v>4</v>
      </c>
      <c r="F29" s="538" cm="1">
        <f t="array" ref="F29">_xlfn.XLOOKUP($C29,Aux!$W1:$W51,Aux!Q1:Q51,"-",0)</f>
        <v>1</v>
      </c>
      <c r="G29" s="538" cm="1">
        <f t="array" ref="G29">_xlfn.XLOOKUP($C29,Aux!$W1:$W51,Aux!R1:R51,"-",0)</f>
        <v>1</v>
      </c>
      <c r="H29" s="538" cm="1">
        <f t="array" ref="H29">_xlfn.XLOOKUP($C29,Aux!$W1:$W51,Aux!S1:S51,"-",0)</f>
        <v>2</v>
      </c>
      <c r="I29" s="538" cm="1">
        <f t="array" ref="I29">_xlfn.XLOOKUP($C29,Aux!$W1:$W51,Aux!T1:T51,"-",0)</f>
        <v>-1</v>
      </c>
      <c r="J29" s="538" cm="1">
        <f t="array" ref="J29">_xlfn.XLOOKUP($C29,Aux!$W1:$W51,Aux!U1:U51,"-",0)</f>
        <v>3</v>
      </c>
      <c r="K29" s="539" cm="1">
        <f t="array" ref="K29">_xlfn.XLOOKUP($C29,Aux!$W1:$W51,Aux!V1:V51,"-",0)</f>
        <v>4</v>
      </c>
      <c r="L29" s="472"/>
      <c r="M29" s="473"/>
      <c r="N29" s="473"/>
      <c r="O29" s="473"/>
      <c r="P29" s="473"/>
      <c r="Q29" s="473"/>
      <c r="R29" s="473"/>
      <c r="S29" s="473"/>
      <c r="T29" s="473"/>
      <c r="U29" s="473"/>
      <c r="V29" s="473"/>
      <c r="W29" s="473"/>
      <c r="X29" s="473"/>
      <c r="Y29" s="473"/>
      <c r="Z29" s="473"/>
      <c r="AA29" s="473"/>
      <c r="AB29" s="473"/>
      <c r="AC29" s="473"/>
      <c r="AD29" s="473"/>
      <c r="AE29" s="474"/>
    </row>
    <row r="30" spans="1:31" ht="14.25" customHeight="1">
      <c r="A30" s="534">
        <v>29</v>
      </c>
      <c r="B30" s="535" t="s">
        <v>312</v>
      </c>
      <c r="C30" s="536" cm="1">
        <f t="array" ref="C30">LARGE(Aux!$W$4:$W$51,A30)</f>
        <v>103.98040000026316</v>
      </c>
      <c r="D30" s="537" t="str" cm="1">
        <f t="array" ref="D30">_xlfn.XLOOKUP($C30,Aux!$W1:$W51,Aux!H1:H51,"-",0)</f>
        <v>Suecia</v>
      </c>
      <c r="E30" s="538" cm="1">
        <f t="array" ref="E30">F30*3+G30</f>
        <v>4</v>
      </c>
      <c r="F30" s="538" cm="1">
        <f t="array" ref="F30">_xlfn.XLOOKUP($C30,Aux!$W1:$W51,Aux!Q1:Q51,"-",0)</f>
        <v>1</v>
      </c>
      <c r="G30" s="538" cm="1">
        <f t="array" ref="G30">_xlfn.XLOOKUP($C30,Aux!$W1:$W51,Aux!R1:R51,"-",0)</f>
        <v>1</v>
      </c>
      <c r="H30" s="538" cm="1">
        <f t="array" ref="H30">_xlfn.XLOOKUP($C30,Aux!$W1:$W51,Aux!S1:S51,"-",0)</f>
        <v>2</v>
      </c>
      <c r="I30" s="538" cm="1">
        <f t="array" ref="I30">_xlfn.XLOOKUP($C30,Aux!$W1:$W51,Aux!T1:T51,"-",0)</f>
        <v>-2</v>
      </c>
      <c r="J30" s="538" cm="1">
        <f t="array" ref="J30">_xlfn.XLOOKUP($C30,Aux!$W1:$W51,Aux!U1:U51,"-",0)</f>
        <v>4</v>
      </c>
      <c r="K30" s="539" cm="1">
        <f t="array" ref="K30">_xlfn.XLOOKUP($C30,Aux!$W1:$W51,Aux!V1:V51,"-",0)</f>
        <v>6</v>
      </c>
      <c r="L30" s="472"/>
      <c r="M30" s="473"/>
      <c r="N30" s="473"/>
      <c r="O30" s="473"/>
      <c r="P30" s="473"/>
      <c r="Q30" s="473"/>
      <c r="R30" s="473"/>
      <c r="S30" s="473"/>
      <c r="T30" s="473"/>
      <c r="U30" s="473"/>
      <c r="V30" s="473"/>
      <c r="W30" s="473"/>
      <c r="X30" s="473"/>
      <c r="Y30" s="473"/>
      <c r="Z30" s="473"/>
      <c r="AA30" s="473"/>
      <c r="AB30" s="473"/>
      <c r="AC30" s="473"/>
      <c r="AD30" s="473"/>
      <c r="AE30" s="474"/>
    </row>
    <row r="31" spans="1:31" ht="14.25" customHeight="1">
      <c r="A31" s="534">
        <v>30</v>
      </c>
      <c r="B31" s="535" t="s">
        <v>312</v>
      </c>
      <c r="C31" s="536" cm="1">
        <f t="array" ref="C31">LARGE(Aux!$W$4:$W$51,A31)</f>
        <v>103.98030000041666</v>
      </c>
      <c r="D31" s="537" t="str" cm="1">
        <f t="array" ref="D31">_xlfn.XLOOKUP($C31,Aux!$W1:$W51,Aux!H1:H51,"-",0)</f>
        <v>Austria</v>
      </c>
      <c r="E31" s="538" cm="1">
        <f t="array" ref="E31">F31*3+G31</f>
        <v>4</v>
      </c>
      <c r="F31" s="538" cm="1">
        <f t="array" ref="F31">_xlfn.XLOOKUP($C31,Aux!$W1:$W51,Aux!Q1:Q51,"-",0)</f>
        <v>1</v>
      </c>
      <c r="G31" s="538" cm="1">
        <f t="array" ref="G31">_xlfn.XLOOKUP($C31,Aux!$W1:$W51,Aux!R1:R51,"-",0)</f>
        <v>1</v>
      </c>
      <c r="H31" s="538" cm="1">
        <f t="array" ref="H31">_xlfn.XLOOKUP($C31,Aux!$W1:$W51,Aux!S1:S51,"-",0)</f>
        <v>2</v>
      </c>
      <c r="I31" s="538" cm="1">
        <f t="array" ref="I31">_xlfn.XLOOKUP($C31,Aux!$W1:$W51,Aux!T1:T51,"-",0)</f>
        <v>-2</v>
      </c>
      <c r="J31" s="538" cm="1">
        <f t="array" ref="J31">_xlfn.XLOOKUP($C31,Aux!$W1:$W51,Aux!U1:U51,"-",0)</f>
        <v>3</v>
      </c>
      <c r="K31" s="539" cm="1">
        <f t="array" ref="K31">_xlfn.XLOOKUP($C31,Aux!$W1:$W51,Aux!V1:V51,"-",0)</f>
        <v>5</v>
      </c>
      <c r="L31" s="472"/>
      <c r="M31" s="473"/>
      <c r="N31" s="473"/>
      <c r="O31" s="473"/>
      <c r="P31" s="473"/>
      <c r="Q31" s="473"/>
      <c r="R31" s="473"/>
      <c r="S31" s="473"/>
      <c r="T31" s="473"/>
      <c r="U31" s="473"/>
      <c r="V31" s="473"/>
      <c r="W31" s="473"/>
      <c r="X31" s="473"/>
      <c r="Y31" s="473"/>
      <c r="Z31" s="473"/>
      <c r="AA31" s="473"/>
      <c r="AB31" s="473"/>
      <c r="AC31" s="473"/>
      <c r="AD31" s="473"/>
      <c r="AE31" s="474"/>
    </row>
    <row r="32" spans="1:31" ht="14.25" customHeight="1">
      <c r="A32" s="534">
        <v>31</v>
      </c>
      <c r="B32" s="535" t="s">
        <v>312</v>
      </c>
      <c r="C32" s="536" cm="1">
        <f t="array" ref="C32">LARGE(Aux!$W$4:$W$51,A32)</f>
        <v>103.98010000035715</v>
      </c>
      <c r="D32" s="537" t="str" cm="1">
        <f t="array" ref="D32">_xlfn.XLOOKUP($C32,Aux!$W1:$W51,Aux!H1:H51,"-",0)</f>
        <v>Argelia</v>
      </c>
      <c r="E32" s="538" cm="1">
        <f t="array" ref="E32">F32*3+G32</f>
        <v>4</v>
      </c>
      <c r="F32" s="538" cm="1">
        <f t="array" ref="F32">_xlfn.XLOOKUP($C32,Aux!$W1:$W51,Aux!Q1:Q51,"-",0)</f>
        <v>1</v>
      </c>
      <c r="G32" s="538" cm="1">
        <f t="array" ref="G32">_xlfn.XLOOKUP($C32,Aux!$W1:$W51,Aux!R1:R51,"-",0)</f>
        <v>1</v>
      </c>
      <c r="H32" s="538" cm="1">
        <f t="array" ref="H32">_xlfn.XLOOKUP($C32,Aux!$W1:$W51,Aux!S1:S51,"-",0)</f>
        <v>2</v>
      </c>
      <c r="I32" s="538" cm="1">
        <f t="array" ref="I32">_xlfn.XLOOKUP($C32,Aux!$W1:$W51,Aux!T1:T51,"-",0)</f>
        <v>-2</v>
      </c>
      <c r="J32" s="538" cm="1">
        <f t="array" ref="J32">_xlfn.XLOOKUP($C32,Aux!$W1:$W51,Aux!U1:U51,"-",0)</f>
        <v>1</v>
      </c>
      <c r="K32" s="539" cm="1">
        <f t="array" ref="K32">_xlfn.XLOOKUP($C32,Aux!$W1:$W51,Aux!V1:V51,"-",0)</f>
        <v>3</v>
      </c>
      <c r="L32" s="472"/>
      <c r="M32" s="473"/>
      <c r="N32" s="473"/>
      <c r="O32" s="473"/>
      <c r="P32" s="473"/>
      <c r="Q32" s="473"/>
      <c r="R32" s="473"/>
      <c r="S32" s="473"/>
      <c r="T32" s="473"/>
      <c r="U32" s="473"/>
      <c r="V32" s="473"/>
      <c r="W32" s="473"/>
      <c r="X32" s="473"/>
      <c r="Y32" s="473"/>
      <c r="Z32" s="473"/>
      <c r="AA32" s="473"/>
      <c r="AB32" s="473"/>
      <c r="AC32" s="473"/>
      <c r="AD32" s="473"/>
      <c r="AE32" s="474"/>
    </row>
    <row r="33" spans="1:31" ht="14.25" customHeight="1">
      <c r="A33" s="540">
        <v>32</v>
      </c>
      <c r="B33" s="541" t="s">
        <v>312</v>
      </c>
      <c r="C33" s="542" cm="1">
        <f t="array" ref="C33">LARGE(Aux!$W$4:$W$51,A33)</f>
        <v>103.00060000023257</v>
      </c>
      <c r="D33" s="543" t="str" cm="1">
        <f t="array" ref="D33">_xlfn.XLOOKUP($C33,Aux!$W1:$W51,Aux!H1:H51,"-",0)</f>
        <v>Escocia</v>
      </c>
      <c r="E33" s="544" cm="1">
        <f t="array" ref="E33">F33*3+G33</f>
        <v>3</v>
      </c>
      <c r="F33" s="544" cm="1">
        <f t="array" ref="F33">_xlfn.XLOOKUP($C33,Aux!$W1:$W51,Aux!Q1:Q51,"-",0)</f>
        <v>1</v>
      </c>
      <c r="G33" s="544" cm="1">
        <f t="array" ref="G33">_xlfn.XLOOKUP($C33,Aux!$W1:$W51,Aux!R1:R51,"-",0)</f>
        <v>0</v>
      </c>
      <c r="H33" s="544" cm="1">
        <f t="array" ref="H33">_xlfn.XLOOKUP($C33,Aux!$W1:$W51,Aux!S1:S51,"-",0)</f>
        <v>3</v>
      </c>
      <c r="I33" s="544" cm="1">
        <f t="array" ref="I33">_xlfn.XLOOKUP($C33,Aux!$W1:$W51,Aux!T1:T51,"-",0)</f>
        <v>0</v>
      </c>
      <c r="J33" s="544" cm="1">
        <f t="array" ref="J33">_xlfn.XLOOKUP($C33,Aux!$W1:$W51,Aux!U1:U51,"-",0)</f>
        <v>6</v>
      </c>
      <c r="K33" s="545" cm="1">
        <f t="array" ref="K33">_xlfn.XLOOKUP($C33,Aux!$W1:$W51,Aux!V1:V51,"-",0)</f>
        <v>6</v>
      </c>
      <c r="L33" s="472"/>
      <c r="M33" s="473"/>
      <c r="N33" s="473"/>
      <c r="O33" s="473"/>
      <c r="P33" s="473"/>
      <c r="Q33" s="473"/>
      <c r="R33" s="473"/>
      <c r="S33" s="473"/>
      <c r="T33" s="473"/>
      <c r="U33" s="473"/>
      <c r="V33" s="473"/>
      <c r="W33" s="473"/>
      <c r="X33" s="473"/>
      <c r="Y33" s="473"/>
      <c r="Z33" s="473"/>
      <c r="AA33" s="473"/>
      <c r="AB33" s="473"/>
      <c r="AC33" s="473"/>
      <c r="AD33" s="473"/>
      <c r="AE33" s="474"/>
    </row>
    <row r="34" spans="1:31" ht="14.25" customHeight="1">
      <c r="A34" s="546">
        <v>33</v>
      </c>
      <c r="B34" s="547" t="s">
        <v>313</v>
      </c>
      <c r="C34" s="548" cm="1">
        <f t="array" ref="C34">LARGE(Aux!$W$4:$W$51,A34)</f>
        <v>2.990300000163935</v>
      </c>
      <c r="D34" s="549" t="str" cm="1">
        <f t="array" ref="D34">_xlfn.XLOOKUP($C34,Aux!$W1:$W51,Aux!H1:H51,"-",0)</f>
        <v>Arabia Saudita</v>
      </c>
      <c r="E34" s="550" cm="1">
        <f t="array" ref="E34">F34*3+G34</f>
        <v>3</v>
      </c>
      <c r="F34" s="550" cm="1">
        <f t="array" ref="F34">_xlfn.XLOOKUP($C34,Aux!$W1:$W51,Aux!Q1:Q51,"-",0)</f>
        <v>1</v>
      </c>
      <c r="G34" s="550" cm="1">
        <f t="array" ref="G34">_xlfn.XLOOKUP($C34,Aux!$W1:$W51,Aux!R1:R51,"-",0)</f>
        <v>0</v>
      </c>
      <c r="H34" s="550" cm="1">
        <f t="array" ref="H34">_xlfn.XLOOKUP($C34,Aux!$W1:$W51,Aux!S1:S51,"-",0)</f>
        <v>2</v>
      </c>
      <c r="I34" s="550" cm="1">
        <f t="array" ref="I34">_xlfn.XLOOKUP($C34,Aux!$W1:$W51,Aux!T1:T51,"-",0)</f>
        <v>-1</v>
      </c>
      <c r="J34" s="550" cm="1">
        <f t="array" ref="J34">_xlfn.XLOOKUP($C34,Aux!$W1:$W51,Aux!U1:U51,"-",0)</f>
        <v>3</v>
      </c>
      <c r="K34" s="551" cm="1">
        <f t="array" ref="K34">_xlfn.XLOOKUP($C34,Aux!$W1:$W51,Aux!V1:V51,"-",0)</f>
        <v>4</v>
      </c>
      <c r="L34" s="472"/>
      <c r="M34" s="473"/>
      <c r="N34" s="473"/>
      <c r="O34" s="473"/>
      <c r="P34" s="473"/>
      <c r="Q34" s="473"/>
      <c r="R34" s="473"/>
      <c r="S34" s="473"/>
      <c r="T34" s="473"/>
      <c r="U34" s="473"/>
      <c r="V34" s="473"/>
      <c r="W34" s="473"/>
      <c r="X34" s="473"/>
      <c r="Y34" s="473"/>
      <c r="Z34" s="473"/>
      <c r="AA34" s="473"/>
      <c r="AB34" s="473"/>
      <c r="AC34" s="473"/>
      <c r="AD34" s="473"/>
      <c r="AE34" s="474"/>
    </row>
    <row r="35" spans="1:31" ht="14.25" customHeight="1">
      <c r="A35" s="552">
        <v>34</v>
      </c>
      <c r="B35" s="553" t="s">
        <v>313</v>
      </c>
      <c r="C35" s="554" cm="1">
        <f t="array" ref="C35">LARGE(Aux!$W$4:$W$51,A35)</f>
        <v>0.98010000015384613</v>
      </c>
      <c r="D35" s="555" t="str" cm="1">
        <f t="array" ref="D35">_xlfn.XLOOKUP($C35,Aux!$W1:$W51,Aux!H1:H51,"-",0)</f>
        <v>Bosnia</v>
      </c>
      <c r="E35" s="556" cm="1">
        <f t="array" ref="E35">F35*3+G35</f>
        <v>1</v>
      </c>
      <c r="F35" s="556" cm="1">
        <f t="array" ref="F35">_xlfn.XLOOKUP($C35,Aux!$W1:$W51,Aux!Q1:Q51,"-",0)</f>
        <v>0</v>
      </c>
      <c r="G35" s="556" cm="1">
        <f t="array" ref="G35">_xlfn.XLOOKUP($C35,Aux!$W1:$W51,Aux!R1:R51,"-",0)</f>
        <v>1</v>
      </c>
      <c r="H35" s="556" cm="1">
        <f t="array" ref="H35">_xlfn.XLOOKUP($C35,Aux!$W1:$W51,Aux!S1:S51,"-",0)</f>
        <v>2</v>
      </c>
      <c r="I35" s="556" cm="1">
        <f t="array" ref="I35">_xlfn.XLOOKUP($C35,Aux!$W1:$W51,Aux!T1:T51,"-",0)</f>
        <v>-2</v>
      </c>
      <c r="J35" s="556" cm="1">
        <f t="array" ref="J35">_xlfn.XLOOKUP($C35,Aux!$W1:$W51,Aux!U1:U51,"-",0)</f>
        <v>1</v>
      </c>
      <c r="K35" s="557" cm="1">
        <f t="array" ref="K35">_xlfn.XLOOKUP($C35,Aux!$W1:$W51,Aux!V1:V51,"-",0)</f>
        <v>3</v>
      </c>
      <c r="L35" s="472"/>
      <c r="M35" s="473"/>
      <c r="N35" s="473"/>
      <c r="O35" s="473"/>
      <c r="P35" s="473"/>
      <c r="Q35" s="473"/>
      <c r="R35" s="473"/>
      <c r="S35" s="473"/>
      <c r="T35" s="473"/>
      <c r="U35" s="473"/>
      <c r="V35" s="473"/>
      <c r="W35" s="473"/>
      <c r="X35" s="473"/>
      <c r="Y35" s="473"/>
      <c r="Z35" s="473"/>
      <c r="AA35" s="473"/>
      <c r="AB35" s="473"/>
      <c r="AC35" s="473"/>
      <c r="AD35" s="473"/>
      <c r="AE35" s="474"/>
    </row>
    <row r="36" spans="1:31" ht="14.25" customHeight="1">
      <c r="A36" s="552">
        <v>35</v>
      </c>
      <c r="B36" s="553" t="s">
        <v>313</v>
      </c>
      <c r="C36" s="554" cm="1">
        <f t="array" ref="C36">LARGE(Aux!$W$4:$W$51,A36)</f>
        <v>0.97030000047619047</v>
      </c>
      <c r="D36" s="555" t="str" cm="1">
        <f t="array" ref="D36">_xlfn.XLOOKUP($C36,Aux!$W1:$W51,Aux!H1:H51,"-",0)</f>
        <v>Iran</v>
      </c>
      <c r="E36" s="556" cm="1">
        <f t="array" ref="E36">F36*3+G36</f>
        <v>1</v>
      </c>
      <c r="F36" s="556" cm="1">
        <f t="array" ref="F36">_xlfn.XLOOKUP($C36,Aux!$W1:$W51,Aux!Q1:Q51,"-",0)</f>
        <v>0</v>
      </c>
      <c r="G36" s="556" cm="1">
        <f t="array" ref="G36">_xlfn.XLOOKUP($C36,Aux!$W1:$W51,Aux!R1:R51,"-",0)</f>
        <v>1</v>
      </c>
      <c r="H36" s="556" cm="1">
        <f t="array" ref="H36">_xlfn.XLOOKUP($C36,Aux!$W1:$W51,Aux!S1:S51,"-",0)</f>
        <v>2</v>
      </c>
      <c r="I36" s="556" cm="1">
        <f t="array" ref="I36">_xlfn.XLOOKUP($C36,Aux!$W1:$W51,Aux!T1:T51,"-",0)</f>
        <v>-3</v>
      </c>
      <c r="J36" s="556" cm="1">
        <f t="array" ref="J36">_xlfn.XLOOKUP($C36,Aux!$W1:$W51,Aux!U1:U51,"-",0)</f>
        <v>3</v>
      </c>
      <c r="K36" s="557" cm="1">
        <f t="array" ref="K36">_xlfn.XLOOKUP($C36,Aux!$W1:$W51,Aux!V1:V51,"-",0)</f>
        <v>6</v>
      </c>
      <c r="L36" s="472"/>
      <c r="M36" s="473"/>
      <c r="N36" s="473"/>
      <c r="O36" s="473"/>
      <c r="P36" s="473"/>
      <c r="Q36" s="473"/>
      <c r="R36" s="473"/>
      <c r="S36" s="473"/>
      <c r="T36" s="473"/>
      <c r="U36" s="473"/>
      <c r="V36" s="473"/>
      <c r="W36" s="473"/>
      <c r="X36" s="473"/>
      <c r="Y36" s="473"/>
      <c r="Z36" s="473"/>
      <c r="AA36" s="473"/>
      <c r="AB36" s="473"/>
      <c r="AC36" s="473"/>
      <c r="AD36" s="473"/>
      <c r="AE36" s="474"/>
    </row>
    <row r="37" spans="1:31" ht="14.25" customHeight="1">
      <c r="A37" s="552">
        <v>36</v>
      </c>
      <c r="B37" s="553" t="s">
        <v>313</v>
      </c>
      <c r="C37" s="554" cm="1">
        <f t="array" ref="C37">LARGE(Aux!$W$4:$W$51,A37)</f>
        <v>0.97020000011764707</v>
      </c>
      <c r="D37" s="555" t="str" cm="1">
        <f t="array" ref="D37">_xlfn.XLOOKUP($C37,Aux!$W1:$W51,Aux!H1:H51,"-",0)</f>
        <v>Nueva Zelanda</v>
      </c>
      <c r="E37" s="556" cm="1">
        <f t="array" ref="E37">F37*3+G37</f>
        <v>1</v>
      </c>
      <c r="F37" s="556" cm="1">
        <f t="array" ref="F37">_xlfn.XLOOKUP($C37,Aux!$W1:$W51,Aux!Q1:Q51,"-",0)</f>
        <v>0</v>
      </c>
      <c r="G37" s="556" cm="1">
        <f t="array" ref="G37">_xlfn.XLOOKUP($C37,Aux!$W1:$W51,Aux!R1:R51,"-",0)</f>
        <v>1</v>
      </c>
      <c r="H37" s="556" cm="1">
        <f t="array" ref="H37">_xlfn.XLOOKUP($C37,Aux!$W1:$W51,Aux!S1:S51,"-",0)</f>
        <v>2</v>
      </c>
      <c r="I37" s="556" cm="1">
        <f t="array" ref="I37">_xlfn.XLOOKUP($C37,Aux!$W1:$W51,Aux!T1:T51,"-",0)</f>
        <v>-3</v>
      </c>
      <c r="J37" s="556" cm="1">
        <f t="array" ref="J37">_xlfn.XLOOKUP($C37,Aux!$W1:$W51,Aux!U1:U51,"-",0)</f>
        <v>2</v>
      </c>
      <c r="K37" s="557" cm="1">
        <f t="array" ref="K37">_xlfn.XLOOKUP($C37,Aux!$W1:$W51,Aux!V1:V51,"-",0)</f>
        <v>5</v>
      </c>
      <c r="L37" s="472"/>
      <c r="M37" s="473"/>
      <c r="N37" s="473"/>
      <c r="O37" s="473"/>
      <c r="P37" s="473"/>
      <c r="Q37" s="473"/>
      <c r="R37" s="473"/>
      <c r="S37" s="473"/>
      <c r="T37" s="473"/>
      <c r="U37" s="473"/>
      <c r="V37" s="473"/>
      <c r="W37" s="473"/>
      <c r="X37" s="473"/>
      <c r="Y37" s="473"/>
      <c r="Z37" s="473"/>
      <c r="AA37" s="473"/>
      <c r="AB37" s="473"/>
      <c r="AC37" s="473"/>
      <c r="AD37" s="473"/>
      <c r="AE37" s="474"/>
    </row>
    <row r="38" spans="1:31" ht="14.25" customHeight="1">
      <c r="A38" s="552">
        <v>37</v>
      </c>
      <c r="B38" s="553" t="s">
        <v>313</v>
      </c>
      <c r="C38" s="554" cm="1">
        <f t="array" ref="C38">LARGE(Aux!$W$4:$W$51,A38)</f>
        <v>0.96010000018181818</v>
      </c>
      <c r="D38" s="555" t="str" cm="1">
        <f t="array" ref="D38">_xlfn.XLOOKUP($C38,Aux!$W1:$W51,Aux!H1:H51,"-",0)</f>
        <v>Qatar</v>
      </c>
      <c r="E38" s="556" cm="1">
        <f t="array" ref="E38">F38*3+G38</f>
        <v>1</v>
      </c>
      <c r="F38" s="556" cm="1">
        <f t="array" ref="F38">_xlfn.XLOOKUP($C38,Aux!$W1:$W51,Aux!Q1:Q51,"-",0)</f>
        <v>0</v>
      </c>
      <c r="G38" s="556" cm="1">
        <f t="array" ref="G38">_xlfn.XLOOKUP($C38,Aux!$W1:$W51,Aux!R1:R51,"-",0)</f>
        <v>1</v>
      </c>
      <c r="H38" s="556" cm="1">
        <f t="array" ref="H38">_xlfn.XLOOKUP($C38,Aux!$W1:$W51,Aux!S1:S51,"-",0)</f>
        <v>2</v>
      </c>
      <c r="I38" s="556" cm="1">
        <f t="array" ref="I38">_xlfn.XLOOKUP($C38,Aux!$W1:$W51,Aux!T1:T51,"-",0)</f>
        <v>-4</v>
      </c>
      <c r="J38" s="556" cm="1">
        <f t="array" ref="J38">_xlfn.XLOOKUP($C38,Aux!$W1:$W51,Aux!U1:U51,"-",0)</f>
        <v>1</v>
      </c>
      <c r="K38" s="557" cm="1">
        <f t="array" ref="K38">_xlfn.XLOOKUP($C38,Aux!$W1:$W51,Aux!V1:V51,"-",0)</f>
        <v>5</v>
      </c>
      <c r="L38" s="472"/>
      <c r="M38" s="473"/>
      <c r="N38" s="473"/>
      <c r="O38" s="473"/>
      <c r="P38" s="473"/>
      <c r="Q38" s="473"/>
      <c r="R38" s="473"/>
      <c r="S38" s="473"/>
      <c r="T38" s="473"/>
      <c r="U38" s="473"/>
      <c r="V38" s="473"/>
      <c r="W38" s="473"/>
      <c r="X38" s="473"/>
      <c r="Y38" s="473"/>
      <c r="Z38" s="473"/>
      <c r="AA38" s="473"/>
      <c r="AB38" s="473"/>
      <c r="AC38" s="473"/>
      <c r="AD38" s="473"/>
      <c r="AE38" s="474"/>
    </row>
    <row r="39" spans="1:31" ht="14.25" customHeight="1">
      <c r="A39" s="552">
        <v>38</v>
      </c>
      <c r="B39" s="553" t="s">
        <v>313</v>
      </c>
      <c r="C39" s="554" cm="1">
        <f t="array" ref="C39">LARGE(Aux!$W$4:$W$51,A39)</f>
        <v>0.95020000021739126</v>
      </c>
      <c r="D39" s="555" t="str" cm="1">
        <f t="array" ref="D39">_xlfn.XLOOKUP($C39,Aux!$W1:$W51,Aux!H1:H51,"-",0)</f>
        <v>Congo</v>
      </c>
      <c r="E39" s="556" cm="1">
        <f t="array" ref="E39">F39*3+G39</f>
        <v>1</v>
      </c>
      <c r="F39" s="556" cm="1">
        <f t="array" ref="F39">_xlfn.XLOOKUP($C39,Aux!$W1:$W51,Aux!Q1:Q51,"-",0)</f>
        <v>0</v>
      </c>
      <c r="G39" s="556" cm="1">
        <f t="array" ref="G39">_xlfn.XLOOKUP($C39,Aux!$W1:$W51,Aux!R1:R51,"-",0)</f>
        <v>1</v>
      </c>
      <c r="H39" s="556" cm="1">
        <f t="array" ref="H39">_xlfn.XLOOKUP($C39,Aux!$W1:$W51,Aux!S1:S51,"-",0)</f>
        <v>2</v>
      </c>
      <c r="I39" s="556" cm="1">
        <f t="array" ref="I39">_xlfn.XLOOKUP($C39,Aux!$W1:$W51,Aux!T1:T51,"-",0)</f>
        <v>-5</v>
      </c>
      <c r="J39" s="556" cm="1">
        <f t="array" ref="J39">_xlfn.XLOOKUP($C39,Aux!$W1:$W51,Aux!U1:U51,"-",0)</f>
        <v>2</v>
      </c>
      <c r="K39" s="557" cm="1">
        <f t="array" ref="K39">_xlfn.XLOOKUP($C39,Aux!$W1:$W51,Aux!V1:V51,"-",0)</f>
        <v>7</v>
      </c>
      <c r="L39" s="472"/>
      <c r="M39" s="473"/>
      <c r="N39" s="473"/>
      <c r="O39" s="473"/>
      <c r="P39" s="473"/>
      <c r="Q39" s="473"/>
      <c r="R39" s="473"/>
      <c r="S39" s="473"/>
      <c r="T39" s="473"/>
      <c r="U39" s="473"/>
      <c r="V39" s="473"/>
      <c r="W39" s="473"/>
      <c r="X39" s="473"/>
      <c r="Y39" s="473"/>
      <c r="Z39" s="473"/>
      <c r="AA39" s="473"/>
      <c r="AB39" s="473"/>
      <c r="AC39" s="473"/>
      <c r="AD39" s="473"/>
      <c r="AE39" s="474"/>
    </row>
    <row r="40" spans="1:31" ht="14.25" customHeight="1">
      <c r="A40" s="552">
        <v>39</v>
      </c>
      <c r="B40" s="553" t="s">
        <v>313</v>
      </c>
      <c r="C40" s="554" cm="1">
        <f t="array" ref="C40">LARGE(Aux!$W$4:$W$51,A40)</f>
        <v>0.95010000019999996</v>
      </c>
      <c r="D40" s="555" t="str" cm="1">
        <f t="array" ref="D40">_xlfn.XLOOKUP($C40,Aux!$W1:$W51,Aux!H1:H51,"-",0)</f>
        <v>Uzbekistan</v>
      </c>
      <c r="E40" s="556" cm="1">
        <f t="array" ref="E40">F40*3+G40</f>
        <v>1</v>
      </c>
      <c r="F40" s="556" cm="1">
        <f t="array" ref="F40">_xlfn.XLOOKUP($C40,Aux!$W1:$W51,Aux!Q1:Q51,"-",0)</f>
        <v>0</v>
      </c>
      <c r="G40" s="556" cm="1">
        <f t="array" ref="G40">_xlfn.XLOOKUP($C40,Aux!$W1:$W51,Aux!R1:R51,"-",0)</f>
        <v>1</v>
      </c>
      <c r="H40" s="556" cm="1">
        <f t="array" ref="H40">_xlfn.XLOOKUP($C40,Aux!$W1:$W51,Aux!S1:S51,"-",0)</f>
        <v>2</v>
      </c>
      <c r="I40" s="556" cm="1">
        <f t="array" ref="I40">_xlfn.XLOOKUP($C40,Aux!$W1:$W51,Aux!T1:T51,"-",0)</f>
        <v>-5</v>
      </c>
      <c r="J40" s="556" cm="1">
        <f t="array" ref="J40">_xlfn.XLOOKUP($C40,Aux!$W1:$W51,Aux!U1:U51,"-",0)</f>
        <v>1</v>
      </c>
      <c r="K40" s="557" cm="1">
        <f t="array" ref="K40">_xlfn.XLOOKUP($C40,Aux!$W1:$W51,Aux!V1:V51,"-",0)</f>
        <v>6</v>
      </c>
      <c r="L40" s="472"/>
      <c r="M40" s="473"/>
      <c r="N40" s="473"/>
      <c r="O40" s="473"/>
      <c r="P40" s="473"/>
      <c r="Q40" s="473"/>
      <c r="R40" s="473"/>
      <c r="S40" s="473"/>
      <c r="T40" s="473"/>
      <c r="U40" s="473"/>
      <c r="V40" s="473"/>
      <c r="W40" s="473"/>
      <c r="X40" s="473"/>
      <c r="Y40" s="473"/>
      <c r="Z40" s="473"/>
      <c r="AA40" s="473"/>
      <c r="AB40" s="473"/>
      <c r="AC40" s="473"/>
      <c r="AD40" s="473"/>
      <c r="AE40" s="474"/>
    </row>
    <row r="41" spans="1:31" ht="14.25" customHeight="1">
      <c r="A41" s="552">
        <v>40</v>
      </c>
      <c r="B41" s="553" t="s">
        <v>313</v>
      </c>
      <c r="C41" s="554" cm="1">
        <f t="array" ref="C41">LARGE(Aux!$W$4:$W$51,A41)</f>
        <v>-2.979999962962963E-2</v>
      </c>
      <c r="D41" s="555" t="str" cm="1">
        <f t="array" ref="D41">_xlfn.XLOOKUP($C41,Aux!$W1:$W51,Aux!H1:H51,"-",0)</f>
        <v>Australia</v>
      </c>
      <c r="E41" s="556" cm="1">
        <f t="array" ref="E41">F41*3+G41</f>
        <v>0</v>
      </c>
      <c r="F41" s="556" cm="1">
        <f t="array" ref="F41">_xlfn.XLOOKUP($C41,Aux!$W1:$W51,Aux!Q1:Q51,"-",0)</f>
        <v>0</v>
      </c>
      <c r="G41" s="556" cm="1">
        <f t="array" ref="G41">_xlfn.XLOOKUP($C41,Aux!$W1:$W51,Aux!R1:R51,"-",0)</f>
        <v>0</v>
      </c>
      <c r="H41" s="556" cm="1">
        <f t="array" ref="H41">_xlfn.XLOOKUP($C41,Aux!$W1:$W51,Aux!S1:S51,"-",0)</f>
        <v>3</v>
      </c>
      <c r="I41" s="556" cm="1">
        <f t="array" ref="I41">_xlfn.XLOOKUP($C41,Aux!$W1:$W51,Aux!T1:T51,"-",0)</f>
        <v>-3</v>
      </c>
      <c r="J41" s="556" cm="1">
        <f t="array" ref="J41">_xlfn.XLOOKUP($C41,Aux!$W1:$W51,Aux!U1:U51,"-",0)</f>
        <v>2</v>
      </c>
      <c r="K41" s="557" cm="1">
        <f t="array" ref="K41">_xlfn.XLOOKUP($C41,Aux!$W1:$W51,Aux!V1:V51,"-",0)</f>
        <v>5</v>
      </c>
      <c r="L41" s="472"/>
      <c r="M41" s="473"/>
      <c r="N41" s="473"/>
      <c r="O41" s="473"/>
      <c r="P41" s="473"/>
      <c r="Q41" s="473"/>
      <c r="R41" s="473"/>
      <c r="S41" s="473"/>
      <c r="T41" s="473"/>
      <c r="U41" s="473"/>
      <c r="V41" s="473"/>
      <c r="W41" s="473"/>
      <c r="X41" s="473"/>
      <c r="Y41" s="473"/>
      <c r="Z41" s="473"/>
      <c r="AA41" s="473"/>
      <c r="AB41" s="473"/>
      <c r="AC41" s="473"/>
      <c r="AD41" s="473"/>
      <c r="AE41" s="474"/>
    </row>
    <row r="42" spans="1:31" ht="14.25" customHeight="1">
      <c r="A42" s="552">
        <v>41</v>
      </c>
      <c r="B42" s="553" t="s">
        <v>313</v>
      </c>
      <c r="C42" s="554" cm="1">
        <f t="array" ref="C42">LARGE(Aux!$W$4:$W$51,A42)</f>
        <v>-3.9799999841269841E-2</v>
      </c>
      <c r="D42" s="555" t="str" cm="1">
        <f t="array" ref="D42">_xlfn.XLOOKUP($C42,Aux!$W1:$W51,Aux!H1:H51,"-",0)</f>
        <v>Jordania</v>
      </c>
      <c r="E42" s="556" cm="1">
        <f t="array" ref="E42">F42*3+G42</f>
        <v>0</v>
      </c>
      <c r="F42" s="556" cm="1">
        <f t="array" ref="F42">_xlfn.XLOOKUP($C42,Aux!$W1:$W51,Aux!Q1:Q51,"-",0)</f>
        <v>0</v>
      </c>
      <c r="G42" s="556" cm="1">
        <f t="array" ref="G42">_xlfn.XLOOKUP($C42,Aux!$W1:$W51,Aux!R1:R51,"-",0)</f>
        <v>0</v>
      </c>
      <c r="H42" s="556" cm="1">
        <f t="array" ref="H42">_xlfn.XLOOKUP($C42,Aux!$W1:$W51,Aux!S1:S51,"-",0)</f>
        <v>3</v>
      </c>
      <c r="I42" s="556" cm="1">
        <f t="array" ref="I42">_xlfn.XLOOKUP($C42,Aux!$W1:$W51,Aux!T1:T51,"-",0)</f>
        <v>-4</v>
      </c>
      <c r="J42" s="556" cm="1">
        <f t="array" ref="J42">_xlfn.XLOOKUP($C42,Aux!$W1:$W51,Aux!U1:U51,"-",0)</f>
        <v>2</v>
      </c>
      <c r="K42" s="557" cm="1">
        <f t="array" ref="K42">_xlfn.XLOOKUP($C42,Aux!$W1:$W51,Aux!V1:V51,"-",0)</f>
        <v>6</v>
      </c>
      <c r="L42" s="472"/>
      <c r="M42" s="473"/>
      <c r="N42" s="473"/>
      <c r="O42" s="473"/>
      <c r="P42" s="473"/>
      <c r="Q42" s="473"/>
      <c r="R42" s="473"/>
      <c r="S42" s="473"/>
      <c r="T42" s="473"/>
      <c r="U42" s="473"/>
      <c r="V42" s="473"/>
      <c r="W42" s="473"/>
      <c r="X42" s="473"/>
      <c r="Y42" s="473"/>
      <c r="Z42" s="473"/>
      <c r="AA42" s="473"/>
      <c r="AB42" s="473"/>
      <c r="AC42" s="473"/>
      <c r="AD42" s="473"/>
      <c r="AE42" s="474"/>
    </row>
    <row r="43" spans="1:31" ht="14.25" customHeight="1">
      <c r="A43" s="552">
        <v>42</v>
      </c>
      <c r="B43" s="553" t="s">
        <v>313</v>
      </c>
      <c r="C43" s="554" cm="1">
        <f t="array" ref="C43">LARGE(Aux!$W$4:$W$51,A43)</f>
        <v>-3.9999999833333334E-2</v>
      </c>
      <c r="D43" s="555" t="str" cm="1">
        <f t="array" ref="D43">_xlfn.XLOOKUP($C43,Aux!$W1:$W51,Aux!H1:H51,"-",0)</f>
        <v>Sudafrica</v>
      </c>
      <c r="E43" s="556" cm="1">
        <f t="array" ref="E43">F43*3+G43</f>
        <v>0</v>
      </c>
      <c r="F43" s="556" cm="1">
        <f t="array" ref="F43">_xlfn.XLOOKUP($C43,Aux!$W1:$W51,Aux!Q1:Q51,"-",0)</f>
        <v>0</v>
      </c>
      <c r="G43" s="556" cm="1">
        <f t="array" ref="G43">_xlfn.XLOOKUP($C43,Aux!$W1:$W51,Aux!R1:R51,"-",0)</f>
        <v>0</v>
      </c>
      <c r="H43" s="556" cm="1">
        <f t="array" ref="H43">_xlfn.XLOOKUP($C43,Aux!$W1:$W51,Aux!S1:S51,"-",0)</f>
        <v>3</v>
      </c>
      <c r="I43" s="556" cm="1">
        <f t="array" ref="I43">_xlfn.XLOOKUP($C43,Aux!$W1:$W51,Aux!T1:T51,"-",0)</f>
        <v>-4</v>
      </c>
      <c r="J43" s="556" cm="1">
        <f t="array" ref="J43">_xlfn.XLOOKUP($C43,Aux!$W1:$W51,Aux!U1:U51,"-",0)</f>
        <v>0</v>
      </c>
      <c r="K43" s="557" cm="1">
        <f t="array" ref="K43">_xlfn.XLOOKUP($C43,Aux!$W1:$W51,Aux!V1:V51,"-",0)</f>
        <v>4</v>
      </c>
      <c r="L43" s="472"/>
      <c r="M43" s="473"/>
      <c r="N43" s="473"/>
      <c r="O43" s="473"/>
      <c r="P43" s="473"/>
      <c r="Q43" s="473"/>
      <c r="R43" s="473"/>
      <c r="S43" s="473"/>
      <c r="T43" s="473"/>
      <c r="U43" s="473"/>
      <c r="V43" s="473"/>
      <c r="W43" s="473"/>
      <c r="X43" s="473"/>
      <c r="Y43" s="473"/>
      <c r="Z43" s="473"/>
      <c r="AA43" s="473"/>
      <c r="AB43" s="473"/>
      <c r="AC43" s="473"/>
      <c r="AD43" s="473"/>
      <c r="AE43" s="474"/>
    </row>
    <row r="44" spans="1:31" ht="14.25" customHeight="1">
      <c r="A44" s="552">
        <v>43</v>
      </c>
      <c r="B44" s="553" t="s">
        <v>313</v>
      </c>
      <c r="C44" s="554" cm="1">
        <f t="array" ref="C44">LARGE(Aux!$W$4:$W$51,A44)</f>
        <v>-5.9899999696969693E-2</v>
      </c>
      <c r="D44" s="555" t="str" cm="1">
        <f t="array" ref="D44">_xlfn.XLOOKUP($C44,Aux!$W1:$W51,Aux!H1:H51,"-",0)</f>
        <v>Panama</v>
      </c>
      <c r="E44" s="556" cm="1">
        <f t="array" ref="E44">F44*3+G44</f>
        <v>0</v>
      </c>
      <c r="F44" s="556" cm="1">
        <f t="array" ref="F44">_xlfn.XLOOKUP($C44,Aux!$W1:$W51,Aux!Q1:Q51,"-",0)</f>
        <v>0</v>
      </c>
      <c r="G44" s="556" cm="1">
        <f t="array" ref="G44">_xlfn.XLOOKUP($C44,Aux!$W1:$W51,Aux!R1:R51,"-",0)</f>
        <v>0</v>
      </c>
      <c r="H44" s="556" cm="1">
        <f t="array" ref="H44">_xlfn.XLOOKUP($C44,Aux!$W1:$W51,Aux!S1:S51,"-",0)</f>
        <v>3</v>
      </c>
      <c r="I44" s="556" cm="1">
        <f t="array" ref="I44">_xlfn.XLOOKUP($C44,Aux!$W1:$W51,Aux!T1:T51,"-",0)</f>
        <v>-6</v>
      </c>
      <c r="J44" s="556" cm="1">
        <f t="array" ref="J44">_xlfn.XLOOKUP($C44,Aux!$W1:$W51,Aux!U1:U51,"-",0)</f>
        <v>1</v>
      </c>
      <c r="K44" s="557" cm="1">
        <f t="array" ref="K44">_xlfn.XLOOKUP($C44,Aux!$W1:$W51,Aux!V1:V51,"-",0)</f>
        <v>7</v>
      </c>
      <c r="L44" s="472"/>
      <c r="M44" s="473"/>
      <c r="N44" s="473"/>
      <c r="O44" s="473"/>
      <c r="P44" s="473"/>
      <c r="Q44" s="473"/>
      <c r="R44" s="473"/>
      <c r="S44" s="473"/>
      <c r="T44" s="473"/>
      <c r="U44" s="473"/>
      <c r="V44" s="473"/>
      <c r="W44" s="473"/>
      <c r="X44" s="473"/>
      <c r="Y44" s="473"/>
      <c r="Z44" s="473"/>
      <c r="AA44" s="473"/>
      <c r="AB44" s="473"/>
      <c r="AC44" s="473"/>
      <c r="AD44" s="473"/>
      <c r="AE44" s="474"/>
    </row>
    <row r="45" spans="1:31" ht="14.25" customHeight="1">
      <c r="A45" s="552">
        <v>44</v>
      </c>
      <c r="B45" s="553" t="s">
        <v>313</v>
      </c>
      <c r="C45" s="554" cm="1">
        <f t="array" ref="C45">LARGE(Aux!$W$4:$W$51,A45)</f>
        <v>-5.9999999772727269E-2</v>
      </c>
      <c r="D45" s="555" t="str" cm="1">
        <f t="array" ref="D45">_xlfn.XLOOKUP($C45,Aux!$W1:$W51,Aux!H1:H51,"-",0)</f>
        <v>Tunez</v>
      </c>
      <c r="E45" s="556" cm="1">
        <f t="array" ref="E45">F45*3+G45</f>
        <v>0</v>
      </c>
      <c r="F45" s="556" cm="1">
        <f t="array" ref="F45">_xlfn.XLOOKUP($C45,Aux!$W1:$W51,Aux!Q1:Q51,"-",0)</f>
        <v>0</v>
      </c>
      <c r="G45" s="556" cm="1">
        <f t="array" ref="G45">_xlfn.XLOOKUP($C45,Aux!$W1:$W51,Aux!R1:R51,"-",0)</f>
        <v>0</v>
      </c>
      <c r="H45" s="556" cm="1">
        <f t="array" ref="H45">_xlfn.XLOOKUP($C45,Aux!$W1:$W51,Aux!S1:S51,"-",0)</f>
        <v>3</v>
      </c>
      <c r="I45" s="556" cm="1">
        <f t="array" ref="I45">_xlfn.XLOOKUP($C45,Aux!$W1:$W51,Aux!T1:T51,"-",0)</f>
        <v>-6</v>
      </c>
      <c r="J45" s="556" cm="1">
        <f t="array" ref="J45">_xlfn.XLOOKUP($C45,Aux!$W1:$W51,Aux!U1:U51,"-",0)</f>
        <v>0</v>
      </c>
      <c r="K45" s="557" cm="1">
        <f t="array" ref="K45">_xlfn.XLOOKUP($C45,Aux!$W1:$W51,Aux!V1:V51,"-",0)</f>
        <v>6</v>
      </c>
      <c r="L45" s="472"/>
      <c r="M45" s="473"/>
      <c r="N45" s="473"/>
      <c r="O45" s="473"/>
      <c r="P45" s="473"/>
      <c r="Q45" s="473"/>
      <c r="R45" s="473"/>
      <c r="S45" s="473"/>
      <c r="T45" s="473"/>
      <c r="U45" s="473"/>
      <c r="V45" s="473"/>
      <c r="W45" s="473"/>
      <c r="X45" s="473"/>
      <c r="Y45" s="473"/>
      <c r="Z45" s="473"/>
      <c r="AA45" s="473"/>
      <c r="AB45" s="473"/>
      <c r="AC45" s="473"/>
      <c r="AD45" s="473"/>
      <c r="AE45" s="474"/>
    </row>
    <row r="46" spans="1:31" ht="14.25" customHeight="1">
      <c r="A46" s="552">
        <v>45</v>
      </c>
      <c r="B46" s="553" t="s">
        <v>313</v>
      </c>
      <c r="C46" s="554" cm="1">
        <f t="array" ref="C46">LARGE(Aux!$W$4:$W$51,A46)</f>
        <v>-6.9999999824561412E-2</v>
      </c>
      <c r="D46" s="555" t="str" cm="1">
        <f t="array" ref="D46">_xlfn.XLOOKUP($C46,Aux!$W1:$W51,Aux!H1:H51,"-",0)</f>
        <v>Irak</v>
      </c>
      <c r="E46" s="556" cm="1">
        <f t="array" ref="E46">F46*3+G46</f>
        <v>0</v>
      </c>
      <c r="F46" s="556" cm="1">
        <f t="array" ref="F46">_xlfn.XLOOKUP($C46,Aux!$W1:$W51,Aux!Q1:Q51,"-",0)</f>
        <v>0</v>
      </c>
      <c r="G46" s="556" cm="1">
        <f t="array" ref="G46">_xlfn.XLOOKUP($C46,Aux!$W1:$W51,Aux!R1:R51,"-",0)</f>
        <v>0</v>
      </c>
      <c r="H46" s="556" cm="1">
        <f t="array" ref="H46">_xlfn.XLOOKUP($C46,Aux!$W1:$W51,Aux!S1:S51,"-",0)</f>
        <v>3</v>
      </c>
      <c r="I46" s="556" cm="1">
        <f t="array" ref="I46">_xlfn.XLOOKUP($C46,Aux!$W1:$W51,Aux!T1:T51,"-",0)</f>
        <v>-7</v>
      </c>
      <c r="J46" s="556" cm="1">
        <f t="array" ref="J46">_xlfn.XLOOKUP($C46,Aux!$W1:$W51,Aux!U1:U51,"-",0)</f>
        <v>0</v>
      </c>
      <c r="K46" s="557" cm="1">
        <f t="array" ref="K46">_xlfn.XLOOKUP($C46,Aux!$W1:$W51,Aux!V1:V51,"-",0)</f>
        <v>7</v>
      </c>
      <c r="L46" s="472"/>
      <c r="M46" s="473"/>
      <c r="N46" s="473"/>
      <c r="O46" s="473"/>
      <c r="P46" s="473"/>
      <c r="Q46" s="473"/>
      <c r="R46" s="473"/>
      <c r="S46" s="473"/>
      <c r="T46" s="473"/>
      <c r="U46" s="473"/>
      <c r="V46" s="473"/>
      <c r="W46" s="473"/>
      <c r="X46" s="473"/>
      <c r="Y46" s="473"/>
      <c r="Z46" s="473"/>
      <c r="AA46" s="473"/>
      <c r="AB46" s="473"/>
      <c r="AC46" s="473"/>
      <c r="AD46" s="473"/>
      <c r="AE46" s="474"/>
    </row>
    <row r="47" spans="1:31" ht="14.25" customHeight="1">
      <c r="A47" s="552">
        <v>46</v>
      </c>
      <c r="B47" s="553" t="s">
        <v>313</v>
      </c>
      <c r="C47" s="554" cm="1">
        <f t="array" ref="C47">LARGE(Aux!$W$4:$W$51,A47)</f>
        <v>-7.9999999855072459E-2</v>
      </c>
      <c r="D47" s="555" t="str" cm="1">
        <f t="array" ref="D47">_xlfn.XLOOKUP($C47,Aux!$W1:$W51,Aux!H1:H51,"-",0)</f>
        <v>Cabo Verde</v>
      </c>
      <c r="E47" s="556" cm="1">
        <f t="array" ref="E47">F47*3+G47</f>
        <v>0</v>
      </c>
      <c r="F47" s="556" cm="1">
        <f t="array" ref="F47">_xlfn.XLOOKUP($C47,Aux!$W1:$W51,Aux!Q1:Q51,"-",0)</f>
        <v>0</v>
      </c>
      <c r="G47" s="556" cm="1">
        <f t="array" ref="G47">_xlfn.XLOOKUP($C47,Aux!$W1:$W51,Aux!R1:R51,"-",0)</f>
        <v>0</v>
      </c>
      <c r="H47" s="556" cm="1">
        <f t="array" ref="H47">_xlfn.XLOOKUP($C47,Aux!$W1:$W51,Aux!S1:S51,"-",0)</f>
        <v>3</v>
      </c>
      <c r="I47" s="556" cm="1">
        <f t="array" ref="I47">_xlfn.XLOOKUP($C47,Aux!$W1:$W51,Aux!T1:T51,"-",0)</f>
        <v>-8</v>
      </c>
      <c r="J47" s="556" cm="1">
        <f t="array" ref="J47">_xlfn.XLOOKUP($C47,Aux!$W1:$W51,Aux!U1:U51,"-",0)</f>
        <v>0</v>
      </c>
      <c r="K47" s="557" cm="1">
        <f t="array" ref="K47">_xlfn.XLOOKUP($C47,Aux!$W1:$W51,Aux!V1:V51,"-",0)</f>
        <v>8</v>
      </c>
      <c r="L47" s="472"/>
      <c r="M47" s="473"/>
      <c r="N47" s="473"/>
      <c r="O47" s="473"/>
      <c r="P47" s="473"/>
      <c r="Q47" s="473"/>
      <c r="R47" s="473"/>
      <c r="S47" s="473"/>
      <c r="T47" s="473"/>
      <c r="U47" s="473"/>
      <c r="V47" s="473"/>
      <c r="W47" s="473"/>
      <c r="X47" s="473"/>
      <c r="Y47" s="473"/>
      <c r="Z47" s="473"/>
      <c r="AA47" s="473"/>
      <c r="AB47" s="473"/>
      <c r="AC47" s="473"/>
      <c r="AD47" s="473"/>
      <c r="AE47" s="474"/>
    </row>
    <row r="48" spans="1:31" ht="14.25" customHeight="1">
      <c r="A48" s="552">
        <v>47</v>
      </c>
      <c r="B48" s="553" t="s">
        <v>313</v>
      </c>
      <c r="C48" s="554" cm="1">
        <f t="array" ref="C48">LARGE(Aux!$W$4:$W$51,A48)</f>
        <v>-7.9999999878048789E-2</v>
      </c>
      <c r="D48" s="555" t="str" cm="1">
        <f t="array" ref="D48">_xlfn.XLOOKUP($C48,Aux!$W1:$W51,Aux!H1:H51,"-",0)</f>
        <v>Curazao</v>
      </c>
      <c r="E48" s="556" cm="1">
        <f t="array" ref="E48">F48*3+G48</f>
        <v>0</v>
      </c>
      <c r="F48" s="556" cm="1">
        <f t="array" ref="F48">_xlfn.XLOOKUP($C48,Aux!$W1:$W51,Aux!Q1:Q51,"-",0)</f>
        <v>0</v>
      </c>
      <c r="G48" s="556" cm="1">
        <f t="array" ref="G48">_xlfn.XLOOKUP($C48,Aux!$W1:$W51,Aux!R1:R51,"-",0)</f>
        <v>0</v>
      </c>
      <c r="H48" s="556" cm="1">
        <f t="array" ref="H48">_xlfn.XLOOKUP($C48,Aux!$W1:$W51,Aux!S1:S51,"-",0)</f>
        <v>3</v>
      </c>
      <c r="I48" s="556" cm="1">
        <f t="array" ref="I48">_xlfn.XLOOKUP($C48,Aux!$W1:$W51,Aux!T1:T51,"-",0)</f>
        <v>-8</v>
      </c>
      <c r="J48" s="556" cm="1">
        <f t="array" ref="J48">_xlfn.XLOOKUP($C48,Aux!$W1:$W51,Aux!U1:U51,"-",0)</f>
        <v>0</v>
      </c>
      <c r="K48" s="557" cm="1">
        <f t="array" ref="K48">_xlfn.XLOOKUP($C48,Aux!$W1:$W51,Aux!V1:V51,"-",0)</f>
        <v>8</v>
      </c>
      <c r="L48" s="472"/>
      <c r="M48" s="473"/>
      <c r="N48" s="473"/>
      <c r="O48" s="473"/>
      <c r="P48" s="473"/>
      <c r="Q48" s="473"/>
      <c r="R48" s="473"/>
      <c r="S48" s="473"/>
      <c r="T48" s="473"/>
      <c r="U48" s="473"/>
      <c r="V48" s="473"/>
      <c r="W48" s="473"/>
      <c r="X48" s="473"/>
      <c r="Y48" s="473"/>
      <c r="Z48" s="473"/>
      <c r="AA48" s="473"/>
      <c r="AB48" s="473"/>
      <c r="AC48" s="473"/>
      <c r="AD48" s="473"/>
      <c r="AE48" s="474"/>
    </row>
    <row r="49" spans="1:31" ht="14.25" customHeight="1">
      <c r="A49" s="558">
        <v>48</v>
      </c>
      <c r="B49" s="559" t="s">
        <v>313</v>
      </c>
      <c r="C49" s="560" cm="1">
        <f t="array" ref="C49">LARGE(Aux!$W$4:$W$51,A49)</f>
        <v>-8.9999999879518067E-2</v>
      </c>
      <c r="D49" s="561" t="str" cm="1">
        <f t="array" ref="D49">_xlfn.XLOOKUP($C49,Aux!$W1:$W51,Aux!H1:H51,"-",0)</f>
        <v>Haiti</v>
      </c>
      <c r="E49" s="562" cm="1">
        <f t="array" ref="E49">F49*3+G49</f>
        <v>0</v>
      </c>
      <c r="F49" s="562" cm="1">
        <f t="array" ref="F49">_xlfn.XLOOKUP($C49,Aux!$W1:$W51,Aux!Q1:Q51,"-",0)</f>
        <v>0</v>
      </c>
      <c r="G49" s="562" cm="1">
        <f t="array" ref="G49">_xlfn.XLOOKUP($C49,Aux!$W1:$W51,Aux!R1:R51,"-",0)</f>
        <v>0</v>
      </c>
      <c r="H49" s="562" cm="1">
        <f t="array" ref="H49">_xlfn.XLOOKUP($C49,Aux!$W1:$W51,Aux!S1:S51,"-",0)</f>
        <v>3</v>
      </c>
      <c r="I49" s="562" cm="1">
        <f t="array" ref="I49">_xlfn.XLOOKUP($C49,Aux!$W1:$W51,Aux!T1:T51,"-",0)</f>
        <v>-9</v>
      </c>
      <c r="J49" s="562" cm="1">
        <f t="array" ref="J49">_xlfn.XLOOKUP($C49,Aux!$W1:$W51,Aux!U1:U51,"-",0)</f>
        <v>0</v>
      </c>
      <c r="K49" s="563" cm="1">
        <f t="array" ref="K49">_xlfn.XLOOKUP($C49,Aux!$W1:$W51,Aux!V1:V51,"-",0)</f>
        <v>9</v>
      </c>
      <c r="L49" s="472"/>
      <c r="M49" s="473"/>
      <c r="N49" s="473"/>
      <c r="O49" s="473"/>
      <c r="P49" s="473"/>
      <c r="Q49" s="473"/>
      <c r="R49" s="473"/>
      <c r="S49" s="473"/>
      <c r="T49" s="473"/>
      <c r="U49" s="473"/>
      <c r="V49" s="473"/>
      <c r="W49" s="473"/>
      <c r="X49" s="473"/>
      <c r="Y49" s="473"/>
      <c r="Z49" s="473"/>
      <c r="AA49" s="473"/>
      <c r="AB49" s="473"/>
      <c r="AC49" s="473"/>
      <c r="AD49" s="473"/>
      <c r="AE49" s="474"/>
    </row>
    <row r="50" spans="1:31" ht="14.25" customHeight="1">
      <c r="A50" s="564"/>
      <c r="B50" s="565"/>
      <c r="C50" s="565"/>
      <c r="D50" s="565"/>
      <c r="E50" s="565"/>
      <c r="F50" s="565"/>
      <c r="G50" s="565"/>
      <c r="H50" s="565"/>
      <c r="I50" s="565"/>
      <c r="J50" s="565"/>
      <c r="K50" s="566"/>
      <c r="L50" s="472"/>
      <c r="M50" s="473"/>
      <c r="N50" s="473"/>
      <c r="O50" s="473"/>
      <c r="P50" s="473"/>
      <c r="Q50" s="473"/>
      <c r="R50" s="473"/>
      <c r="S50" s="473"/>
      <c r="T50" s="473"/>
      <c r="U50" s="473"/>
      <c r="V50" s="473"/>
      <c r="W50" s="473"/>
      <c r="X50" s="473"/>
      <c r="Y50" s="473"/>
      <c r="Z50" s="473"/>
      <c r="AA50" s="473"/>
      <c r="AB50" s="473"/>
      <c r="AC50" s="473"/>
      <c r="AD50" s="473"/>
      <c r="AE50" s="474"/>
    </row>
    <row r="51" spans="1:31" ht="14.25" customHeight="1">
      <c r="A51" s="567"/>
      <c r="B51" s="473"/>
      <c r="C51" s="473"/>
      <c r="D51" s="473"/>
      <c r="E51" s="473"/>
      <c r="F51" s="473"/>
      <c r="G51" s="473"/>
      <c r="H51" s="473"/>
      <c r="I51" s="473"/>
      <c r="J51" s="473"/>
      <c r="K51" s="568"/>
      <c r="L51" s="472"/>
      <c r="M51" s="473"/>
      <c r="N51" s="473"/>
      <c r="O51" s="473"/>
      <c r="P51" s="473"/>
      <c r="Q51" s="473"/>
      <c r="R51" s="473"/>
      <c r="S51" s="473"/>
      <c r="T51" s="473"/>
      <c r="U51" s="473"/>
      <c r="V51" s="473"/>
      <c r="W51" s="473"/>
      <c r="X51" s="473"/>
      <c r="Y51" s="473"/>
      <c r="Z51" s="473"/>
      <c r="AA51" s="473"/>
      <c r="AB51" s="473"/>
      <c r="AC51" s="473"/>
      <c r="AD51" s="473"/>
      <c r="AE51" s="474"/>
    </row>
    <row r="52" spans="1:31" ht="14.25" customHeight="1">
      <c r="A52" s="567"/>
      <c r="B52" s="473"/>
      <c r="C52" s="473"/>
      <c r="D52" s="473"/>
      <c r="E52" s="473"/>
      <c r="F52" s="473"/>
      <c r="G52" s="473"/>
      <c r="H52" s="473"/>
      <c r="I52" s="473"/>
      <c r="J52" s="473"/>
      <c r="K52" s="568"/>
      <c r="L52" s="472"/>
      <c r="M52" s="473"/>
      <c r="N52" s="473"/>
      <c r="O52" s="473"/>
      <c r="P52" s="473"/>
      <c r="Q52" s="473"/>
      <c r="R52" s="473"/>
      <c r="S52" s="473"/>
      <c r="T52" s="473"/>
      <c r="U52" s="473"/>
      <c r="V52" s="473"/>
      <c r="W52" s="473"/>
      <c r="X52" s="473"/>
      <c r="Y52" s="473"/>
      <c r="Z52" s="473"/>
      <c r="AA52" s="473"/>
      <c r="AB52" s="473"/>
      <c r="AC52" s="473"/>
      <c r="AD52" s="473"/>
      <c r="AE52" s="474"/>
    </row>
    <row r="53" spans="1:31" ht="14.25" customHeight="1">
      <c r="A53" s="567"/>
      <c r="B53" s="473"/>
      <c r="C53" s="473"/>
      <c r="D53" s="473"/>
      <c r="E53" s="473"/>
      <c r="F53" s="473"/>
      <c r="G53" s="473"/>
      <c r="H53" s="473"/>
      <c r="I53" s="473"/>
      <c r="J53" s="473"/>
      <c r="K53" s="568"/>
      <c r="L53" s="472"/>
      <c r="M53" s="473"/>
      <c r="N53" s="473"/>
      <c r="O53" s="473"/>
      <c r="P53" s="473"/>
      <c r="Q53" s="473"/>
      <c r="R53" s="473"/>
      <c r="S53" s="473"/>
      <c r="T53" s="473"/>
      <c r="U53" s="473"/>
      <c r="V53" s="473"/>
      <c r="W53" s="473"/>
      <c r="X53" s="473"/>
      <c r="Y53" s="473"/>
      <c r="Z53" s="473"/>
      <c r="AA53" s="473"/>
      <c r="AB53" s="473"/>
      <c r="AC53" s="473"/>
      <c r="AD53" s="473"/>
      <c r="AE53" s="474"/>
    </row>
    <row r="54" spans="1:31" ht="14.25" customHeight="1">
      <c r="A54" s="567"/>
      <c r="B54" s="473"/>
      <c r="C54" s="473"/>
      <c r="D54" s="473"/>
      <c r="E54" s="473"/>
      <c r="F54" s="473"/>
      <c r="G54" s="473"/>
      <c r="H54" s="473"/>
      <c r="I54" s="473"/>
      <c r="J54" s="473"/>
      <c r="K54" s="568"/>
      <c r="L54" s="472"/>
      <c r="M54" s="473"/>
      <c r="N54" s="473"/>
      <c r="O54" s="473"/>
      <c r="P54" s="473"/>
      <c r="Q54" s="473"/>
      <c r="R54" s="473"/>
      <c r="S54" s="473"/>
      <c r="T54" s="473"/>
      <c r="U54" s="473"/>
      <c r="V54" s="473"/>
      <c r="W54" s="473"/>
      <c r="X54" s="473"/>
      <c r="Y54" s="473"/>
      <c r="Z54" s="473"/>
      <c r="AA54" s="473"/>
      <c r="AB54" s="473"/>
      <c r="AC54" s="473"/>
      <c r="AD54" s="473"/>
      <c r="AE54" s="474"/>
    </row>
    <row r="55" spans="1:31" ht="14.25" customHeight="1">
      <c r="A55" s="567"/>
      <c r="B55" s="473"/>
      <c r="C55" s="473"/>
      <c r="D55" s="473"/>
      <c r="E55" s="473"/>
      <c r="F55" s="473"/>
      <c r="G55" s="473"/>
      <c r="H55" s="473"/>
      <c r="I55" s="473"/>
      <c r="J55" s="473"/>
      <c r="K55" s="568"/>
      <c r="L55" s="472"/>
      <c r="M55" s="473"/>
      <c r="N55" s="473"/>
      <c r="O55" s="473"/>
      <c r="P55" s="473"/>
      <c r="Q55" s="473"/>
      <c r="R55" s="473"/>
      <c r="S55" s="473"/>
      <c r="T55" s="473"/>
      <c r="U55" s="473"/>
      <c r="V55" s="473"/>
      <c r="W55" s="473"/>
      <c r="X55" s="473"/>
      <c r="Y55" s="473"/>
      <c r="Z55" s="473"/>
      <c r="AA55" s="473"/>
      <c r="AB55" s="473"/>
      <c r="AC55" s="473"/>
      <c r="AD55" s="473"/>
      <c r="AE55" s="474"/>
    </row>
    <row r="56" spans="1:31" ht="14.25" customHeight="1">
      <c r="A56" s="567"/>
      <c r="B56" s="473"/>
      <c r="C56" s="473"/>
      <c r="D56" s="473"/>
      <c r="E56" s="473"/>
      <c r="F56" s="473"/>
      <c r="G56" s="473"/>
      <c r="H56" s="473"/>
      <c r="I56" s="473"/>
      <c r="J56" s="473"/>
      <c r="K56" s="568"/>
      <c r="L56" s="472"/>
      <c r="M56" s="473"/>
      <c r="N56" s="473"/>
      <c r="O56" s="473"/>
      <c r="P56" s="473"/>
      <c r="Q56" s="473"/>
      <c r="R56" s="473"/>
      <c r="S56" s="473"/>
      <c r="T56" s="473"/>
      <c r="U56" s="473"/>
      <c r="V56" s="473"/>
      <c r="W56" s="473"/>
      <c r="X56" s="473"/>
      <c r="Y56" s="473"/>
      <c r="Z56" s="473"/>
      <c r="AA56" s="473"/>
      <c r="AB56" s="473"/>
      <c r="AC56" s="473"/>
      <c r="AD56" s="473"/>
      <c r="AE56" s="474"/>
    </row>
    <row r="57" spans="1:31" ht="14.25" customHeight="1">
      <c r="A57" s="567"/>
      <c r="B57" s="473"/>
      <c r="C57" s="473"/>
      <c r="D57" s="473"/>
      <c r="E57" s="473"/>
      <c r="F57" s="473"/>
      <c r="G57" s="473"/>
      <c r="H57" s="473"/>
      <c r="I57" s="473"/>
      <c r="J57" s="473"/>
      <c r="K57" s="568"/>
      <c r="L57" s="472"/>
      <c r="M57" s="473"/>
      <c r="N57" s="473"/>
      <c r="O57" s="473"/>
      <c r="P57" s="473"/>
      <c r="Q57" s="473"/>
      <c r="R57" s="473"/>
      <c r="S57" s="473"/>
      <c r="T57" s="473"/>
      <c r="U57" s="473"/>
      <c r="V57" s="473"/>
      <c r="W57" s="473"/>
      <c r="X57" s="473"/>
      <c r="Y57" s="473"/>
      <c r="Z57" s="473"/>
      <c r="AA57" s="473"/>
      <c r="AB57" s="473"/>
      <c r="AC57" s="473"/>
      <c r="AD57" s="473"/>
      <c r="AE57" s="474"/>
    </row>
    <row r="58" spans="1:31" ht="14.25" customHeight="1">
      <c r="A58" s="567"/>
      <c r="B58" s="473"/>
      <c r="C58" s="473"/>
      <c r="D58" s="473"/>
      <c r="E58" s="473"/>
      <c r="F58" s="473"/>
      <c r="G58" s="473"/>
      <c r="H58" s="473"/>
      <c r="I58" s="473"/>
      <c r="J58" s="473"/>
      <c r="K58" s="568"/>
      <c r="L58" s="472"/>
      <c r="M58" s="473"/>
      <c r="N58" s="473"/>
      <c r="O58" s="473"/>
      <c r="P58" s="473"/>
      <c r="Q58" s="473"/>
      <c r="R58" s="473"/>
      <c r="S58" s="473"/>
      <c r="T58" s="473"/>
      <c r="U58" s="473"/>
      <c r="V58" s="473"/>
      <c r="W58" s="473"/>
      <c r="X58" s="473"/>
      <c r="Y58" s="473"/>
      <c r="Z58" s="473"/>
      <c r="AA58" s="473"/>
      <c r="AB58" s="473"/>
      <c r="AC58" s="473"/>
      <c r="AD58" s="473"/>
      <c r="AE58" s="474"/>
    </row>
    <row r="59" spans="1:31" ht="14.25" customHeight="1">
      <c r="A59" s="567"/>
      <c r="B59" s="473"/>
      <c r="C59" s="473"/>
      <c r="D59" s="473"/>
      <c r="E59" s="473"/>
      <c r="F59" s="473"/>
      <c r="G59" s="473"/>
      <c r="H59" s="473"/>
      <c r="I59" s="473"/>
      <c r="J59" s="473"/>
      <c r="K59" s="568"/>
      <c r="L59" s="472"/>
      <c r="M59" s="473"/>
      <c r="N59" s="473"/>
      <c r="O59" s="473"/>
      <c r="P59" s="473"/>
      <c r="Q59" s="473"/>
      <c r="R59" s="473"/>
      <c r="S59" s="473"/>
      <c r="T59" s="473"/>
      <c r="U59" s="473"/>
      <c r="V59" s="473"/>
      <c r="W59" s="473"/>
      <c r="X59" s="473"/>
      <c r="Y59" s="473"/>
      <c r="Z59" s="473"/>
      <c r="AA59" s="473"/>
      <c r="AB59" s="473"/>
      <c r="AC59" s="473"/>
      <c r="AD59" s="473"/>
      <c r="AE59" s="474"/>
    </row>
    <row r="60" spans="1:31" ht="14.25" customHeight="1">
      <c r="A60" s="567"/>
      <c r="B60" s="473"/>
      <c r="C60" s="473"/>
      <c r="D60" s="473"/>
      <c r="E60" s="473"/>
      <c r="F60" s="473"/>
      <c r="G60" s="473"/>
      <c r="H60" s="473"/>
      <c r="I60" s="473"/>
      <c r="J60" s="473"/>
      <c r="K60" s="568"/>
      <c r="L60" s="472"/>
      <c r="M60" s="473"/>
      <c r="N60" s="473"/>
      <c r="O60" s="473"/>
      <c r="P60" s="473"/>
      <c r="Q60" s="473"/>
      <c r="R60" s="473"/>
      <c r="S60" s="473"/>
      <c r="T60" s="473"/>
      <c r="U60" s="473"/>
      <c r="V60" s="473"/>
      <c r="W60" s="473"/>
      <c r="X60" s="473"/>
      <c r="Y60" s="473"/>
      <c r="Z60" s="473"/>
      <c r="AA60" s="473"/>
      <c r="AB60" s="473"/>
      <c r="AC60" s="473"/>
      <c r="AD60" s="473"/>
      <c r="AE60" s="474"/>
    </row>
    <row r="61" spans="1:31" ht="14.25" customHeight="1">
      <c r="A61" s="567"/>
      <c r="B61" s="473"/>
      <c r="C61" s="473"/>
      <c r="D61" s="473"/>
      <c r="E61" s="473"/>
      <c r="F61" s="473"/>
      <c r="G61" s="473"/>
      <c r="H61" s="473"/>
      <c r="I61" s="473"/>
      <c r="J61" s="473"/>
      <c r="K61" s="568"/>
      <c r="L61" s="472"/>
      <c r="M61" s="473"/>
      <c r="N61" s="473"/>
      <c r="O61" s="473"/>
      <c r="P61" s="473"/>
      <c r="Q61" s="473"/>
      <c r="R61" s="473"/>
      <c r="S61" s="473"/>
      <c r="T61" s="473"/>
      <c r="U61" s="473"/>
      <c r="V61" s="473"/>
      <c r="W61" s="473"/>
      <c r="X61" s="473"/>
      <c r="Y61" s="473"/>
      <c r="Z61" s="473"/>
      <c r="AA61" s="473"/>
      <c r="AB61" s="473"/>
      <c r="AC61" s="473"/>
      <c r="AD61" s="473"/>
      <c r="AE61" s="474"/>
    </row>
    <row r="62" spans="1:31" ht="14.25" customHeight="1">
      <c r="A62" s="567"/>
      <c r="B62" s="473"/>
      <c r="C62" s="473"/>
      <c r="D62" s="473"/>
      <c r="E62" s="473"/>
      <c r="F62" s="473"/>
      <c r="G62" s="473"/>
      <c r="H62" s="473"/>
      <c r="I62" s="473"/>
      <c r="J62" s="473"/>
      <c r="K62" s="568"/>
      <c r="L62" s="472"/>
      <c r="M62" s="473"/>
      <c r="N62" s="473"/>
      <c r="O62" s="473"/>
      <c r="P62" s="473"/>
      <c r="Q62" s="473"/>
      <c r="R62" s="473"/>
      <c r="S62" s="473"/>
      <c r="T62" s="473"/>
      <c r="U62" s="473"/>
      <c r="V62" s="473"/>
      <c r="W62" s="473"/>
      <c r="X62" s="473"/>
      <c r="Y62" s="473"/>
      <c r="Z62" s="473"/>
      <c r="AA62" s="473"/>
      <c r="AB62" s="473"/>
      <c r="AC62" s="473"/>
      <c r="AD62" s="473"/>
      <c r="AE62" s="474"/>
    </row>
    <row r="63" spans="1:31" ht="14.25" customHeight="1">
      <c r="A63" s="567"/>
      <c r="B63" s="473"/>
      <c r="C63" s="473"/>
      <c r="D63" s="473"/>
      <c r="E63" s="473"/>
      <c r="F63" s="473"/>
      <c r="G63" s="473"/>
      <c r="H63" s="473"/>
      <c r="I63" s="473"/>
      <c r="J63" s="473"/>
      <c r="K63" s="568"/>
      <c r="L63" s="472"/>
      <c r="M63" s="473"/>
      <c r="N63" s="473"/>
      <c r="O63" s="473"/>
      <c r="P63" s="473"/>
      <c r="Q63" s="473"/>
      <c r="R63" s="473"/>
      <c r="S63" s="473"/>
      <c r="T63" s="473"/>
      <c r="U63" s="473"/>
      <c r="V63" s="473"/>
      <c r="W63" s="473"/>
      <c r="X63" s="473"/>
      <c r="Y63" s="473"/>
      <c r="Z63" s="473"/>
      <c r="AA63" s="473"/>
      <c r="AB63" s="473"/>
      <c r="AC63" s="473"/>
      <c r="AD63" s="473"/>
      <c r="AE63" s="474"/>
    </row>
    <row r="64" spans="1:31" ht="14.25" customHeight="1">
      <c r="A64" s="567"/>
      <c r="B64" s="473"/>
      <c r="C64" s="473"/>
      <c r="D64" s="473"/>
      <c r="E64" s="473"/>
      <c r="F64" s="473"/>
      <c r="G64" s="473"/>
      <c r="H64" s="473"/>
      <c r="I64" s="473"/>
      <c r="J64" s="473"/>
      <c r="K64" s="568"/>
      <c r="L64" s="472"/>
      <c r="M64" s="473"/>
      <c r="N64" s="473"/>
      <c r="O64" s="473"/>
      <c r="P64" s="473"/>
      <c r="Q64" s="473"/>
      <c r="R64" s="473"/>
      <c r="S64" s="473"/>
      <c r="T64" s="473"/>
      <c r="U64" s="473"/>
      <c r="V64" s="473"/>
      <c r="W64" s="473"/>
      <c r="X64" s="473"/>
      <c r="Y64" s="473"/>
      <c r="Z64" s="473"/>
      <c r="AA64" s="473"/>
      <c r="AB64" s="473"/>
      <c r="AC64" s="473"/>
      <c r="AD64" s="473"/>
      <c r="AE64" s="474"/>
    </row>
    <row r="65" spans="1:31" ht="14.25" customHeight="1">
      <c r="A65" s="567"/>
      <c r="B65" s="473"/>
      <c r="C65" s="473"/>
      <c r="D65" s="473"/>
      <c r="E65" s="473"/>
      <c r="F65" s="473"/>
      <c r="G65" s="473"/>
      <c r="H65" s="473"/>
      <c r="I65" s="473"/>
      <c r="J65" s="473"/>
      <c r="K65" s="568"/>
      <c r="L65" s="472"/>
      <c r="M65" s="473"/>
      <c r="N65" s="473"/>
      <c r="O65" s="473"/>
      <c r="P65" s="473"/>
      <c r="Q65" s="473"/>
      <c r="R65" s="473"/>
      <c r="S65" s="473"/>
      <c r="T65" s="473"/>
      <c r="U65" s="473"/>
      <c r="V65" s="473"/>
      <c r="W65" s="473"/>
      <c r="X65" s="473"/>
      <c r="Y65" s="473"/>
      <c r="Z65" s="473"/>
      <c r="AA65" s="473"/>
      <c r="AB65" s="473"/>
      <c r="AC65" s="473"/>
      <c r="AD65" s="473"/>
      <c r="AE65" s="474"/>
    </row>
    <row r="66" spans="1:31" ht="14.25" customHeight="1">
      <c r="A66" s="567"/>
      <c r="B66" s="473"/>
      <c r="C66" s="473"/>
      <c r="D66" s="473"/>
      <c r="E66" s="473"/>
      <c r="F66" s="473"/>
      <c r="G66" s="473"/>
      <c r="H66" s="473"/>
      <c r="I66" s="473"/>
      <c r="J66" s="473"/>
      <c r="K66" s="568"/>
      <c r="L66" s="472"/>
      <c r="M66" s="473"/>
      <c r="N66" s="473"/>
      <c r="O66" s="473"/>
      <c r="P66" s="473"/>
      <c r="Q66" s="473"/>
      <c r="R66" s="473"/>
      <c r="S66" s="473"/>
      <c r="T66" s="473"/>
      <c r="U66" s="473"/>
      <c r="V66" s="473"/>
      <c r="W66" s="473"/>
      <c r="X66" s="473"/>
      <c r="Y66" s="473"/>
      <c r="Z66" s="473"/>
      <c r="AA66" s="473"/>
      <c r="AB66" s="473"/>
      <c r="AC66" s="473"/>
      <c r="AD66" s="473"/>
      <c r="AE66" s="474"/>
    </row>
    <row r="67" spans="1:31" ht="14.25" customHeight="1">
      <c r="A67" s="567"/>
      <c r="B67" s="473"/>
      <c r="C67" s="473"/>
      <c r="D67" s="473"/>
      <c r="E67" s="473"/>
      <c r="F67" s="473"/>
      <c r="G67" s="473"/>
      <c r="H67" s="473"/>
      <c r="I67" s="473"/>
      <c r="J67" s="473"/>
      <c r="K67" s="568"/>
      <c r="L67" s="472"/>
      <c r="M67" s="473"/>
      <c r="N67" s="473"/>
      <c r="O67" s="473"/>
      <c r="P67" s="473"/>
      <c r="Q67" s="473"/>
      <c r="R67" s="473"/>
      <c r="S67" s="473"/>
      <c r="T67" s="473"/>
      <c r="U67" s="473"/>
      <c r="V67" s="473"/>
      <c r="W67" s="473"/>
      <c r="X67" s="473"/>
      <c r="Y67" s="473"/>
      <c r="Z67" s="473"/>
      <c r="AA67" s="473"/>
      <c r="AB67" s="473"/>
      <c r="AC67" s="473"/>
      <c r="AD67" s="473"/>
      <c r="AE67" s="474"/>
    </row>
    <row r="68" spans="1:31" ht="14.25" customHeight="1">
      <c r="A68" s="567"/>
      <c r="B68" s="473"/>
      <c r="C68" s="473"/>
      <c r="D68" s="473"/>
      <c r="E68" s="473"/>
      <c r="F68" s="473"/>
      <c r="G68" s="473"/>
      <c r="H68" s="473"/>
      <c r="I68" s="473"/>
      <c r="J68" s="473"/>
      <c r="K68" s="568"/>
      <c r="L68" s="472"/>
      <c r="M68" s="473"/>
      <c r="N68" s="473"/>
      <c r="O68" s="473"/>
      <c r="P68" s="473"/>
      <c r="Q68" s="473"/>
      <c r="R68" s="473"/>
      <c r="S68" s="473"/>
      <c r="T68" s="473"/>
      <c r="U68" s="473"/>
      <c r="V68" s="473"/>
      <c r="W68" s="473"/>
      <c r="X68" s="473"/>
      <c r="Y68" s="473"/>
      <c r="Z68" s="473"/>
      <c r="AA68" s="473"/>
      <c r="AB68" s="473"/>
      <c r="AC68" s="473"/>
      <c r="AD68" s="473"/>
      <c r="AE68" s="474"/>
    </row>
    <row r="69" spans="1:31" ht="14.25" customHeight="1">
      <c r="A69" s="567"/>
      <c r="B69" s="473"/>
      <c r="C69" s="473"/>
      <c r="D69" s="473"/>
      <c r="E69" s="473"/>
      <c r="F69" s="473"/>
      <c r="G69" s="473"/>
      <c r="H69" s="473"/>
      <c r="I69" s="473"/>
      <c r="J69" s="473"/>
      <c r="K69" s="568"/>
      <c r="L69" s="472"/>
      <c r="M69" s="473"/>
      <c r="N69" s="473"/>
      <c r="O69" s="473"/>
      <c r="P69" s="473"/>
      <c r="Q69" s="473"/>
      <c r="R69" s="473"/>
      <c r="S69" s="473"/>
      <c r="T69" s="473"/>
      <c r="U69" s="473"/>
      <c r="V69" s="473"/>
      <c r="W69" s="473"/>
      <c r="X69" s="473"/>
      <c r="Y69" s="473"/>
      <c r="Z69" s="473"/>
      <c r="AA69" s="473"/>
      <c r="AB69" s="473"/>
      <c r="AC69" s="473"/>
      <c r="AD69" s="473"/>
      <c r="AE69" s="474"/>
    </row>
    <row r="70" spans="1:31" ht="14.25" customHeight="1">
      <c r="A70" s="567"/>
      <c r="B70" s="473"/>
      <c r="C70" s="473"/>
      <c r="D70" s="473"/>
      <c r="E70" s="473"/>
      <c r="F70" s="473"/>
      <c r="G70" s="473"/>
      <c r="H70" s="473"/>
      <c r="I70" s="473"/>
      <c r="J70" s="473"/>
      <c r="K70" s="568"/>
      <c r="L70" s="472"/>
      <c r="M70" s="473"/>
      <c r="N70" s="473"/>
      <c r="O70" s="473"/>
      <c r="P70" s="473"/>
      <c r="Q70" s="473"/>
      <c r="R70" s="473"/>
      <c r="S70" s="473"/>
      <c r="T70" s="473"/>
      <c r="U70" s="473"/>
      <c r="V70" s="473"/>
      <c r="W70" s="473"/>
      <c r="X70" s="473"/>
      <c r="Y70" s="473"/>
      <c r="Z70" s="473"/>
      <c r="AA70" s="473"/>
      <c r="AB70" s="473"/>
      <c r="AC70" s="473"/>
      <c r="AD70" s="473"/>
      <c r="AE70" s="474"/>
    </row>
    <row r="71" spans="1:31" ht="14.25" customHeight="1">
      <c r="A71" s="567"/>
      <c r="B71" s="473"/>
      <c r="C71" s="473"/>
      <c r="D71" s="473"/>
      <c r="E71" s="473"/>
      <c r="F71" s="473"/>
      <c r="G71" s="473"/>
      <c r="H71" s="473"/>
      <c r="I71" s="473"/>
      <c r="J71" s="473"/>
      <c r="K71" s="568"/>
      <c r="L71" s="472"/>
      <c r="M71" s="473"/>
      <c r="N71" s="473"/>
      <c r="O71" s="473"/>
      <c r="P71" s="473"/>
      <c r="Q71" s="473"/>
      <c r="R71" s="473"/>
      <c r="S71" s="473"/>
      <c r="T71" s="473"/>
      <c r="U71" s="473"/>
      <c r="V71" s="473"/>
      <c r="W71" s="473"/>
      <c r="X71" s="473"/>
      <c r="Y71" s="473"/>
      <c r="Z71" s="473"/>
      <c r="AA71" s="473"/>
      <c r="AB71" s="473"/>
      <c r="AC71" s="473"/>
      <c r="AD71" s="473"/>
      <c r="AE71" s="474"/>
    </row>
    <row r="72" spans="1:31" ht="14.25" customHeight="1">
      <c r="A72" s="567"/>
      <c r="B72" s="473"/>
      <c r="C72" s="473"/>
      <c r="D72" s="473"/>
      <c r="E72" s="473"/>
      <c r="F72" s="473"/>
      <c r="G72" s="473"/>
      <c r="H72" s="473"/>
      <c r="I72" s="473"/>
      <c r="J72" s="473"/>
      <c r="K72" s="568"/>
      <c r="L72" s="472"/>
      <c r="M72" s="473"/>
      <c r="N72" s="473"/>
      <c r="O72" s="473"/>
      <c r="P72" s="473"/>
      <c r="Q72" s="473"/>
      <c r="R72" s="473"/>
      <c r="S72" s="473"/>
      <c r="T72" s="473"/>
      <c r="U72" s="473"/>
      <c r="V72" s="473"/>
      <c r="W72" s="473"/>
      <c r="X72" s="473"/>
      <c r="Y72" s="473"/>
      <c r="Z72" s="473"/>
      <c r="AA72" s="473"/>
      <c r="AB72" s="473"/>
      <c r="AC72" s="473"/>
      <c r="AD72" s="473"/>
      <c r="AE72" s="474"/>
    </row>
    <row r="73" spans="1:31" ht="14.25" customHeight="1">
      <c r="A73" s="567"/>
      <c r="B73" s="473"/>
      <c r="C73" s="473"/>
      <c r="D73" s="473"/>
      <c r="E73" s="473"/>
      <c r="F73" s="473"/>
      <c r="G73" s="473"/>
      <c r="H73" s="473"/>
      <c r="I73" s="473"/>
      <c r="J73" s="473"/>
      <c r="K73" s="568"/>
      <c r="L73" s="472"/>
      <c r="M73" s="473"/>
      <c r="N73" s="473"/>
      <c r="O73" s="473"/>
      <c r="P73" s="473"/>
      <c r="Q73" s="473"/>
      <c r="R73" s="473"/>
      <c r="S73" s="473"/>
      <c r="T73" s="473"/>
      <c r="U73" s="473"/>
      <c r="V73" s="473"/>
      <c r="W73" s="473"/>
      <c r="X73" s="473"/>
      <c r="Y73" s="473"/>
      <c r="Z73" s="473"/>
      <c r="AA73" s="473"/>
      <c r="AB73" s="473"/>
      <c r="AC73" s="473"/>
      <c r="AD73" s="473"/>
      <c r="AE73" s="474"/>
    </row>
    <row r="74" spans="1:31" ht="14.25" customHeight="1">
      <c r="A74" s="567"/>
      <c r="B74" s="473"/>
      <c r="C74" s="473"/>
      <c r="D74" s="473"/>
      <c r="E74" s="473"/>
      <c r="F74" s="473"/>
      <c r="G74" s="473"/>
      <c r="H74" s="473"/>
      <c r="I74" s="473"/>
      <c r="J74" s="473"/>
      <c r="K74" s="568"/>
      <c r="L74" s="472"/>
      <c r="M74" s="473"/>
      <c r="N74" s="473"/>
      <c r="O74" s="473"/>
      <c r="P74" s="473"/>
      <c r="Q74" s="473"/>
      <c r="R74" s="473"/>
      <c r="S74" s="473"/>
      <c r="T74" s="473"/>
      <c r="U74" s="473"/>
      <c r="V74" s="473"/>
      <c r="W74" s="473"/>
      <c r="X74" s="473"/>
      <c r="Y74" s="473"/>
      <c r="Z74" s="473"/>
      <c r="AA74" s="473"/>
      <c r="AB74" s="473"/>
      <c r="AC74" s="473"/>
      <c r="AD74" s="473"/>
      <c r="AE74" s="474"/>
    </row>
    <row r="75" spans="1:31" ht="14.25" customHeight="1">
      <c r="A75" s="567"/>
      <c r="B75" s="473"/>
      <c r="C75" s="473"/>
      <c r="D75" s="473"/>
      <c r="E75" s="473"/>
      <c r="F75" s="473"/>
      <c r="G75" s="473"/>
      <c r="H75" s="473"/>
      <c r="I75" s="473"/>
      <c r="J75" s="473"/>
      <c r="K75" s="568"/>
      <c r="L75" s="472"/>
      <c r="M75" s="473"/>
      <c r="N75" s="473"/>
      <c r="O75" s="473"/>
      <c r="P75" s="473"/>
      <c r="Q75" s="473"/>
      <c r="R75" s="473"/>
      <c r="S75" s="473"/>
      <c r="T75" s="473"/>
      <c r="U75" s="473"/>
      <c r="V75" s="473"/>
      <c r="W75" s="473"/>
      <c r="X75" s="473"/>
      <c r="Y75" s="473"/>
      <c r="Z75" s="473"/>
      <c r="AA75" s="473"/>
      <c r="AB75" s="473"/>
      <c r="AC75" s="473"/>
      <c r="AD75" s="473"/>
      <c r="AE75" s="474"/>
    </row>
    <row r="76" spans="1:31" ht="14.25" customHeight="1">
      <c r="A76" s="567"/>
      <c r="B76" s="473"/>
      <c r="C76" s="473"/>
      <c r="D76" s="473"/>
      <c r="E76" s="473"/>
      <c r="F76" s="473"/>
      <c r="G76" s="473"/>
      <c r="H76" s="473"/>
      <c r="I76" s="473"/>
      <c r="J76" s="473"/>
      <c r="K76" s="568"/>
      <c r="L76" s="472"/>
      <c r="M76" s="473"/>
      <c r="N76" s="473"/>
      <c r="O76" s="473"/>
      <c r="P76" s="473"/>
      <c r="Q76" s="473"/>
      <c r="R76" s="473"/>
      <c r="S76" s="473"/>
      <c r="T76" s="473"/>
      <c r="U76" s="473"/>
      <c r="V76" s="473"/>
      <c r="W76" s="473"/>
      <c r="X76" s="473"/>
      <c r="Y76" s="473"/>
      <c r="Z76" s="473"/>
      <c r="AA76" s="473"/>
      <c r="AB76" s="473"/>
      <c r="AC76" s="473"/>
      <c r="AD76" s="473"/>
      <c r="AE76" s="474"/>
    </row>
    <row r="77" spans="1:31" ht="14.25" customHeight="1">
      <c r="A77" s="567"/>
      <c r="B77" s="473"/>
      <c r="C77" s="473"/>
      <c r="D77" s="473"/>
      <c r="E77" s="473"/>
      <c r="F77" s="473"/>
      <c r="G77" s="473"/>
      <c r="H77" s="473"/>
      <c r="I77" s="473"/>
      <c r="J77" s="473"/>
      <c r="K77" s="568"/>
      <c r="L77" s="472"/>
      <c r="M77" s="473"/>
      <c r="N77" s="473"/>
      <c r="O77" s="473"/>
      <c r="P77" s="473"/>
      <c r="Q77" s="473"/>
      <c r="R77" s="473"/>
      <c r="S77" s="473"/>
      <c r="T77" s="473"/>
      <c r="U77" s="473"/>
      <c r="V77" s="473"/>
      <c r="W77" s="473"/>
      <c r="X77" s="473"/>
      <c r="Y77" s="473"/>
      <c r="Z77" s="473"/>
      <c r="AA77" s="473"/>
      <c r="AB77" s="473"/>
      <c r="AC77" s="473"/>
      <c r="AD77" s="473"/>
      <c r="AE77" s="474"/>
    </row>
    <row r="78" spans="1:31" ht="14.25" customHeight="1">
      <c r="A78" s="567"/>
      <c r="B78" s="473"/>
      <c r="C78" s="473"/>
      <c r="D78" s="473"/>
      <c r="E78" s="473"/>
      <c r="F78" s="473"/>
      <c r="G78" s="473"/>
      <c r="H78" s="473"/>
      <c r="I78" s="473"/>
      <c r="J78" s="473"/>
      <c r="K78" s="568"/>
      <c r="L78" s="472"/>
      <c r="M78" s="473"/>
      <c r="N78" s="473"/>
      <c r="O78" s="473"/>
      <c r="P78" s="473"/>
      <c r="Q78" s="473"/>
      <c r="R78" s="473"/>
      <c r="S78" s="473"/>
      <c r="T78" s="473"/>
      <c r="U78" s="473"/>
      <c r="V78" s="473"/>
      <c r="W78" s="473"/>
      <c r="X78" s="473"/>
      <c r="Y78" s="473"/>
      <c r="Z78" s="473"/>
      <c r="AA78" s="473"/>
      <c r="AB78" s="473"/>
      <c r="AC78" s="473"/>
      <c r="AD78" s="473"/>
      <c r="AE78" s="474"/>
    </row>
    <row r="79" spans="1:31" ht="14.25" customHeight="1">
      <c r="A79" s="567"/>
      <c r="B79" s="473"/>
      <c r="C79" s="473"/>
      <c r="D79" s="473"/>
      <c r="E79" s="473"/>
      <c r="F79" s="473"/>
      <c r="G79" s="473"/>
      <c r="H79" s="473"/>
      <c r="I79" s="473"/>
      <c r="J79" s="473"/>
      <c r="K79" s="568"/>
      <c r="L79" s="472"/>
      <c r="M79" s="473"/>
      <c r="N79" s="473"/>
      <c r="O79" s="473"/>
      <c r="P79" s="473"/>
      <c r="Q79" s="473"/>
      <c r="R79" s="473"/>
      <c r="S79" s="473"/>
      <c r="T79" s="473"/>
      <c r="U79" s="473"/>
      <c r="V79" s="473"/>
      <c r="W79" s="473"/>
      <c r="X79" s="473"/>
      <c r="Y79" s="473"/>
      <c r="Z79" s="473"/>
      <c r="AA79" s="473"/>
      <c r="AB79" s="473"/>
      <c r="AC79" s="473"/>
      <c r="AD79" s="473"/>
      <c r="AE79" s="474"/>
    </row>
    <row r="80" spans="1:31" ht="14.25" customHeight="1">
      <c r="A80" s="567"/>
      <c r="B80" s="473"/>
      <c r="C80" s="473"/>
      <c r="D80" s="473"/>
      <c r="E80" s="473"/>
      <c r="F80" s="473"/>
      <c r="G80" s="473"/>
      <c r="H80" s="473"/>
      <c r="I80" s="473"/>
      <c r="J80" s="473"/>
      <c r="K80" s="568"/>
      <c r="L80" s="472"/>
      <c r="M80" s="473"/>
      <c r="N80" s="473"/>
      <c r="O80" s="473"/>
      <c r="P80" s="473"/>
      <c r="Q80" s="473"/>
      <c r="R80" s="473"/>
      <c r="S80" s="473"/>
      <c r="T80" s="473"/>
      <c r="U80" s="473"/>
      <c r="V80" s="473"/>
      <c r="W80" s="473"/>
      <c r="X80" s="473"/>
      <c r="Y80" s="473"/>
      <c r="Z80" s="473"/>
      <c r="AA80" s="473"/>
      <c r="AB80" s="473"/>
      <c r="AC80" s="473"/>
      <c r="AD80" s="473"/>
      <c r="AE80" s="474"/>
    </row>
    <row r="81" spans="1:31" ht="14.25" customHeight="1">
      <c r="A81" s="567"/>
      <c r="B81" s="473"/>
      <c r="C81" s="473"/>
      <c r="D81" s="473"/>
      <c r="E81" s="473"/>
      <c r="F81" s="473"/>
      <c r="G81" s="473"/>
      <c r="H81" s="473"/>
      <c r="I81" s="473"/>
      <c r="J81" s="473"/>
      <c r="K81" s="568"/>
      <c r="L81" s="472"/>
      <c r="M81" s="473"/>
      <c r="N81" s="473"/>
      <c r="O81" s="473"/>
      <c r="P81" s="473"/>
      <c r="Q81" s="473"/>
      <c r="R81" s="473"/>
      <c r="S81" s="473"/>
      <c r="T81" s="473"/>
      <c r="U81" s="473"/>
      <c r="V81" s="473"/>
      <c r="W81" s="473"/>
      <c r="X81" s="473"/>
      <c r="Y81" s="473"/>
      <c r="Z81" s="473"/>
      <c r="AA81" s="473"/>
      <c r="AB81" s="473"/>
      <c r="AC81" s="473"/>
      <c r="AD81" s="473"/>
      <c r="AE81" s="474"/>
    </row>
    <row r="82" spans="1:31" ht="14.25" customHeight="1">
      <c r="A82" s="567"/>
      <c r="B82" s="473"/>
      <c r="C82" s="473"/>
      <c r="D82" s="473"/>
      <c r="E82" s="473"/>
      <c r="F82" s="473"/>
      <c r="G82" s="473"/>
      <c r="H82" s="473"/>
      <c r="I82" s="473"/>
      <c r="J82" s="473"/>
      <c r="K82" s="568"/>
      <c r="L82" s="472"/>
      <c r="M82" s="473"/>
      <c r="N82" s="473"/>
      <c r="O82" s="473"/>
      <c r="P82" s="473"/>
      <c r="Q82" s="473"/>
      <c r="R82" s="473"/>
      <c r="S82" s="473"/>
      <c r="T82" s="473"/>
      <c r="U82" s="473"/>
      <c r="V82" s="473"/>
      <c r="W82" s="473"/>
      <c r="X82" s="473"/>
      <c r="Y82" s="473"/>
      <c r="Z82" s="473"/>
      <c r="AA82" s="473"/>
      <c r="AB82" s="473"/>
      <c r="AC82" s="473"/>
      <c r="AD82" s="473"/>
      <c r="AE82" s="474"/>
    </row>
    <row r="83" spans="1:31" ht="14.25" customHeight="1">
      <c r="A83" s="567"/>
      <c r="B83" s="473"/>
      <c r="C83" s="473"/>
      <c r="D83" s="473"/>
      <c r="E83" s="473"/>
      <c r="F83" s="473"/>
      <c r="G83" s="473"/>
      <c r="H83" s="473"/>
      <c r="I83" s="473"/>
      <c r="J83" s="473"/>
      <c r="K83" s="568"/>
      <c r="L83" s="472"/>
      <c r="M83" s="473"/>
      <c r="N83" s="473"/>
      <c r="O83" s="473"/>
      <c r="P83" s="473"/>
      <c r="Q83" s="473"/>
      <c r="R83" s="473"/>
      <c r="S83" s="473"/>
      <c r="T83" s="473"/>
      <c r="U83" s="473"/>
      <c r="V83" s="473"/>
      <c r="W83" s="473"/>
      <c r="X83" s="473"/>
      <c r="Y83" s="473"/>
      <c r="Z83" s="473"/>
      <c r="AA83" s="473"/>
      <c r="AB83" s="473"/>
      <c r="AC83" s="473"/>
      <c r="AD83" s="473"/>
      <c r="AE83" s="474"/>
    </row>
    <row r="84" spans="1:31" ht="14.25" customHeight="1">
      <c r="A84" s="567"/>
      <c r="B84" s="473"/>
      <c r="C84" s="473"/>
      <c r="D84" s="473"/>
      <c r="E84" s="473"/>
      <c r="F84" s="473"/>
      <c r="G84" s="473"/>
      <c r="H84" s="473"/>
      <c r="I84" s="473"/>
      <c r="J84" s="473"/>
      <c r="K84" s="568"/>
      <c r="L84" s="472"/>
      <c r="M84" s="473"/>
      <c r="N84" s="473"/>
      <c r="O84" s="473"/>
      <c r="P84" s="473"/>
      <c r="Q84" s="473"/>
      <c r="R84" s="473"/>
      <c r="S84" s="473"/>
      <c r="T84" s="473"/>
      <c r="U84" s="473"/>
      <c r="V84" s="473"/>
      <c r="W84" s="473"/>
      <c r="X84" s="473"/>
      <c r="Y84" s="473"/>
      <c r="Z84" s="473"/>
      <c r="AA84" s="473"/>
      <c r="AB84" s="473"/>
      <c r="AC84" s="473"/>
      <c r="AD84" s="473"/>
      <c r="AE84" s="474"/>
    </row>
    <row r="85" spans="1:31" ht="14.25" customHeight="1">
      <c r="A85" s="567"/>
      <c r="B85" s="473"/>
      <c r="C85" s="473"/>
      <c r="D85" s="473"/>
      <c r="E85" s="473"/>
      <c r="F85" s="473"/>
      <c r="G85" s="473"/>
      <c r="H85" s="473"/>
      <c r="I85" s="473"/>
      <c r="J85" s="473"/>
      <c r="K85" s="568"/>
      <c r="L85" s="472"/>
      <c r="M85" s="473"/>
      <c r="N85" s="473"/>
      <c r="O85" s="473"/>
      <c r="P85" s="473"/>
      <c r="Q85" s="473"/>
      <c r="R85" s="473"/>
      <c r="S85" s="473"/>
      <c r="T85" s="473"/>
      <c r="U85" s="473"/>
      <c r="V85" s="473"/>
      <c r="W85" s="473"/>
      <c r="X85" s="473"/>
      <c r="Y85" s="473"/>
      <c r="Z85" s="473"/>
      <c r="AA85" s="473"/>
      <c r="AB85" s="473"/>
      <c r="AC85" s="473"/>
      <c r="AD85" s="473"/>
      <c r="AE85" s="474"/>
    </row>
    <row r="86" spans="1:31" ht="14.25" customHeight="1">
      <c r="A86" s="567"/>
      <c r="B86" s="473"/>
      <c r="C86" s="473"/>
      <c r="D86" s="473"/>
      <c r="E86" s="473"/>
      <c r="F86" s="473"/>
      <c r="G86" s="473"/>
      <c r="H86" s="473"/>
      <c r="I86" s="473"/>
      <c r="J86" s="473"/>
      <c r="K86" s="568"/>
      <c r="L86" s="472"/>
      <c r="M86" s="473"/>
      <c r="N86" s="473"/>
      <c r="O86" s="473"/>
      <c r="P86" s="473"/>
      <c r="Q86" s="473"/>
      <c r="R86" s="473"/>
      <c r="S86" s="473"/>
      <c r="T86" s="473"/>
      <c r="U86" s="473"/>
      <c r="V86" s="473"/>
      <c r="W86" s="473"/>
      <c r="X86" s="473"/>
      <c r="Y86" s="473"/>
      <c r="Z86" s="473"/>
      <c r="AA86" s="473"/>
      <c r="AB86" s="473"/>
      <c r="AC86" s="473"/>
      <c r="AD86" s="473"/>
      <c r="AE86" s="474"/>
    </row>
    <row r="87" spans="1:31" ht="14.25" customHeight="1">
      <c r="A87" s="567"/>
      <c r="B87" s="473"/>
      <c r="C87" s="473"/>
      <c r="D87" s="473"/>
      <c r="E87" s="473"/>
      <c r="F87" s="473"/>
      <c r="G87" s="473"/>
      <c r="H87" s="473"/>
      <c r="I87" s="473"/>
      <c r="J87" s="473"/>
      <c r="K87" s="568"/>
      <c r="L87" s="472"/>
      <c r="M87" s="473"/>
      <c r="N87" s="473"/>
      <c r="O87" s="473"/>
      <c r="P87" s="473"/>
      <c r="Q87" s="473"/>
      <c r="R87" s="473"/>
      <c r="S87" s="473"/>
      <c r="T87" s="473"/>
      <c r="U87" s="473"/>
      <c r="V87" s="473"/>
      <c r="W87" s="473"/>
      <c r="X87" s="473"/>
      <c r="Y87" s="473"/>
      <c r="Z87" s="473"/>
      <c r="AA87" s="473"/>
      <c r="AB87" s="473"/>
      <c r="AC87" s="473"/>
      <c r="AD87" s="473"/>
      <c r="AE87" s="474"/>
    </row>
    <row r="88" spans="1:31" ht="14.25" customHeight="1">
      <c r="A88" s="567"/>
      <c r="B88" s="473"/>
      <c r="C88" s="473"/>
      <c r="D88" s="473"/>
      <c r="E88" s="473"/>
      <c r="F88" s="473"/>
      <c r="G88" s="473"/>
      <c r="H88" s="473"/>
      <c r="I88" s="473"/>
      <c r="J88" s="473"/>
      <c r="K88" s="568"/>
      <c r="L88" s="472"/>
      <c r="M88" s="473"/>
      <c r="N88" s="473"/>
      <c r="O88" s="473"/>
      <c r="P88" s="473"/>
      <c r="Q88" s="473"/>
      <c r="R88" s="473"/>
      <c r="S88" s="473"/>
      <c r="T88" s="473"/>
      <c r="U88" s="473"/>
      <c r="V88" s="473"/>
      <c r="W88" s="473"/>
      <c r="X88" s="473"/>
      <c r="Y88" s="473"/>
      <c r="Z88" s="473"/>
      <c r="AA88" s="473"/>
      <c r="AB88" s="473"/>
      <c r="AC88" s="473"/>
      <c r="AD88" s="473"/>
      <c r="AE88" s="474"/>
    </row>
    <row r="89" spans="1:31" ht="14.25" customHeight="1">
      <c r="A89" s="567"/>
      <c r="B89" s="473"/>
      <c r="C89" s="473"/>
      <c r="D89" s="473"/>
      <c r="E89" s="473"/>
      <c r="F89" s="473"/>
      <c r="G89" s="473"/>
      <c r="H89" s="473"/>
      <c r="I89" s="473"/>
      <c r="J89" s="473"/>
      <c r="K89" s="568"/>
      <c r="L89" s="472"/>
      <c r="M89" s="473"/>
      <c r="N89" s="473"/>
      <c r="O89" s="473"/>
      <c r="P89" s="473"/>
      <c r="Q89" s="473"/>
      <c r="R89" s="473"/>
      <c r="S89" s="473"/>
      <c r="T89" s="473"/>
      <c r="U89" s="473"/>
      <c r="V89" s="473"/>
      <c r="W89" s="473"/>
      <c r="X89" s="473"/>
      <c r="Y89" s="473"/>
      <c r="Z89" s="473"/>
      <c r="AA89" s="473"/>
      <c r="AB89" s="473"/>
      <c r="AC89" s="473"/>
      <c r="AD89" s="473"/>
      <c r="AE89" s="474"/>
    </row>
    <row r="90" spans="1:31" ht="14.25" customHeight="1">
      <c r="A90" s="567"/>
      <c r="B90" s="473"/>
      <c r="C90" s="473"/>
      <c r="D90" s="473"/>
      <c r="E90" s="473"/>
      <c r="F90" s="473"/>
      <c r="G90" s="473"/>
      <c r="H90" s="473"/>
      <c r="I90" s="473"/>
      <c r="J90" s="473"/>
      <c r="K90" s="568"/>
      <c r="L90" s="472"/>
      <c r="M90" s="473"/>
      <c r="N90" s="473"/>
      <c r="O90" s="473"/>
      <c r="P90" s="473"/>
      <c r="Q90" s="473"/>
      <c r="R90" s="473"/>
      <c r="S90" s="473"/>
      <c r="T90" s="473"/>
      <c r="U90" s="473"/>
      <c r="V90" s="473"/>
      <c r="W90" s="473"/>
      <c r="X90" s="473"/>
      <c r="Y90" s="473"/>
      <c r="Z90" s="473"/>
      <c r="AA90" s="473"/>
      <c r="AB90" s="473"/>
      <c r="AC90" s="473"/>
      <c r="AD90" s="473"/>
      <c r="AE90" s="474"/>
    </row>
    <row r="91" spans="1:31" ht="14.25" customHeight="1">
      <c r="A91" s="567"/>
      <c r="B91" s="473"/>
      <c r="C91" s="473"/>
      <c r="D91" s="473"/>
      <c r="E91" s="473"/>
      <c r="F91" s="473"/>
      <c r="G91" s="473"/>
      <c r="H91" s="473"/>
      <c r="I91" s="473"/>
      <c r="J91" s="473"/>
      <c r="K91" s="568"/>
      <c r="L91" s="472"/>
      <c r="M91" s="473"/>
      <c r="N91" s="473"/>
      <c r="O91" s="473"/>
      <c r="P91" s="473"/>
      <c r="Q91" s="473"/>
      <c r="R91" s="473"/>
      <c r="S91" s="473"/>
      <c r="T91" s="473"/>
      <c r="U91" s="473"/>
      <c r="V91" s="473"/>
      <c r="W91" s="473"/>
      <c r="X91" s="473"/>
      <c r="Y91" s="473"/>
      <c r="Z91" s="473"/>
      <c r="AA91" s="473"/>
      <c r="AB91" s="473"/>
      <c r="AC91" s="473"/>
      <c r="AD91" s="473"/>
      <c r="AE91" s="474"/>
    </row>
    <row r="92" spans="1:31" ht="14.25" customHeight="1">
      <c r="A92" s="567"/>
      <c r="B92" s="473"/>
      <c r="C92" s="473"/>
      <c r="D92" s="473"/>
      <c r="E92" s="473"/>
      <c r="F92" s="473"/>
      <c r="G92" s="473"/>
      <c r="H92" s="473"/>
      <c r="I92" s="473"/>
      <c r="J92" s="473"/>
      <c r="K92" s="568"/>
      <c r="L92" s="472"/>
      <c r="M92" s="473"/>
      <c r="N92" s="473"/>
      <c r="O92" s="473"/>
      <c r="P92" s="473"/>
      <c r="Q92" s="473"/>
      <c r="R92" s="473"/>
      <c r="S92" s="473"/>
      <c r="T92" s="473"/>
      <c r="U92" s="473"/>
      <c r="V92" s="473"/>
      <c r="W92" s="473"/>
      <c r="X92" s="473"/>
      <c r="Y92" s="473"/>
      <c r="Z92" s="473"/>
      <c r="AA92" s="473"/>
      <c r="AB92" s="473"/>
      <c r="AC92" s="473"/>
      <c r="AD92" s="473"/>
      <c r="AE92" s="474"/>
    </row>
    <row r="93" spans="1:31" ht="14.25" customHeight="1">
      <c r="A93" s="567"/>
      <c r="B93" s="473"/>
      <c r="C93" s="473"/>
      <c r="D93" s="473"/>
      <c r="E93" s="473"/>
      <c r="F93" s="473"/>
      <c r="G93" s="473"/>
      <c r="H93" s="473"/>
      <c r="I93" s="473"/>
      <c r="J93" s="473"/>
      <c r="K93" s="568"/>
      <c r="L93" s="472"/>
      <c r="M93" s="473"/>
      <c r="N93" s="473"/>
      <c r="O93" s="473"/>
      <c r="P93" s="473"/>
      <c r="Q93" s="473"/>
      <c r="R93" s="473"/>
      <c r="S93" s="473"/>
      <c r="T93" s="473"/>
      <c r="U93" s="473"/>
      <c r="V93" s="473"/>
      <c r="W93" s="473"/>
      <c r="X93" s="473"/>
      <c r="Y93" s="473"/>
      <c r="Z93" s="473"/>
      <c r="AA93" s="473"/>
      <c r="AB93" s="473"/>
      <c r="AC93" s="473"/>
      <c r="AD93" s="473"/>
      <c r="AE93" s="474"/>
    </row>
    <row r="94" spans="1:31" ht="14.25" customHeight="1">
      <c r="A94" s="567"/>
      <c r="B94" s="473"/>
      <c r="C94" s="473"/>
      <c r="D94" s="473"/>
      <c r="E94" s="473"/>
      <c r="F94" s="473"/>
      <c r="G94" s="473"/>
      <c r="H94" s="473"/>
      <c r="I94" s="473"/>
      <c r="J94" s="473"/>
      <c r="K94" s="568"/>
      <c r="L94" s="472"/>
      <c r="M94" s="473"/>
      <c r="N94" s="473"/>
      <c r="O94" s="473"/>
      <c r="P94" s="473"/>
      <c r="Q94" s="473"/>
      <c r="R94" s="473"/>
      <c r="S94" s="473"/>
      <c r="T94" s="473"/>
      <c r="U94" s="473"/>
      <c r="V94" s="473"/>
      <c r="W94" s="473"/>
      <c r="X94" s="473"/>
      <c r="Y94" s="473"/>
      <c r="Z94" s="473"/>
      <c r="AA94" s="473"/>
      <c r="AB94" s="473"/>
      <c r="AC94" s="473"/>
      <c r="AD94" s="473"/>
      <c r="AE94" s="474"/>
    </row>
    <row r="95" spans="1:31" ht="14.25" customHeight="1">
      <c r="A95" s="567"/>
      <c r="B95" s="473"/>
      <c r="C95" s="473"/>
      <c r="D95" s="473"/>
      <c r="E95" s="473"/>
      <c r="F95" s="473"/>
      <c r="G95" s="473"/>
      <c r="H95" s="473"/>
      <c r="I95" s="473"/>
      <c r="J95" s="473"/>
      <c r="K95" s="568"/>
      <c r="L95" s="472"/>
      <c r="M95" s="473"/>
      <c r="N95" s="473"/>
      <c r="O95" s="473"/>
      <c r="P95" s="473"/>
      <c r="Q95" s="473"/>
      <c r="R95" s="473"/>
      <c r="S95" s="473"/>
      <c r="T95" s="473"/>
      <c r="U95" s="473"/>
      <c r="V95" s="473"/>
      <c r="W95" s="473"/>
      <c r="X95" s="473"/>
      <c r="Y95" s="473"/>
      <c r="Z95" s="473"/>
      <c r="AA95" s="473"/>
      <c r="AB95" s="473"/>
      <c r="AC95" s="473"/>
      <c r="AD95" s="473"/>
      <c r="AE95" s="474"/>
    </row>
    <row r="96" spans="1:31" ht="14.25" customHeight="1">
      <c r="A96" s="567"/>
      <c r="B96" s="473"/>
      <c r="C96" s="473"/>
      <c r="D96" s="473"/>
      <c r="E96" s="473"/>
      <c r="F96" s="473"/>
      <c r="G96" s="473"/>
      <c r="H96" s="473"/>
      <c r="I96" s="473"/>
      <c r="J96" s="473"/>
      <c r="K96" s="568"/>
      <c r="L96" s="472"/>
      <c r="M96" s="473"/>
      <c r="N96" s="473"/>
      <c r="O96" s="473"/>
      <c r="P96" s="473"/>
      <c r="Q96" s="473"/>
      <c r="R96" s="473"/>
      <c r="S96" s="473"/>
      <c r="T96" s="473"/>
      <c r="U96" s="473"/>
      <c r="V96" s="473"/>
      <c r="W96" s="473"/>
      <c r="X96" s="473"/>
      <c r="Y96" s="473"/>
      <c r="Z96" s="473"/>
      <c r="AA96" s="473"/>
      <c r="AB96" s="473"/>
      <c r="AC96" s="473"/>
      <c r="AD96" s="473"/>
      <c r="AE96" s="474"/>
    </row>
    <row r="97" spans="1:31" ht="14.25" customHeight="1">
      <c r="A97" s="567"/>
      <c r="B97" s="473"/>
      <c r="C97" s="473"/>
      <c r="D97" s="473"/>
      <c r="E97" s="473"/>
      <c r="F97" s="473"/>
      <c r="G97" s="473"/>
      <c r="H97" s="473"/>
      <c r="I97" s="473"/>
      <c r="J97" s="473"/>
      <c r="K97" s="568"/>
      <c r="L97" s="472"/>
      <c r="M97" s="473"/>
      <c r="N97" s="473"/>
      <c r="O97" s="473"/>
      <c r="P97" s="473"/>
      <c r="Q97" s="473"/>
      <c r="R97" s="473"/>
      <c r="S97" s="473"/>
      <c r="T97" s="473"/>
      <c r="U97" s="473"/>
      <c r="V97" s="473"/>
      <c r="W97" s="473"/>
      <c r="X97" s="473"/>
      <c r="Y97" s="473"/>
      <c r="Z97" s="473"/>
      <c r="AA97" s="473"/>
      <c r="AB97" s="473"/>
      <c r="AC97" s="473"/>
      <c r="AD97" s="473"/>
      <c r="AE97" s="474"/>
    </row>
    <row r="98" spans="1:31" ht="14.25" customHeight="1">
      <c r="A98" s="567"/>
      <c r="B98" s="473"/>
      <c r="C98" s="473"/>
      <c r="D98" s="473"/>
      <c r="E98" s="473"/>
      <c r="F98" s="473"/>
      <c r="G98" s="473"/>
      <c r="H98" s="473"/>
      <c r="I98" s="473"/>
      <c r="J98" s="473"/>
      <c r="K98" s="568"/>
      <c r="L98" s="472"/>
      <c r="M98" s="473"/>
      <c r="N98" s="473"/>
      <c r="O98" s="473"/>
      <c r="P98" s="473"/>
      <c r="Q98" s="473"/>
      <c r="R98" s="473"/>
      <c r="S98" s="473"/>
      <c r="T98" s="473"/>
      <c r="U98" s="473"/>
      <c r="V98" s="473"/>
      <c r="W98" s="473"/>
      <c r="X98" s="473"/>
      <c r="Y98" s="473"/>
      <c r="Z98" s="473"/>
      <c r="AA98" s="473"/>
      <c r="AB98" s="473"/>
      <c r="AC98" s="473"/>
      <c r="AD98" s="473"/>
      <c r="AE98" s="474"/>
    </row>
    <row r="99" spans="1:31" ht="14.25" customHeight="1">
      <c r="A99" s="567"/>
      <c r="B99" s="473"/>
      <c r="C99" s="473"/>
      <c r="D99" s="473"/>
      <c r="E99" s="473"/>
      <c r="F99" s="473"/>
      <c r="G99" s="473"/>
      <c r="H99" s="473"/>
      <c r="I99" s="473"/>
      <c r="J99" s="473"/>
      <c r="K99" s="568"/>
      <c r="L99" s="472"/>
      <c r="M99" s="473"/>
      <c r="N99" s="473"/>
      <c r="O99" s="473"/>
      <c r="P99" s="473"/>
      <c r="Q99" s="473"/>
      <c r="R99" s="473"/>
      <c r="S99" s="473"/>
      <c r="T99" s="473"/>
      <c r="U99" s="473"/>
      <c r="V99" s="473"/>
      <c r="W99" s="473"/>
      <c r="X99" s="473"/>
      <c r="Y99" s="473"/>
      <c r="Z99" s="473"/>
      <c r="AA99" s="473"/>
      <c r="AB99" s="473"/>
      <c r="AC99" s="473"/>
      <c r="AD99" s="473"/>
      <c r="AE99" s="474"/>
    </row>
    <row r="100" spans="1:31" ht="14.25" customHeight="1">
      <c r="A100" s="567"/>
      <c r="B100" s="473"/>
      <c r="C100" s="473"/>
      <c r="D100" s="473"/>
      <c r="E100" s="473"/>
      <c r="F100" s="473"/>
      <c r="G100" s="473"/>
      <c r="H100" s="473"/>
      <c r="I100" s="473"/>
      <c r="J100" s="473"/>
      <c r="K100" s="568"/>
      <c r="L100" s="472"/>
      <c r="M100" s="473"/>
      <c r="N100" s="473"/>
      <c r="O100" s="473"/>
      <c r="P100" s="473"/>
      <c r="Q100" s="473"/>
      <c r="R100" s="473"/>
      <c r="S100" s="473"/>
      <c r="T100" s="473"/>
      <c r="U100" s="473"/>
      <c r="V100" s="473"/>
      <c r="W100" s="473"/>
      <c r="X100" s="473"/>
      <c r="Y100" s="473"/>
      <c r="Z100" s="473"/>
      <c r="AA100" s="473"/>
      <c r="AB100" s="473"/>
      <c r="AC100" s="473"/>
      <c r="AD100" s="473"/>
      <c r="AE100" s="474"/>
    </row>
    <row r="101" spans="1:31" ht="14.25" customHeight="1">
      <c r="A101" s="567"/>
      <c r="B101" s="473"/>
      <c r="C101" s="473"/>
      <c r="D101" s="473"/>
      <c r="E101" s="473"/>
      <c r="F101" s="473"/>
      <c r="G101" s="473"/>
      <c r="H101" s="473"/>
      <c r="I101" s="473"/>
      <c r="J101" s="473"/>
      <c r="K101" s="568"/>
      <c r="L101" s="472"/>
      <c r="M101" s="473"/>
      <c r="N101" s="473"/>
      <c r="O101" s="473"/>
      <c r="P101" s="473"/>
      <c r="Q101" s="473"/>
      <c r="R101" s="473"/>
      <c r="S101" s="473"/>
      <c r="T101" s="473"/>
      <c r="U101" s="473"/>
      <c r="V101" s="473"/>
      <c r="W101" s="473"/>
      <c r="X101" s="473"/>
      <c r="Y101" s="473"/>
      <c r="Z101" s="473"/>
      <c r="AA101" s="473"/>
      <c r="AB101" s="473"/>
      <c r="AC101" s="473"/>
      <c r="AD101" s="473"/>
      <c r="AE101" s="474"/>
    </row>
    <row r="102" spans="1:31" ht="14.25" customHeight="1">
      <c r="A102" s="567"/>
      <c r="B102" s="473"/>
      <c r="C102" s="473"/>
      <c r="D102" s="473"/>
      <c r="E102" s="473"/>
      <c r="F102" s="473"/>
      <c r="G102" s="473"/>
      <c r="H102" s="473"/>
      <c r="I102" s="473"/>
      <c r="J102" s="473"/>
      <c r="K102" s="568"/>
      <c r="L102" s="472"/>
      <c r="M102" s="473"/>
      <c r="N102" s="473"/>
      <c r="O102" s="473"/>
      <c r="P102" s="473"/>
      <c r="Q102" s="473"/>
      <c r="R102" s="473"/>
      <c r="S102" s="473"/>
      <c r="T102" s="473"/>
      <c r="U102" s="473"/>
      <c r="V102" s="473"/>
      <c r="W102" s="473"/>
      <c r="X102" s="473"/>
      <c r="Y102" s="473"/>
      <c r="Z102" s="473"/>
      <c r="AA102" s="473"/>
      <c r="AB102" s="473"/>
      <c r="AC102" s="473"/>
      <c r="AD102" s="473"/>
      <c r="AE102" s="474"/>
    </row>
    <row r="103" spans="1:31" ht="14.25" customHeight="1">
      <c r="A103" s="567"/>
      <c r="B103" s="473"/>
      <c r="C103" s="473"/>
      <c r="D103" s="473"/>
      <c r="E103" s="473"/>
      <c r="F103" s="473"/>
      <c r="G103" s="473"/>
      <c r="H103" s="473"/>
      <c r="I103" s="473"/>
      <c r="J103" s="473"/>
      <c r="K103" s="568"/>
      <c r="L103" s="472"/>
      <c r="M103" s="473"/>
      <c r="N103" s="473"/>
      <c r="O103" s="473"/>
      <c r="P103" s="473"/>
      <c r="Q103" s="473"/>
      <c r="R103" s="473"/>
      <c r="S103" s="473"/>
      <c r="T103" s="473"/>
      <c r="U103" s="473"/>
      <c r="V103" s="473"/>
      <c r="W103" s="473"/>
      <c r="X103" s="473"/>
      <c r="Y103" s="473"/>
      <c r="Z103" s="473"/>
      <c r="AA103" s="473"/>
      <c r="AB103" s="473"/>
      <c r="AC103" s="473"/>
      <c r="AD103" s="473"/>
      <c r="AE103" s="474"/>
    </row>
    <row r="104" spans="1:31" ht="14.25" customHeight="1">
      <c r="A104" s="567"/>
      <c r="B104" s="473"/>
      <c r="C104" s="473"/>
      <c r="D104" s="473"/>
      <c r="E104" s="473"/>
      <c r="F104" s="473"/>
      <c r="G104" s="473"/>
      <c r="H104" s="473"/>
      <c r="I104" s="473"/>
      <c r="J104" s="473"/>
      <c r="K104" s="568"/>
      <c r="L104" s="472"/>
      <c r="M104" s="473"/>
      <c r="N104" s="473"/>
      <c r="O104" s="473"/>
      <c r="P104" s="473"/>
      <c r="Q104" s="473"/>
      <c r="R104" s="473"/>
      <c r="S104" s="473"/>
      <c r="T104" s="473"/>
      <c r="U104" s="473"/>
      <c r="V104" s="473"/>
      <c r="W104" s="473"/>
      <c r="X104" s="473"/>
      <c r="Y104" s="473"/>
      <c r="Z104" s="473"/>
      <c r="AA104" s="473"/>
      <c r="AB104" s="473"/>
      <c r="AC104" s="473"/>
      <c r="AD104" s="473"/>
      <c r="AE104" s="474"/>
    </row>
    <row r="105" spans="1:31" ht="14.25" customHeight="1">
      <c r="A105" s="567"/>
      <c r="B105" s="473"/>
      <c r="C105" s="473"/>
      <c r="D105" s="473"/>
      <c r="E105" s="473"/>
      <c r="F105" s="473"/>
      <c r="G105" s="473"/>
      <c r="H105" s="473"/>
      <c r="I105" s="473"/>
      <c r="J105" s="473"/>
      <c r="K105" s="568"/>
      <c r="L105" s="472"/>
      <c r="M105" s="473"/>
      <c r="N105" s="473"/>
      <c r="O105" s="473"/>
      <c r="P105" s="473"/>
      <c r="Q105" s="473"/>
      <c r="R105" s="473"/>
      <c r="S105" s="473"/>
      <c r="T105" s="473"/>
      <c r="U105" s="473"/>
      <c r="V105" s="473"/>
      <c r="W105" s="473"/>
      <c r="X105" s="473"/>
      <c r="Y105" s="473"/>
      <c r="Z105" s="473"/>
      <c r="AA105" s="473"/>
      <c r="AB105" s="473"/>
      <c r="AC105" s="473"/>
      <c r="AD105" s="473"/>
      <c r="AE105" s="474"/>
    </row>
    <row r="106" spans="1:31" ht="14.25" customHeight="1">
      <c r="A106" s="567"/>
      <c r="B106" s="473"/>
      <c r="C106" s="473"/>
      <c r="D106" s="473"/>
      <c r="E106" s="473"/>
      <c r="F106" s="473"/>
      <c r="G106" s="473"/>
      <c r="H106" s="473"/>
      <c r="I106" s="473"/>
      <c r="J106" s="473"/>
      <c r="K106" s="568"/>
      <c r="L106" s="472"/>
      <c r="M106" s="473"/>
      <c r="N106" s="473"/>
      <c r="O106" s="473"/>
      <c r="P106" s="473"/>
      <c r="Q106" s="473"/>
      <c r="R106" s="473"/>
      <c r="S106" s="473"/>
      <c r="T106" s="473"/>
      <c r="U106" s="473"/>
      <c r="V106" s="473"/>
      <c r="W106" s="473"/>
      <c r="X106" s="473"/>
      <c r="Y106" s="473"/>
      <c r="Z106" s="473"/>
      <c r="AA106" s="473"/>
      <c r="AB106" s="473"/>
      <c r="AC106" s="473"/>
      <c r="AD106" s="473"/>
      <c r="AE106" s="474"/>
    </row>
    <row r="107" spans="1:31" ht="14.25" customHeight="1">
      <c r="A107" s="567"/>
      <c r="B107" s="473"/>
      <c r="C107" s="473"/>
      <c r="D107" s="473"/>
      <c r="E107" s="473"/>
      <c r="F107" s="473"/>
      <c r="G107" s="473"/>
      <c r="H107" s="473"/>
      <c r="I107" s="473"/>
      <c r="J107" s="473"/>
      <c r="K107" s="568"/>
      <c r="L107" s="472"/>
      <c r="M107" s="473"/>
      <c r="N107" s="473"/>
      <c r="O107" s="473"/>
      <c r="P107" s="473"/>
      <c r="Q107" s="473"/>
      <c r="R107" s="473"/>
      <c r="S107" s="473"/>
      <c r="T107" s="473"/>
      <c r="U107" s="473"/>
      <c r="V107" s="473"/>
      <c r="W107" s="473"/>
      <c r="X107" s="473"/>
      <c r="Y107" s="473"/>
      <c r="Z107" s="473"/>
      <c r="AA107" s="473"/>
      <c r="AB107" s="473"/>
      <c r="AC107" s="473"/>
      <c r="AD107" s="473"/>
      <c r="AE107" s="474"/>
    </row>
    <row r="108" spans="1:31" ht="14.25" customHeight="1">
      <c r="A108" s="567"/>
      <c r="B108" s="473"/>
      <c r="C108" s="473"/>
      <c r="D108" s="473"/>
      <c r="E108" s="473"/>
      <c r="F108" s="473"/>
      <c r="G108" s="473"/>
      <c r="H108" s="473"/>
      <c r="I108" s="473"/>
      <c r="J108" s="473"/>
      <c r="K108" s="568"/>
      <c r="L108" s="472"/>
      <c r="M108" s="473"/>
      <c r="N108" s="473"/>
      <c r="O108" s="473"/>
      <c r="P108" s="473"/>
      <c r="Q108" s="473"/>
      <c r="R108" s="473"/>
      <c r="S108" s="473"/>
      <c r="T108" s="473"/>
      <c r="U108" s="473"/>
      <c r="V108" s="473"/>
      <c r="W108" s="473"/>
      <c r="X108" s="473"/>
      <c r="Y108" s="473"/>
      <c r="Z108" s="473"/>
      <c r="AA108" s="473"/>
      <c r="AB108" s="473"/>
      <c r="AC108" s="473"/>
      <c r="AD108" s="473"/>
      <c r="AE108" s="474"/>
    </row>
    <row r="109" spans="1:31" ht="14.25" customHeight="1">
      <c r="A109" s="567"/>
      <c r="B109" s="473"/>
      <c r="C109" s="473"/>
      <c r="D109" s="473"/>
      <c r="E109" s="473"/>
      <c r="F109" s="473"/>
      <c r="G109" s="473"/>
      <c r="H109" s="473"/>
      <c r="I109" s="473"/>
      <c r="J109" s="473"/>
      <c r="K109" s="568"/>
      <c r="L109" s="472"/>
      <c r="M109" s="473"/>
      <c r="N109" s="473"/>
      <c r="O109" s="473"/>
      <c r="P109" s="473"/>
      <c r="Q109" s="473"/>
      <c r="R109" s="473"/>
      <c r="S109" s="473"/>
      <c r="T109" s="473"/>
      <c r="U109" s="473"/>
      <c r="V109" s="473"/>
      <c r="W109" s="473"/>
      <c r="X109" s="473"/>
      <c r="Y109" s="473"/>
      <c r="Z109" s="473"/>
      <c r="AA109" s="473"/>
      <c r="AB109" s="473"/>
      <c r="AC109" s="473"/>
      <c r="AD109" s="473"/>
      <c r="AE109" s="474"/>
    </row>
    <row r="110" spans="1:31" ht="14.25" customHeight="1">
      <c r="A110" s="567"/>
      <c r="B110" s="473"/>
      <c r="C110" s="473"/>
      <c r="D110" s="473"/>
      <c r="E110" s="473"/>
      <c r="F110" s="473"/>
      <c r="G110" s="473"/>
      <c r="H110" s="473"/>
      <c r="I110" s="473"/>
      <c r="J110" s="473"/>
      <c r="K110" s="568"/>
      <c r="L110" s="472"/>
      <c r="M110" s="473"/>
      <c r="N110" s="473"/>
      <c r="O110" s="473"/>
      <c r="P110" s="473"/>
      <c r="Q110" s="473"/>
      <c r="R110" s="473"/>
      <c r="S110" s="473"/>
      <c r="T110" s="473"/>
      <c r="U110" s="473"/>
      <c r="V110" s="473"/>
      <c r="W110" s="473"/>
      <c r="X110" s="473"/>
      <c r="Y110" s="473"/>
      <c r="Z110" s="473"/>
      <c r="AA110" s="473"/>
      <c r="AB110" s="473"/>
      <c r="AC110" s="473"/>
      <c r="AD110" s="473"/>
      <c r="AE110" s="474"/>
    </row>
    <row r="111" spans="1:31" ht="14.25" customHeight="1">
      <c r="A111" s="567"/>
      <c r="B111" s="473"/>
      <c r="C111" s="473"/>
      <c r="D111" s="473"/>
      <c r="E111" s="473"/>
      <c r="F111" s="473"/>
      <c r="G111" s="473"/>
      <c r="H111" s="473"/>
      <c r="I111" s="473"/>
      <c r="J111" s="473"/>
      <c r="K111" s="568"/>
      <c r="L111" s="472"/>
      <c r="M111" s="473"/>
      <c r="N111" s="473"/>
      <c r="O111" s="473"/>
      <c r="P111" s="473"/>
      <c r="Q111" s="473"/>
      <c r="R111" s="473"/>
      <c r="S111" s="473"/>
      <c r="T111" s="473"/>
      <c r="U111" s="473"/>
      <c r="V111" s="473"/>
      <c r="W111" s="473"/>
      <c r="X111" s="473"/>
      <c r="Y111" s="473"/>
      <c r="Z111" s="473"/>
      <c r="AA111" s="473"/>
      <c r="AB111" s="473"/>
      <c r="AC111" s="473"/>
      <c r="AD111" s="473"/>
      <c r="AE111" s="474"/>
    </row>
    <row r="112" spans="1:31" ht="14.25" customHeight="1">
      <c r="A112" s="567"/>
      <c r="B112" s="473"/>
      <c r="C112" s="473"/>
      <c r="D112" s="473"/>
      <c r="E112" s="473"/>
      <c r="F112" s="473"/>
      <c r="G112" s="473"/>
      <c r="H112" s="473"/>
      <c r="I112" s="473"/>
      <c r="J112" s="473"/>
      <c r="K112" s="568"/>
      <c r="L112" s="472"/>
      <c r="M112" s="473"/>
      <c r="N112" s="473"/>
      <c r="O112" s="473"/>
      <c r="P112" s="473"/>
      <c r="Q112" s="473"/>
      <c r="R112" s="473"/>
      <c r="S112" s="473"/>
      <c r="T112" s="473"/>
      <c r="U112" s="473"/>
      <c r="V112" s="473"/>
      <c r="W112" s="473"/>
      <c r="X112" s="473"/>
      <c r="Y112" s="473"/>
      <c r="Z112" s="473"/>
      <c r="AA112" s="473"/>
      <c r="AB112" s="473"/>
      <c r="AC112" s="473"/>
      <c r="AD112" s="473"/>
      <c r="AE112" s="474"/>
    </row>
    <row r="113" spans="1:31" ht="14.25" customHeight="1">
      <c r="A113" s="567"/>
      <c r="B113" s="473"/>
      <c r="C113" s="473"/>
      <c r="D113" s="473"/>
      <c r="E113" s="473"/>
      <c r="F113" s="473"/>
      <c r="G113" s="473"/>
      <c r="H113" s="473"/>
      <c r="I113" s="473"/>
      <c r="J113" s="473"/>
      <c r="K113" s="568"/>
      <c r="L113" s="472"/>
      <c r="M113" s="473"/>
      <c r="N113" s="473"/>
      <c r="O113" s="473"/>
      <c r="P113" s="473"/>
      <c r="Q113" s="473"/>
      <c r="R113" s="473"/>
      <c r="S113" s="473"/>
      <c r="T113" s="473"/>
      <c r="U113" s="473"/>
      <c r="V113" s="473"/>
      <c r="W113" s="473"/>
      <c r="X113" s="473"/>
      <c r="Y113" s="473"/>
      <c r="Z113" s="473"/>
      <c r="AA113" s="473"/>
      <c r="AB113" s="473"/>
      <c r="AC113" s="473"/>
      <c r="AD113" s="473"/>
      <c r="AE113" s="474"/>
    </row>
    <row r="114" spans="1:31" ht="14.25" customHeight="1">
      <c r="A114" s="567"/>
      <c r="B114" s="473"/>
      <c r="C114" s="473"/>
      <c r="D114" s="473"/>
      <c r="E114" s="473"/>
      <c r="F114" s="473"/>
      <c r="G114" s="473"/>
      <c r="H114" s="473"/>
      <c r="I114" s="473"/>
      <c r="J114" s="473"/>
      <c r="K114" s="568"/>
      <c r="L114" s="472"/>
      <c r="M114" s="473"/>
      <c r="N114" s="473"/>
      <c r="O114" s="473"/>
      <c r="P114" s="473"/>
      <c r="Q114" s="473"/>
      <c r="R114" s="473"/>
      <c r="S114" s="473"/>
      <c r="T114" s="473"/>
      <c r="U114" s="473"/>
      <c r="V114" s="473"/>
      <c r="W114" s="473"/>
      <c r="X114" s="473"/>
      <c r="Y114" s="473"/>
      <c r="Z114" s="473"/>
      <c r="AA114" s="473"/>
      <c r="AB114" s="473"/>
      <c r="AC114" s="473"/>
      <c r="AD114" s="473"/>
      <c r="AE114" s="474"/>
    </row>
    <row r="115" spans="1:31" ht="14.25" customHeight="1">
      <c r="A115" s="567"/>
      <c r="B115" s="473"/>
      <c r="C115" s="473"/>
      <c r="D115" s="473"/>
      <c r="E115" s="473"/>
      <c r="F115" s="473"/>
      <c r="G115" s="473"/>
      <c r="H115" s="473"/>
      <c r="I115" s="473"/>
      <c r="J115" s="473"/>
      <c r="K115" s="568"/>
      <c r="L115" s="472"/>
      <c r="M115" s="473"/>
      <c r="N115" s="473"/>
      <c r="O115" s="473"/>
      <c r="P115" s="473"/>
      <c r="Q115" s="473"/>
      <c r="R115" s="473"/>
      <c r="S115" s="473"/>
      <c r="T115" s="473"/>
      <c r="U115" s="473"/>
      <c r="V115" s="473"/>
      <c r="W115" s="473"/>
      <c r="X115" s="473"/>
      <c r="Y115" s="473"/>
      <c r="Z115" s="473"/>
      <c r="AA115" s="473"/>
      <c r="AB115" s="473"/>
      <c r="AC115" s="473"/>
      <c r="AD115" s="473"/>
      <c r="AE115" s="474"/>
    </row>
    <row r="116" spans="1:31" ht="14.25" customHeight="1">
      <c r="A116" s="567"/>
      <c r="B116" s="473"/>
      <c r="C116" s="473"/>
      <c r="D116" s="473"/>
      <c r="E116" s="473"/>
      <c r="F116" s="473"/>
      <c r="G116" s="473"/>
      <c r="H116" s="473"/>
      <c r="I116" s="473"/>
      <c r="J116" s="473"/>
      <c r="K116" s="568"/>
      <c r="L116" s="472"/>
      <c r="M116" s="473"/>
      <c r="N116" s="473"/>
      <c r="O116" s="473"/>
      <c r="P116" s="473"/>
      <c r="Q116" s="473"/>
      <c r="R116" s="473"/>
      <c r="S116" s="473"/>
      <c r="T116" s="473"/>
      <c r="U116" s="473"/>
      <c r="V116" s="473"/>
      <c r="W116" s="473"/>
      <c r="X116" s="473"/>
      <c r="Y116" s="473"/>
      <c r="Z116" s="473"/>
      <c r="AA116" s="473"/>
      <c r="AB116" s="473"/>
      <c r="AC116" s="473"/>
      <c r="AD116" s="473"/>
      <c r="AE116" s="474"/>
    </row>
    <row r="117" spans="1:31" ht="14.25" customHeight="1">
      <c r="A117" s="567"/>
      <c r="B117" s="473"/>
      <c r="C117" s="473"/>
      <c r="D117" s="473"/>
      <c r="E117" s="473"/>
      <c r="F117" s="473"/>
      <c r="G117" s="473"/>
      <c r="H117" s="473"/>
      <c r="I117" s="473"/>
      <c r="J117" s="473"/>
      <c r="K117" s="568"/>
      <c r="L117" s="472"/>
      <c r="M117" s="473"/>
      <c r="N117" s="473"/>
      <c r="O117" s="473"/>
      <c r="P117" s="473"/>
      <c r="Q117" s="473"/>
      <c r="R117" s="473"/>
      <c r="S117" s="473"/>
      <c r="T117" s="473"/>
      <c r="U117" s="473"/>
      <c r="V117" s="473"/>
      <c r="W117" s="473"/>
      <c r="X117" s="473"/>
      <c r="Y117" s="473"/>
      <c r="Z117" s="473"/>
      <c r="AA117" s="473"/>
      <c r="AB117" s="473"/>
      <c r="AC117" s="473"/>
      <c r="AD117" s="473"/>
      <c r="AE117" s="474"/>
    </row>
    <row r="118" spans="1:31" ht="14.25" customHeight="1">
      <c r="A118" s="567"/>
      <c r="B118" s="473"/>
      <c r="C118" s="473"/>
      <c r="D118" s="473"/>
      <c r="E118" s="473"/>
      <c r="F118" s="473"/>
      <c r="G118" s="473"/>
      <c r="H118" s="473"/>
      <c r="I118" s="473"/>
      <c r="J118" s="473"/>
      <c r="K118" s="568"/>
      <c r="L118" s="472"/>
      <c r="M118" s="473"/>
      <c r="N118" s="473"/>
      <c r="O118" s="473"/>
      <c r="P118" s="473"/>
      <c r="Q118" s="473"/>
      <c r="R118" s="473"/>
      <c r="S118" s="473"/>
      <c r="T118" s="473"/>
      <c r="U118" s="473"/>
      <c r="V118" s="473"/>
      <c r="W118" s="473"/>
      <c r="X118" s="473"/>
      <c r="Y118" s="473"/>
      <c r="Z118" s="473"/>
      <c r="AA118" s="473"/>
      <c r="AB118" s="473"/>
      <c r="AC118" s="473"/>
      <c r="AD118" s="473"/>
      <c r="AE118" s="474"/>
    </row>
    <row r="119" spans="1:31" ht="14.25" customHeight="1">
      <c r="A119" s="567"/>
      <c r="B119" s="473"/>
      <c r="C119" s="473"/>
      <c r="D119" s="473"/>
      <c r="E119" s="473"/>
      <c r="F119" s="473"/>
      <c r="G119" s="473"/>
      <c r="H119" s="473"/>
      <c r="I119" s="473"/>
      <c r="J119" s="473"/>
      <c r="K119" s="568"/>
      <c r="L119" s="472"/>
      <c r="M119" s="473"/>
      <c r="N119" s="473"/>
      <c r="O119" s="473"/>
      <c r="P119" s="473"/>
      <c r="Q119" s="473"/>
      <c r="R119" s="473"/>
      <c r="S119" s="473"/>
      <c r="T119" s="473"/>
      <c r="U119" s="473"/>
      <c r="V119" s="473"/>
      <c r="W119" s="473"/>
      <c r="X119" s="473"/>
      <c r="Y119" s="473"/>
      <c r="Z119" s="473"/>
      <c r="AA119" s="473"/>
      <c r="AB119" s="473"/>
      <c r="AC119" s="473"/>
      <c r="AD119" s="473"/>
      <c r="AE119" s="474"/>
    </row>
    <row r="120" spans="1:31" ht="14.25" customHeight="1">
      <c r="A120" s="567"/>
      <c r="B120" s="473"/>
      <c r="C120" s="473"/>
      <c r="D120" s="473"/>
      <c r="E120" s="473"/>
      <c r="F120" s="473"/>
      <c r="G120" s="473"/>
      <c r="H120" s="473"/>
      <c r="I120" s="473"/>
      <c r="J120" s="473"/>
      <c r="K120" s="568"/>
      <c r="L120" s="472"/>
      <c r="M120" s="473"/>
      <c r="N120" s="473"/>
      <c r="O120" s="473"/>
      <c r="P120" s="473"/>
      <c r="Q120" s="473"/>
      <c r="R120" s="473"/>
      <c r="S120" s="473"/>
      <c r="T120" s="473"/>
      <c r="U120" s="473"/>
      <c r="V120" s="473"/>
      <c r="W120" s="473"/>
      <c r="X120" s="473"/>
      <c r="Y120" s="473"/>
      <c r="Z120" s="473"/>
      <c r="AA120" s="473"/>
      <c r="AB120" s="473"/>
      <c r="AC120" s="473"/>
      <c r="AD120" s="473"/>
      <c r="AE120" s="474"/>
    </row>
    <row r="121" spans="1:31" ht="14.25" customHeight="1">
      <c r="A121" s="567"/>
      <c r="B121" s="473"/>
      <c r="C121" s="473"/>
      <c r="D121" s="473"/>
      <c r="E121" s="473"/>
      <c r="F121" s="473"/>
      <c r="G121" s="473"/>
      <c r="H121" s="473"/>
      <c r="I121" s="473"/>
      <c r="J121" s="473"/>
      <c r="K121" s="568"/>
      <c r="L121" s="472"/>
      <c r="M121" s="473"/>
      <c r="N121" s="473"/>
      <c r="O121" s="473"/>
      <c r="P121" s="473"/>
      <c r="Q121" s="473"/>
      <c r="R121" s="473"/>
      <c r="S121" s="473"/>
      <c r="T121" s="473"/>
      <c r="U121" s="473"/>
      <c r="V121" s="473"/>
      <c r="W121" s="473"/>
      <c r="X121" s="473"/>
      <c r="Y121" s="473"/>
      <c r="Z121" s="473"/>
      <c r="AA121" s="473"/>
      <c r="AB121" s="473"/>
      <c r="AC121" s="473"/>
      <c r="AD121" s="473"/>
      <c r="AE121" s="474"/>
    </row>
    <row r="122" spans="1:31" ht="14.25" customHeight="1">
      <c r="A122" s="567"/>
      <c r="B122" s="473"/>
      <c r="C122" s="473"/>
      <c r="D122" s="473"/>
      <c r="E122" s="473"/>
      <c r="F122" s="473"/>
      <c r="G122" s="473"/>
      <c r="H122" s="473"/>
      <c r="I122" s="473"/>
      <c r="J122" s="473"/>
      <c r="K122" s="568"/>
      <c r="L122" s="472"/>
      <c r="M122" s="473"/>
      <c r="N122" s="473"/>
      <c r="O122" s="473"/>
      <c r="P122" s="473"/>
      <c r="Q122" s="473"/>
      <c r="R122" s="473"/>
      <c r="S122" s="473"/>
      <c r="T122" s="473"/>
      <c r="U122" s="473"/>
      <c r="V122" s="473"/>
      <c r="W122" s="473"/>
      <c r="X122" s="473"/>
      <c r="Y122" s="473"/>
      <c r="Z122" s="473"/>
      <c r="AA122" s="473"/>
      <c r="AB122" s="473"/>
      <c r="AC122" s="473"/>
      <c r="AD122" s="473"/>
      <c r="AE122" s="474"/>
    </row>
    <row r="123" spans="1:31" ht="14.25" customHeight="1">
      <c r="A123" s="567"/>
      <c r="B123" s="473"/>
      <c r="C123" s="473"/>
      <c r="D123" s="473"/>
      <c r="E123" s="473"/>
      <c r="F123" s="473"/>
      <c r="G123" s="473"/>
      <c r="H123" s="473"/>
      <c r="I123" s="473"/>
      <c r="J123" s="473"/>
      <c r="K123" s="568"/>
      <c r="L123" s="472"/>
      <c r="M123" s="473"/>
      <c r="N123" s="473"/>
      <c r="O123" s="473"/>
      <c r="P123" s="473"/>
      <c r="Q123" s="473"/>
      <c r="R123" s="473"/>
      <c r="S123" s="473"/>
      <c r="T123" s="473"/>
      <c r="U123" s="473"/>
      <c r="V123" s="473"/>
      <c r="W123" s="473"/>
      <c r="X123" s="473"/>
      <c r="Y123" s="473"/>
      <c r="Z123" s="473"/>
      <c r="AA123" s="473"/>
      <c r="AB123" s="473"/>
      <c r="AC123" s="473"/>
      <c r="AD123" s="473"/>
      <c r="AE123" s="474"/>
    </row>
    <row r="124" spans="1:31" ht="14.25" customHeight="1">
      <c r="A124" s="567"/>
      <c r="B124" s="473"/>
      <c r="C124" s="473"/>
      <c r="D124" s="473"/>
      <c r="E124" s="473"/>
      <c r="F124" s="473"/>
      <c r="G124" s="473"/>
      <c r="H124" s="473"/>
      <c r="I124" s="473"/>
      <c r="J124" s="473"/>
      <c r="K124" s="568"/>
      <c r="L124" s="472"/>
      <c r="M124" s="473"/>
      <c r="N124" s="473"/>
      <c r="O124" s="473"/>
      <c r="P124" s="473"/>
      <c r="Q124" s="473"/>
      <c r="R124" s="473"/>
      <c r="S124" s="473"/>
      <c r="T124" s="473"/>
      <c r="U124" s="473"/>
      <c r="V124" s="473"/>
      <c r="W124" s="473"/>
      <c r="X124" s="473"/>
      <c r="Y124" s="473"/>
      <c r="Z124" s="473"/>
      <c r="AA124" s="473"/>
      <c r="AB124" s="473"/>
      <c r="AC124" s="473"/>
      <c r="AD124" s="473"/>
      <c r="AE124" s="474"/>
    </row>
    <row r="125" spans="1:31" ht="14.25" customHeight="1">
      <c r="A125" s="567"/>
      <c r="B125" s="473"/>
      <c r="C125" s="473"/>
      <c r="D125" s="473"/>
      <c r="E125" s="473"/>
      <c r="F125" s="473"/>
      <c r="G125" s="473"/>
      <c r="H125" s="473"/>
      <c r="I125" s="473"/>
      <c r="J125" s="473"/>
      <c r="K125" s="568"/>
      <c r="L125" s="472"/>
      <c r="M125" s="473"/>
      <c r="N125" s="473"/>
      <c r="O125" s="473"/>
      <c r="P125" s="473"/>
      <c r="Q125" s="473"/>
      <c r="R125" s="473"/>
      <c r="S125" s="473"/>
      <c r="T125" s="473"/>
      <c r="U125" s="473"/>
      <c r="V125" s="473"/>
      <c r="W125" s="473"/>
      <c r="X125" s="473"/>
      <c r="Y125" s="473"/>
      <c r="Z125" s="473"/>
      <c r="AA125" s="473"/>
      <c r="AB125" s="473"/>
      <c r="AC125" s="473"/>
      <c r="AD125" s="473"/>
      <c r="AE125" s="474"/>
    </row>
    <row r="126" spans="1:31" ht="14.25" customHeight="1">
      <c r="A126" s="567"/>
      <c r="B126" s="473"/>
      <c r="C126" s="473"/>
      <c r="D126" s="473"/>
      <c r="E126" s="473"/>
      <c r="F126" s="473"/>
      <c r="G126" s="473"/>
      <c r="H126" s="473"/>
      <c r="I126" s="473"/>
      <c r="J126" s="473"/>
      <c r="K126" s="568"/>
      <c r="L126" s="472"/>
      <c r="M126" s="473"/>
      <c r="N126" s="473"/>
      <c r="O126" s="473"/>
      <c r="P126" s="473"/>
      <c r="Q126" s="473"/>
      <c r="R126" s="473"/>
      <c r="S126" s="473"/>
      <c r="T126" s="473"/>
      <c r="U126" s="473"/>
      <c r="V126" s="473"/>
      <c r="W126" s="473"/>
      <c r="X126" s="473"/>
      <c r="Y126" s="473"/>
      <c r="Z126" s="473"/>
      <c r="AA126" s="473"/>
      <c r="AB126" s="473"/>
      <c r="AC126" s="473"/>
      <c r="AD126" s="473"/>
      <c r="AE126" s="474"/>
    </row>
    <row r="127" spans="1:31" ht="14.25" customHeight="1">
      <c r="A127" s="567"/>
      <c r="B127" s="473"/>
      <c r="C127" s="473"/>
      <c r="D127" s="473"/>
      <c r="E127" s="473"/>
      <c r="F127" s="473"/>
      <c r="G127" s="473"/>
      <c r="H127" s="473"/>
      <c r="I127" s="473"/>
      <c r="J127" s="473"/>
      <c r="K127" s="568"/>
      <c r="L127" s="472"/>
      <c r="M127" s="473"/>
      <c r="N127" s="473"/>
      <c r="O127" s="473"/>
      <c r="P127" s="473"/>
      <c r="Q127" s="473"/>
      <c r="R127" s="473"/>
      <c r="S127" s="473"/>
      <c r="T127" s="473"/>
      <c r="U127" s="473"/>
      <c r="V127" s="473"/>
      <c r="W127" s="473"/>
      <c r="X127" s="473"/>
      <c r="Y127" s="473"/>
      <c r="Z127" s="473"/>
      <c r="AA127" s="473"/>
      <c r="AB127" s="473"/>
      <c r="AC127" s="473"/>
      <c r="AD127" s="473"/>
      <c r="AE127" s="474"/>
    </row>
    <row r="128" spans="1:31" ht="14.25" customHeight="1">
      <c r="A128" s="567"/>
      <c r="B128" s="473"/>
      <c r="C128" s="473"/>
      <c r="D128" s="473"/>
      <c r="E128" s="473"/>
      <c r="F128" s="473"/>
      <c r="G128" s="473"/>
      <c r="H128" s="473"/>
      <c r="I128" s="473"/>
      <c r="J128" s="473"/>
      <c r="K128" s="568"/>
      <c r="L128" s="472"/>
      <c r="M128" s="473"/>
      <c r="N128" s="473"/>
      <c r="O128" s="473"/>
      <c r="P128" s="473"/>
      <c r="Q128" s="473"/>
      <c r="R128" s="473"/>
      <c r="S128" s="473"/>
      <c r="T128" s="473"/>
      <c r="U128" s="473"/>
      <c r="V128" s="473"/>
      <c r="W128" s="473"/>
      <c r="X128" s="473"/>
      <c r="Y128" s="473"/>
      <c r="Z128" s="473"/>
      <c r="AA128" s="473"/>
      <c r="AB128" s="473"/>
      <c r="AC128" s="473"/>
      <c r="AD128" s="473"/>
      <c r="AE128" s="474"/>
    </row>
    <row r="129" spans="1:31" ht="14.25" customHeight="1">
      <c r="A129" s="567"/>
      <c r="B129" s="473"/>
      <c r="C129" s="473"/>
      <c r="D129" s="473"/>
      <c r="E129" s="473"/>
      <c r="F129" s="473"/>
      <c r="G129" s="473"/>
      <c r="H129" s="473"/>
      <c r="I129" s="473"/>
      <c r="J129" s="473"/>
      <c r="K129" s="568"/>
      <c r="L129" s="472"/>
      <c r="M129" s="473"/>
      <c r="N129" s="473"/>
      <c r="O129" s="473"/>
      <c r="P129" s="473"/>
      <c r="Q129" s="473"/>
      <c r="R129" s="473"/>
      <c r="S129" s="473"/>
      <c r="T129" s="473"/>
      <c r="U129" s="473"/>
      <c r="V129" s="473"/>
      <c r="W129" s="473"/>
      <c r="X129" s="473"/>
      <c r="Y129" s="473"/>
      <c r="Z129" s="473"/>
      <c r="AA129" s="473"/>
      <c r="AB129" s="473"/>
      <c r="AC129" s="473"/>
      <c r="AD129" s="473"/>
      <c r="AE129" s="474"/>
    </row>
    <row r="130" spans="1:31" ht="14.25" customHeight="1">
      <c r="A130" s="567"/>
      <c r="B130" s="473"/>
      <c r="C130" s="473"/>
      <c r="D130" s="473"/>
      <c r="E130" s="473"/>
      <c r="F130" s="473"/>
      <c r="G130" s="473"/>
      <c r="H130" s="473"/>
      <c r="I130" s="473"/>
      <c r="J130" s="473"/>
      <c r="K130" s="568"/>
      <c r="L130" s="472"/>
      <c r="M130" s="473"/>
      <c r="N130" s="473"/>
      <c r="O130" s="473"/>
      <c r="P130" s="473"/>
      <c r="Q130" s="473"/>
      <c r="R130" s="473"/>
      <c r="S130" s="473"/>
      <c r="T130" s="473"/>
      <c r="U130" s="473"/>
      <c r="V130" s="473"/>
      <c r="W130" s="473"/>
      <c r="X130" s="473"/>
      <c r="Y130" s="473"/>
      <c r="Z130" s="473"/>
      <c r="AA130" s="473"/>
      <c r="AB130" s="473"/>
      <c r="AC130" s="473"/>
      <c r="AD130" s="473"/>
      <c r="AE130" s="474"/>
    </row>
    <row r="131" spans="1:31" ht="14.25" customHeight="1">
      <c r="A131" s="567"/>
      <c r="B131" s="473"/>
      <c r="C131" s="473"/>
      <c r="D131" s="473"/>
      <c r="E131" s="473"/>
      <c r="F131" s="473"/>
      <c r="G131" s="473"/>
      <c r="H131" s="473"/>
      <c r="I131" s="473"/>
      <c r="J131" s="473"/>
      <c r="K131" s="568"/>
      <c r="L131" s="472"/>
      <c r="M131" s="473"/>
      <c r="N131" s="473"/>
      <c r="O131" s="473"/>
      <c r="P131" s="473"/>
      <c r="Q131" s="473"/>
      <c r="R131" s="473"/>
      <c r="S131" s="473"/>
      <c r="T131" s="473"/>
      <c r="U131" s="473"/>
      <c r="V131" s="473"/>
      <c r="W131" s="473"/>
      <c r="X131" s="473"/>
      <c r="Y131" s="473"/>
      <c r="Z131" s="473"/>
      <c r="AA131" s="473"/>
      <c r="AB131" s="473"/>
      <c r="AC131" s="473"/>
      <c r="AD131" s="473"/>
      <c r="AE131" s="474"/>
    </row>
    <row r="132" spans="1:31" ht="14.25" customHeight="1">
      <c r="A132" s="567"/>
      <c r="B132" s="473"/>
      <c r="C132" s="473"/>
      <c r="D132" s="473"/>
      <c r="E132" s="473"/>
      <c r="F132" s="473"/>
      <c r="G132" s="473"/>
      <c r="H132" s="473"/>
      <c r="I132" s="473"/>
      <c r="J132" s="473"/>
      <c r="K132" s="568"/>
      <c r="L132" s="472"/>
      <c r="M132" s="473"/>
      <c r="N132" s="473"/>
      <c r="O132" s="473"/>
      <c r="P132" s="473"/>
      <c r="Q132" s="473"/>
      <c r="R132" s="473"/>
      <c r="S132" s="473"/>
      <c r="T132" s="473"/>
      <c r="U132" s="473"/>
      <c r="V132" s="473"/>
      <c r="W132" s="473"/>
      <c r="X132" s="473"/>
      <c r="Y132" s="473"/>
      <c r="Z132" s="473"/>
      <c r="AA132" s="473"/>
      <c r="AB132" s="473"/>
      <c r="AC132" s="473"/>
      <c r="AD132" s="473"/>
      <c r="AE132" s="474"/>
    </row>
    <row r="133" spans="1:31" ht="14.25" customHeight="1">
      <c r="A133" s="567"/>
      <c r="B133" s="473"/>
      <c r="C133" s="473"/>
      <c r="D133" s="473"/>
      <c r="E133" s="473"/>
      <c r="F133" s="473"/>
      <c r="G133" s="473"/>
      <c r="H133" s="473"/>
      <c r="I133" s="473"/>
      <c r="J133" s="473"/>
      <c r="K133" s="568"/>
      <c r="L133" s="472"/>
      <c r="M133" s="473"/>
      <c r="N133" s="473"/>
      <c r="O133" s="473"/>
      <c r="P133" s="473"/>
      <c r="Q133" s="473"/>
      <c r="R133" s="473"/>
      <c r="S133" s="473"/>
      <c r="T133" s="473"/>
      <c r="U133" s="473"/>
      <c r="V133" s="473"/>
      <c r="W133" s="473"/>
      <c r="X133" s="473"/>
      <c r="Y133" s="473"/>
      <c r="Z133" s="473"/>
      <c r="AA133" s="473"/>
      <c r="AB133" s="473"/>
      <c r="AC133" s="473"/>
      <c r="AD133" s="473"/>
      <c r="AE133" s="474"/>
    </row>
    <row r="134" spans="1:31" ht="14.25" customHeight="1">
      <c r="A134" s="567"/>
      <c r="B134" s="473"/>
      <c r="C134" s="473"/>
      <c r="D134" s="473"/>
      <c r="E134" s="473"/>
      <c r="F134" s="473"/>
      <c r="G134" s="473"/>
      <c r="H134" s="473"/>
      <c r="I134" s="473"/>
      <c r="J134" s="473"/>
      <c r="K134" s="568"/>
      <c r="L134" s="472"/>
      <c r="M134" s="473"/>
      <c r="N134" s="473"/>
      <c r="O134" s="473"/>
      <c r="P134" s="473"/>
      <c r="Q134" s="473"/>
      <c r="R134" s="473"/>
      <c r="S134" s="473"/>
      <c r="T134" s="473"/>
      <c r="U134" s="473"/>
      <c r="V134" s="473"/>
      <c r="W134" s="473"/>
      <c r="X134" s="473"/>
      <c r="Y134" s="473"/>
      <c r="Z134" s="473"/>
      <c r="AA134" s="473"/>
      <c r="AB134" s="473"/>
      <c r="AC134" s="473"/>
      <c r="AD134" s="473"/>
      <c r="AE134" s="474"/>
    </row>
    <row r="135" spans="1:31" ht="14.25" customHeight="1">
      <c r="A135" s="567"/>
      <c r="B135" s="473"/>
      <c r="C135" s="473"/>
      <c r="D135" s="473"/>
      <c r="E135" s="473"/>
      <c r="F135" s="473"/>
      <c r="G135" s="473"/>
      <c r="H135" s="473"/>
      <c r="I135" s="473"/>
      <c r="J135" s="473"/>
      <c r="K135" s="568"/>
      <c r="L135" s="472"/>
      <c r="M135" s="473"/>
      <c r="N135" s="473"/>
      <c r="O135" s="473"/>
      <c r="P135" s="473"/>
      <c r="Q135" s="473"/>
      <c r="R135" s="473"/>
      <c r="S135" s="473"/>
      <c r="T135" s="473"/>
      <c r="U135" s="473"/>
      <c r="V135" s="473"/>
      <c r="W135" s="473"/>
      <c r="X135" s="473"/>
      <c r="Y135" s="473"/>
      <c r="Z135" s="473"/>
      <c r="AA135" s="473"/>
      <c r="AB135" s="473"/>
      <c r="AC135" s="473"/>
      <c r="AD135" s="473"/>
      <c r="AE135" s="474"/>
    </row>
    <row r="136" spans="1:31" ht="14.25" customHeight="1">
      <c r="A136" s="567"/>
      <c r="B136" s="473"/>
      <c r="C136" s="473"/>
      <c r="D136" s="473"/>
      <c r="E136" s="473"/>
      <c r="F136" s="473"/>
      <c r="G136" s="473"/>
      <c r="H136" s="473"/>
      <c r="I136" s="473"/>
      <c r="J136" s="473"/>
      <c r="K136" s="568"/>
      <c r="L136" s="472"/>
      <c r="M136" s="473"/>
      <c r="N136" s="473"/>
      <c r="O136" s="473"/>
      <c r="P136" s="473"/>
      <c r="Q136" s="473"/>
      <c r="R136" s="473"/>
      <c r="S136" s="473"/>
      <c r="T136" s="473"/>
      <c r="U136" s="473"/>
      <c r="V136" s="473"/>
      <c r="W136" s="473"/>
      <c r="X136" s="473"/>
      <c r="Y136" s="473"/>
      <c r="Z136" s="473"/>
      <c r="AA136" s="473"/>
      <c r="AB136" s="473"/>
      <c r="AC136" s="473"/>
      <c r="AD136" s="473"/>
      <c r="AE136" s="474"/>
    </row>
    <row r="137" spans="1:31" ht="14.25" customHeight="1">
      <c r="A137" s="567"/>
      <c r="B137" s="473"/>
      <c r="C137" s="473"/>
      <c r="D137" s="473"/>
      <c r="E137" s="473"/>
      <c r="F137" s="473"/>
      <c r="G137" s="473"/>
      <c r="H137" s="473"/>
      <c r="I137" s="473"/>
      <c r="J137" s="473"/>
      <c r="K137" s="568"/>
      <c r="L137" s="472"/>
      <c r="M137" s="473"/>
      <c r="N137" s="473"/>
      <c r="O137" s="473"/>
      <c r="P137" s="473"/>
      <c r="Q137" s="473"/>
      <c r="R137" s="473"/>
      <c r="S137" s="473"/>
      <c r="T137" s="473"/>
      <c r="U137" s="473"/>
      <c r="V137" s="473"/>
      <c r="W137" s="473"/>
      <c r="X137" s="473"/>
      <c r="Y137" s="473"/>
      <c r="Z137" s="473"/>
      <c r="AA137" s="473"/>
      <c r="AB137" s="473"/>
      <c r="AC137" s="473"/>
      <c r="AD137" s="473"/>
      <c r="AE137" s="474"/>
    </row>
    <row r="138" spans="1:31" ht="14.25" customHeight="1">
      <c r="A138" s="567"/>
      <c r="B138" s="473"/>
      <c r="C138" s="473"/>
      <c r="D138" s="473"/>
      <c r="E138" s="473"/>
      <c r="F138" s="473"/>
      <c r="G138" s="473"/>
      <c r="H138" s="473"/>
      <c r="I138" s="473"/>
      <c r="J138" s="473"/>
      <c r="K138" s="568"/>
      <c r="L138" s="472"/>
      <c r="M138" s="473"/>
      <c r="N138" s="473"/>
      <c r="O138" s="473"/>
      <c r="P138" s="473"/>
      <c r="Q138" s="473"/>
      <c r="R138" s="473"/>
      <c r="S138" s="473"/>
      <c r="T138" s="473"/>
      <c r="U138" s="473"/>
      <c r="V138" s="473"/>
      <c r="W138" s="473"/>
      <c r="X138" s="473"/>
      <c r="Y138" s="473"/>
      <c r="Z138" s="473"/>
      <c r="AA138" s="473"/>
      <c r="AB138" s="473"/>
      <c r="AC138" s="473"/>
      <c r="AD138" s="473"/>
      <c r="AE138" s="474"/>
    </row>
    <row r="139" spans="1:31" ht="14.25" customHeight="1">
      <c r="A139" s="567"/>
      <c r="B139" s="473"/>
      <c r="C139" s="473"/>
      <c r="D139" s="473"/>
      <c r="E139" s="473"/>
      <c r="F139" s="473"/>
      <c r="G139" s="473"/>
      <c r="H139" s="473"/>
      <c r="I139" s="473"/>
      <c r="J139" s="473"/>
      <c r="K139" s="568"/>
      <c r="L139" s="472"/>
      <c r="M139" s="473"/>
      <c r="N139" s="473"/>
      <c r="O139" s="473"/>
      <c r="P139" s="473"/>
      <c r="Q139" s="473"/>
      <c r="R139" s="473"/>
      <c r="S139" s="473"/>
      <c r="T139" s="473"/>
      <c r="U139" s="473"/>
      <c r="V139" s="473"/>
      <c r="W139" s="473"/>
      <c r="X139" s="473"/>
      <c r="Y139" s="473"/>
      <c r="Z139" s="473"/>
      <c r="AA139" s="473"/>
      <c r="AB139" s="473"/>
      <c r="AC139" s="473"/>
      <c r="AD139" s="473"/>
      <c r="AE139" s="474"/>
    </row>
    <row r="140" spans="1:31" ht="14.25" customHeight="1">
      <c r="A140" s="567"/>
      <c r="B140" s="473"/>
      <c r="C140" s="473"/>
      <c r="D140" s="473"/>
      <c r="E140" s="473"/>
      <c r="F140" s="473"/>
      <c r="G140" s="473"/>
      <c r="H140" s="473"/>
      <c r="I140" s="473"/>
      <c r="J140" s="473"/>
      <c r="K140" s="568"/>
      <c r="L140" s="472"/>
      <c r="M140" s="473"/>
      <c r="N140" s="473"/>
      <c r="O140" s="473"/>
      <c r="P140" s="473"/>
      <c r="Q140" s="473"/>
      <c r="R140" s="473"/>
      <c r="S140" s="473"/>
      <c r="T140" s="473"/>
      <c r="U140" s="473"/>
      <c r="V140" s="473"/>
      <c r="W140" s="473"/>
      <c r="X140" s="473"/>
      <c r="Y140" s="473"/>
      <c r="Z140" s="473"/>
      <c r="AA140" s="473"/>
      <c r="AB140" s="473"/>
      <c r="AC140" s="473"/>
      <c r="AD140" s="473"/>
      <c r="AE140" s="474"/>
    </row>
    <row r="141" spans="1:31" ht="14.25" customHeight="1">
      <c r="A141" s="567"/>
      <c r="B141" s="473"/>
      <c r="C141" s="473"/>
      <c r="D141" s="473"/>
      <c r="E141" s="473"/>
      <c r="F141" s="473"/>
      <c r="G141" s="473"/>
      <c r="H141" s="473"/>
      <c r="I141" s="473"/>
      <c r="J141" s="473"/>
      <c r="K141" s="568"/>
      <c r="L141" s="472"/>
      <c r="M141" s="473"/>
      <c r="N141" s="473"/>
      <c r="O141" s="473"/>
      <c r="P141" s="473"/>
      <c r="Q141" s="473"/>
      <c r="R141" s="473"/>
      <c r="S141" s="473"/>
      <c r="T141" s="473"/>
      <c r="U141" s="473"/>
      <c r="V141" s="473"/>
      <c r="W141" s="473"/>
      <c r="X141" s="473"/>
      <c r="Y141" s="473"/>
      <c r="Z141" s="473"/>
      <c r="AA141" s="473"/>
      <c r="AB141" s="473"/>
      <c r="AC141" s="473"/>
      <c r="AD141" s="473"/>
      <c r="AE141" s="474"/>
    </row>
    <row r="142" spans="1:31" ht="14.25" customHeight="1">
      <c r="A142" s="567"/>
      <c r="B142" s="473"/>
      <c r="C142" s="473"/>
      <c r="D142" s="473"/>
      <c r="E142" s="473"/>
      <c r="F142" s="473"/>
      <c r="G142" s="473"/>
      <c r="H142" s="473"/>
      <c r="I142" s="473"/>
      <c r="J142" s="473"/>
      <c r="K142" s="568"/>
      <c r="L142" s="472"/>
      <c r="M142" s="473"/>
      <c r="N142" s="473"/>
      <c r="O142" s="473"/>
      <c r="P142" s="473"/>
      <c r="Q142" s="473"/>
      <c r="R142" s="473"/>
      <c r="S142" s="473"/>
      <c r="T142" s="473"/>
      <c r="U142" s="473"/>
      <c r="V142" s="473"/>
      <c r="W142" s="473"/>
      <c r="X142" s="473"/>
      <c r="Y142" s="473"/>
      <c r="Z142" s="473"/>
      <c r="AA142" s="473"/>
      <c r="AB142" s="473"/>
      <c r="AC142" s="473"/>
      <c r="AD142" s="473"/>
      <c r="AE142" s="474"/>
    </row>
    <row r="143" spans="1:31" ht="14.25" customHeight="1">
      <c r="A143" s="567"/>
      <c r="B143" s="473"/>
      <c r="C143" s="473"/>
      <c r="D143" s="473"/>
      <c r="E143" s="473"/>
      <c r="F143" s="473"/>
      <c r="G143" s="473"/>
      <c r="H143" s="473"/>
      <c r="I143" s="473"/>
      <c r="J143" s="473"/>
      <c r="K143" s="568"/>
      <c r="L143" s="472"/>
      <c r="M143" s="473"/>
      <c r="N143" s="473"/>
      <c r="O143" s="473"/>
      <c r="P143" s="473"/>
      <c r="Q143" s="473"/>
      <c r="R143" s="473"/>
      <c r="S143" s="473"/>
      <c r="T143" s="473"/>
      <c r="U143" s="473"/>
      <c r="V143" s="473"/>
      <c r="W143" s="473"/>
      <c r="X143" s="473"/>
      <c r="Y143" s="473"/>
      <c r="Z143" s="473"/>
      <c r="AA143" s="473"/>
      <c r="AB143" s="473"/>
      <c r="AC143" s="473"/>
      <c r="AD143" s="473"/>
      <c r="AE143" s="474"/>
    </row>
    <row r="144" spans="1:31" ht="14.25" customHeight="1">
      <c r="A144" s="567"/>
      <c r="B144" s="473"/>
      <c r="C144" s="473"/>
      <c r="D144" s="473"/>
      <c r="E144" s="473"/>
      <c r="F144" s="473"/>
      <c r="G144" s="473"/>
      <c r="H144" s="473"/>
      <c r="I144" s="473"/>
      <c r="J144" s="473"/>
      <c r="K144" s="568"/>
      <c r="L144" s="472"/>
      <c r="M144" s="473"/>
      <c r="N144" s="473"/>
      <c r="O144" s="473"/>
      <c r="P144" s="473"/>
      <c r="Q144" s="473"/>
      <c r="R144" s="473"/>
      <c r="S144" s="473"/>
      <c r="T144" s="473"/>
      <c r="U144" s="473"/>
      <c r="V144" s="473"/>
      <c r="W144" s="473"/>
      <c r="X144" s="473"/>
      <c r="Y144" s="473"/>
      <c r="Z144" s="473"/>
      <c r="AA144" s="473"/>
      <c r="AB144" s="473"/>
      <c r="AC144" s="473"/>
      <c r="AD144" s="473"/>
      <c r="AE144" s="474"/>
    </row>
    <row r="145" spans="1:31" ht="14.25" customHeight="1">
      <c r="A145" s="567"/>
      <c r="B145" s="473"/>
      <c r="C145" s="473"/>
      <c r="D145" s="473"/>
      <c r="E145" s="473"/>
      <c r="F145" s="473"/>
      <c r="G145" s="473"/>
      <c r="H145" s="473"/>
      <c r="I145" s="473"/>
      <c r="J145" s="473"/>
      <c r="K145" s="568"/>
      <c r="L145" s="472"/>
      <c r="M145" s="473"/>
      <c r="N145" s="473"/>
      <c r="O145" s="473"/>
      <c r="P145" s="473"/>
      <c r="Q145" s="473"/>
      <c r="R145" s="473"/>
      <c r="S145" s="473"/>
      <c r="T145" s="473"/>
      <c r="U145" s="473"/>
      <c r="V145" s="473"/>
      <c r="W145" s="473"/>
      <c r="X145" s="473"/>
      <c r="Y145" s="473"/>
      <c r="Z145" s="473"/>
      <c r="AA145" s="473"/>
      <c r="AB145" s="473"/>
      <c r="AC145" s="473"/>
      <c r="AD145" s="473"/>
      <c r="AE145" s="474"/>
    </row>
    <row r="146" spans="1:31" ht="14.25" customHeight="1">
      <c r="A146" s="567"/>
      <c r="B146" s="473"/>
      <c r="C146" s="473"/>
      <c r="D146" s="473"/>
      <c r="E146" s="473"/>
      <c r="F146" s="473"/>
      <c r="G146" s="473"/>
      <c r="H146" s="473"/>
      <c r="I146" s="473"/>
      <c r="J146" s="473"/>
      <c r="K146" s="568"/>
      <c r="L146" s="472"/>
      <c r="M146" s="473"/>
      <c r="N146" s="473"/>
      <c r="O146" s="473"/>
      <c r="P146" s="473"/>
      <c r="Q146" s="473"/>
      <c r="R146" s="473"/>
      <c r="S146" s="473"/>
      <c r="T146" s="473"/>
      <c r="U146" s="473"/>
      <c r="V146" s="473"/>
      <c r="W146" s="473"/>
      <c r="X146" s="473"/>
      <c r="Y146" s="473"/>
      <c r="Z146" s="473"/>
      <c r="AA146" s="473"/>
      <c r="AB146" s="473"/>
      <c r="AC146" s="473"/>
      <c r="AD146" s="473"/>
      <c r="AE146" s="474"/>
    </row>
    <row r="147" spans="1:31" ht="14.25" customHeight="1">
      <c r="A147" s="567"/>
      <c r="B147" s="473"/>
      <c r="C147" s="473"/>
      <c r="D147" s="473"/>
      <c r="E147" s="473"/>
      <c r="F147" s="473"/>
      <c r="G147" s="473"/>
      <c r="H147" s="473"/>
      <c r="I147" s="473"/>
      <c r="J147" s="473"/>
      <c r="K147" s="568"/>
      <c r="L147" s="472"/>
      <c r="M147" s="473"/>
      <c r="N147" s="473"/>
      <c r="O147" s="473"/>
      <c r="P147" s="473"/>
      <c r="Q147" s="473"/>
      <c r="R147" s="473"/>
      <c r="S147" s="473"/>
      <c r="T147" s="473"/>
      <c r="U147" s="473"/>
      <c r="V147" s="473"/>
      <c r="W147" s="473"/>
      <c r="X147" s="473"/>
      <c r="Y147" s="473"/>
      <c r="Z147" s="473"/>
      <c r="AA147" s="473"/>
      <c r="AB147" s="473"/>
      <c r="AC147" s="473"/>
      <c r="AD147" s="473"/>
      <c r="AE147" s="474"/>
    </row>
    <row r="148" spans="1:31" ht="14.25" customHeight="1">
      <c r="A148" s="567"/>
      <c r="B148" s="473"/>
      <c r="C148" s="473"/>
      <c r="D148" s="473"/>
      <c r="E148" s="473"/>
      <c r="F148" s="473"/>
      <c r="G148" s="473"/>
      <c r="H148" s="473"/>
      <c r="I148" s="473"/>
      <c r="J148" s="473"/>
      <c r="K148" s="568"/>
      <c r="L148" s="472"/>
      <c r="M148" s="473"/>
      <c r="N148" s="473"/>
      <c r="O148" s="473"/>
      <c r="P148" s="473"/>
      <c r="Q148" s="473"/>
      <c r="R148" s="473"/>
      <c r="S148" s="473"/>
      <c r="T148" s="473"/>
      <c r="U148" s="473"/>
      <c r="V148" s="473"/>
      <c r="W148" s="473"/>
      <c r="X148" s="473"/>
      <c r="Y148" s="473"/>
      <c r="Z148" s="473"/>
      <c r="AA148" s="473"/>
      <c r="AB148" s="473"/>
      <c r="AC148" s="473"/>
      <c r="AD148" s="473"/>
      <c r="AE148" s="474"/>
    </row>
    <row r="149" spans="1:31" ht="14.25" customHeight="1">
      <c r="A149" s="567"/>
      <c r="B149" s="473"/>
      <c r="C149" s="473"/>
      <c r="D149" s="473"/>
      <c r="E149" s="473"/>
      <c r="F149" s="473"/>
      <c r="G149" s="473"/>
      <c r="H149" s="473"/>
      <c r="I149" s="473"/>
      <c r="J149" s="473"/>
      <c r="K149" s="568"/>
      <c r="L149" s="472"/>
      <c r="M149" s="473"/>
      <c r="N149" s="473"/>
      <c r="O149" s="473"/>
      <c r="P149" s="473"/>
      <c r="Q149" s="473"/>
      <c r="R149" s="473"/>
      <c r="S149" s="473"/>
      <c r="T149" s="473"/>
      <c r="U149" s="473"/>
      <c r="V149" s="473"/>
      <c r="W149" s="473"/>
      <c r="X149" s="473"/>
      <c r="Y149" s="473"/>
      <c r="Z149" s="473"/>
      <c r="AA149" s="473"/>
      <c r="AB149" s="473"/>
      <c r="AC149" s="473"/>
      <c r="AD149" s="473"/>
      <c r="AE149" s="474"/>
    </row>
    <row r="150" spans="1:31" ht="14.25" customHeight="1">
      <c r="A150" s="567"/>
      <c r="B150" s="473"/>
      <c r="C150" s="473"/>
      <c r="D150" s="473"/>
      <c r="E150" s="473"/>
      <c r="F150" s="473"/>
      <c r="G150" s="473"/>
      <c r="H150" s="473"/>
      <c r="I150" s="473"/>
      <c r="J150" s="473"/>
      <c r="K150" s="568"/>
      <c r="L150" s="472"/>
      <c r="M150" s="473"/>
      <c r="N150" s="473"/>
      <c r="O150" s="473"/>
      <c r="P150" s="473"/>
      <c r="Q150" s="473"/>
      <c r="R150" s="473"/>
      <c r="S150" s="473"/>
      <c r="T150" s="473"/>
      <c r="U150" s="473"/>
      <c r="V150" s="473"/>
      <c r="W150" s="473"/>
      <c r="X150" s="473"/>
      <c r="Y150" s="473"/>
      <c r="Z150" s="473"/>
      <c r="AA150" s="473"/>
      <c r="AB150" s="473"/>
      <c r="AC150" s="473"/>
      <c r="AD150" s="473"/>
      <c r="AE150" s="474"/>
    </row>
    <row r="151" spans="1:31" ht="14.25" customHeight="1">
      <c r="A151" s="567"/>
      <c r="B151" s="473"/>
      <c r="C151" s="473"/>
      <c r="D151" s="473"/>
      <c r="E151" s="473"/>
      <c r="F151" s="473"/>
      <c r="G151" s="473"/>
      <c r="H151" s="473"/>
      <c r="I151" s="473"/>
      <c r="J151" s="473"/>
      <c r="K151" s="568"/>
      <c r="L151" s="472"/>
      <c r="M151" s="473"/>
      <c r="N151" s="473"/>
      <c r="O151" s="473"/>
      <c r="P151" s="473"/>
      <c r="Q151" s="473"/>
      <c r="R151" s="473"/>
      <c r="S151" s="473"/>
      <c r="T151" s="473"/>
      <c r="U151" s="473"/>
      <c r="V151" s="473"/>
      <c r="W151" s="473"/>
      <c r="X151" s="473"/>
      <c r="Y151" s="473"/>
      <c r="Z151" s="473"/>
      <c r="AA151" s="473"/>
      <c r="AB151" s="473"/>
      <c r="AC151" s="473"/>
      <c r="AD151" s="473"/>
      <c r="AE151" s="474"/>
    </row>
    <row r="152" spans="1:31" ht="14.25" customHeight="1">
      <c r="A152" s="567"/>
      <c r="B152" s="473"/>
      <c r="C152" s="473"/>
      <c r="D152" s="473"/>
      <c r="E152" s="473"/>
      <c r="F152" s="473"/>
      <c r="G152" s="473"/>
      <c r="H152" s="473"/>
      <c r="I152" s="473"/>
      <c r="J152" s="473"/>
      <c r="K152" s="568"/>
      <c r="L152" s="472"/>
      <c r="M152" s="473"/>
      <c r="N152" s="473"/>
      <c r="O152" s="473"/>
      <c r="P152" s="473"/>
      <c r="Q152" s="473"/>
      <c r="R152" s="473"/>
      <c r="S152" s="473"/>
      <c r="T152" s="473"/>
      <c r="U152" s="473"/>
      <c r="V152" s="473"/>
      <c r="W152" s="473"/>
      <c r="X152" s="473"/>
      <c r="Y152" s="473"/>
      <c r="Z152" s="473"/>
      <c r="AA152" s="473"/>
      <c r="AB152" s="473"/>
      <c r="AC152" s="473"/>
      <c r="AD152" s="473"/>
      <c r="AE152" s="474"/>
    </row>
    <row r="153" spans="1:31" ht="14.25" customHeight="1">
      <c r="A153" s="567"/>
      <c r="B153" s="473"/>
      <c r="C153" s="473"/>
      <c r="D153" s="473"/>
      <c r="E153" s="473"/>
      <c r="F153" s="473"/>
      <c r="G153" s="473"/>
      <c r="H153" s="473"/>
      <c r="I153" s="473"/>
      <c r="J153" s="473"/>
      <c r="K153" s="568"/>
      <c r="L153" s="472"/>
      <c r="M153" s="473"/>
      <c r="N153" s="473"/>
      <c r="O153" s="473"/>
      <c r="P153" s="473"/>
      <c r="Q153" s="473"/>
      <c r="R153" s="473"/>
      <c r="S153" s="473"/>
      <c r="T153" s="473"/>
      <c r="U153" s="473"/>
      <c r="V153" s="473"/>
      <c r="W153" s="473"/>
      <c r="X153" s="473"/>
      <c r="Y153" s="473"/>
      <c r="Z153" s="473"/>
      <c r="AA153" s="473"/>
      <c r="AB153" s="473"/>
      <c r="AC153" s="473"/>
      <c r="AD153" s="473"/>
      <c r="AE153" s="474"/>
    </row>
    <row r="154" spans="1:31" ht="14.25" customHeight="1">
      <c r="A154" s="567"/>
      <c r="B154" s="473"/>
      <c r="C154" s="473"/>
      <c r="D154" s="473"/>
      <c r="E154" s="473"/>
      <c r="F154" s="473"/>
      <c r="G154" s="473"/>
      <c r="H154" s="473"/>
      <c r="I154" s="473"/>
      <c r="J154" s="473"/>
      <c r="K154" s="568"/>
      <c r="L154" s="472"/>
      <c r="M154" s="473"/>
      <c r="N154" s="473"/>
      <c r="O154" s="473"/>
      <c r="P154" s="473"/>
      <c r="Q154" s="473"/>
      <c r="R154" s="473"/>
      <c r="S154" s="473"/>
      <c r="T154" s="473"/>
      <c r="U154" s="473"/>
      <c r="V154" s="473"/>
      <c r="W154" s="473"/>
      <c r="X154" s="473"/>
      <c r="Y154" s="473"/>
      <c r="Z154" s="473"/>
      <c r="AA154" s="473"/>
      <c r="AB154" s="473"/>
      <c r="AC154" s="473"/>
      <c r="AD154" s="473"/>
      <c r="AE154" s="474"/>
    </row>
    <row r="155" spans="1:31" ht="14.25" customHeight="1">
      <c r="A155" s="567"/>
      <c r="B155" s="473"/>
      <c r="C155" s="473"/>
      <c r="D155" s="473"/>
      <c r="E155" s="473"/>
      <c r="F155" s="473"/>
      <c r="G155" s="473"/>
      <c r="H155" s="473"/>
      <c r="I155" s="473"/>
      <c r="J155" s="473"/>
      <c r="K155" s="568"/>
      <c r="L155" s="472"/>
      <c r="M155" s="473"/>
      <c r="N155" s="473"/>
      <c r="O155" s="473"/>
      <c r="P155" s="473"/>
      <c r="Q155" s="473"/>
      <c r="R155" s="473"/>
      <c r="S155" s="473"/>
      <c r="T155" s="473"/>
      <c r="U155" s="473"/>
      <c r="V155" s="473"/>
      <c r="W155" s="473"/>
      <c r="X155" s="473"/>
      <c r="Y155" s="473"/>
      <c r="Z155" s="473"/>
      <c r="AA155" s="473"/>
      <c r="AB155" s="473"/>
      <c r="AC155" s="473"/>
      <c r="AD155" s="473"/>
      <c r="AE155" s="474"/>
    </row>
    <row r="156" spans="1:31" ht="14.25" customHeight="1">
      <c r="A156" s="567"/>
      <c r="B156" s="473"/>
      <c r="C156" s="473"/>
      <c r="D156" s="473"/>
      <c r="E156" s="473"/>
      <c r="F156" s="473"/>
      <c r="G156" s="473"/>
      <c r="H156" s="473"/>
      <c r="I156" s="473"/>
      <c r="J156" s="473"/>
      <c r="K156" s="568"/>
      <c r="L156" s="472"/>
      <c r="M156" s="473"/>
      <c r="N156" s="473"/>
      <c r="O156" s="473"/>
      <c r="P156" s="473"/>
      <c r="Q156" s="473"/>
      <c r="R156" s="473"/>
      <c r="S156" s="473"/>
      <c r="T156" s="473"/>
      <c r="U156" s="473"/>
      <c r="V156" s="473"/>
      <c r="W156" s="473"/>
      <c r="X156" s="473"/>
      <c r="Y156" s="473"/>
      <c r="Z156" s="473"/>
      <c r="AA156" s="473"/>
      <c r="AB156" s="473"/>
      <c r="AC156" s="473"/>
      <c r="AD156" s="473"/>
      <c r="AE156" s="474"/>
    </row>
    <row r="157" spans="1:31" ht="14.25" customHeight="1">
      <c r="A157" s="567"/>
      <c r="B157" s="473"/>
      <c r="C157" s="473"/>
      <c r="D157" s="473"/>
      <c r="E157" s="473"/>
      <c r="F157" s="473"/>
      <c r="G157" s="473"/>
      <c r="H157" s="473"/>
      <c r="I157" s="473"/>
      <c r="J157" s="473"/>
      <c r="K157" s="568"/>
      <c r="L157" s="472"/>
      <c r="M157" s="473"/>
      <c r="N157" s="473"/>
      <c r="O157" s="473"/>
      <c r="P157" s="473"/>
      <c r="Q157" s="473"/>
      <c r="R157" s="473"/>
      <c r="S157" s="473"/>
      <c r="T157" s="473"/>
      <c r="U157" s="473"/>
      <c r="V157" s="473"/>
      <c r="W157" s="473"/>
      <c r="X157" s="473"/>
      <c r="Y157" s="473"/>
      <c r="Z157" s="473"/>
      <c r="AA157" s="473"/>
      <c r="AB157" s="473"/>
      <c r="AC157" s="473"/>
      <c r="AD157" s="473"/>
      <c r="AE157" s="474"/>
    </row>
    <row r="158" spans="1:31" ht="14.25" customHeight="1">
      <c r="A158" s="567"/>
      <c r="B158" s="473"/>
      <c r="C158" s="473"/>
      <c r="D158" s="473"/>
      <c r="E158" s="473"/>
      <c r="F158" s="473"/>
      <c r="G158" s="473"/>
      <c r="H158" s="473"/>
      <c r="I158" s="473"/>
      <c r="J158" s="473"/>
      <c r="K158" s="568"/>
      <c r="L158" s="472"/>
      <c r="M158" s="473"/>
      <c r="N158" s="473"/>
      <c r="O158" s="473"/>
      <c r="P158" s="473"/>
      <c r="Q158" s="473"/>
      <c r="R158" s="473"/>
      <c r="S158" s="473"/>
      <c r="T158" s="473"/>
      <c r="U158" s="473"/>
      <c r="V158" s="473"/>
      <c r="W158" s="473"/>
      <c r="X158" s="473"/>
      <c r="Y158" s="473"/>
      <c r="Z158" s="473"/>
      <c r="AA158" s="473"/>
      <c r="AB158" s="473"/>
      <c r="AC158" s="473"/>
      <c r="AD158" s="473"/>
      <c r="AE158" s="474"/>
    </row>
    <row r="159" spans="1:31" ht="14.25" customHeight="1">
      <c r="A159" s="567"/>
      <c r="B159" s="473"/>
      <c r="C159" s="473"/>
      <c r="D159" s="473"/>
      <c r="E159" s="473"/>
      <c r="F159" s="473"/>
      <c r="G159" s="473"/>
      <c r="H159" s="473"/>
      <c r="I159" s="473"/>
      <c r="J159" s="473"/>
      <c r="K159" s="568"/>
      <c r="L159" s="472"/>
      <c r="M159" s="473"/>
      <c r="N159" s="473"/>
      <c r="O159" s="473"/>
      <c r="P159" s="473"/>
      <c r="Q159" s="473"/>
      <c r="R159" s="473"/>
      <c r="S159" s="473"/>
      <c r="T159" s="473"/>
      <c r="U159" s="473"/>
      <c r="V159" s="473"/>
      <c r="W159" s="473"/>
      <c r="X159" s="473"/>
      <c r="Y159" s="473"/>
      <c r="Z159" s="473"/>
      <c r="AA159" s="473"/>
      <c r="AB159" s="473"/>
      <c r="AC159" s="473"/>
      <c r="AD159" s="473"/>
      <c r="AE159" s="474"/>
    </row>
    <row r="160" spans="1:31" ht="14.25" customHeight="1">
      <c r="A160" s="567"/>
      <c r="B160" s="473"/>
      <c r="C160" s="473"/>
      <c r="D160" s="473"/>
      <c r="E160" s="473"/>
      <c r="F160" s="473"/>
      <c r="G160" s="473"/>
      <c r="H160" s="473"/>
      <c r="I160" s="473"/>
      <c r="J160" s="473"/>
      <c r="K160" s="568"/>
      <c r="L160" s="472"/>
      <c r="M160" s="473"/>
      <c r="N160" s="473"/>
      <c r="O160" s="473"/>
      <c r="P160" s="473"/>
      <c r="Q160" s="473"/>
      <c r="R160" s="473"/>
      <c r="S160" s="473"/>
      <c r="T160" s="473"/>
      <c r="U160" s="473"/>
      <c r="V160" s="473"/>
      <c r="W160" s="473"/>
      <c r="X160" s="473"/>
      <c r="Y160" s="473"/>
      <c r="Z160" s="473"/>
      <c r="AA160" s="473"/>
      <c r="AB160" s="473"/>
      <c r="AC160" s="473"/>
      <c r="AD160" s="473"/>
      <c r="AE160" s="474"/>
    </row>
    <row r="161" spans="1:31" ht="14.25" customHeight="1">
      <c r="A161" s="567"/>
      <c r="B161" s="473"/>
      <c r="C161" s="473"/>
      <c r="D161" s="473"/>
      <c r="E161" s="473"/>
      <c r="F161" s="473"/>
      <c r="G161" s="473"/>
      <c r="H161" s="473"/>
      <c r="I161" s="473"/>
      <c r="J161" s="473"/>
      <c r="K161" s="568"/>
      <c r="L161" s="472"/>
      <c r="M161" s="473"/>
      <c r="N161" s="473"/>
      <c r="O161" s="473"/>
      <c r="P161" s="473"/>
      <c r="Q161" s="473"/>
      <c r="R161" s="473"/>
      <c r="S161" s="473"/>
      <c r="T161" s="473"/>
      <c r="U161" s="473"/>
      <c r="V161" s="473"/>
      <c r="W161" s="473"/>
      <c r="X161" s="473"/>
      <c r="Y161" s="473"/>
      <c r="Z161" s="473"/>
      <c r="AA161" s="473"/>
      <c r="AB161" s="473"/>
      <c r="AC161" s="473"/>
      <c r="AD161" s="473"/>
      <c r="AE161" s="474"/>
    </row>
    <row r="162" spans="1:31" ht="14.25" customHeight="1">
      <c r="A162" s="567"/>
      <c r="B162" s="473"/>
      <c r="C162" s="473"/>
      <c r="D162" s="473"/>
      <c r="E162" s="473"/>
      <c r="F162" s="473"/>
      <c r="G162" s="473"/>
      <c r="H162" s="473"/>
      <c r="I162" s="473"/>
      <c r="J162" s="473"/>
      <c r="K162" s="568"/>
      <c r="L162" s="472"/>
      <c r="M162" s="473"/>
      <c r="N162" s="473"/>
      <c r="O162" s="473"/>
      <c r="P162" s="473"/>
      <c r="Q162" s="473"/>
      <c r="R162" s="473"/>
      <c r="S162" s="473"/>
      <c r="T162" s="473"/>
      <c r="U162" s="473"/>
      <c r="V162" s="473"/>
      <c r="W162" s="473"/>
      <c r="X162" s="473"/>
      <c r="Y162" s="473"/>
      <c r="Z162" s="473"/>
      <c r="AA162" s="473"/>
      <c r="AB162" s="473"/>
      <c r="AC162" s="473"/>
      <c r="AD162" s="473"/>
      <c r="AE162" s="474"/>
    </row>
    <row r="163" spans="1:31" ht="14.25" customHeight="1">
      <c r="A163" s="567"/>
      <c r="B163" s="473"/>
      <c r="C163" s="473"/>
      <c r="D163" s="473"/>
      <c r="E163" s="473"/>
      <c r="F163" s="473"/>
      <c r="G163" s="473"/>
      <c r="H163" s="473"/>
      <c r="I163" s="473"/>
      <c r="J163" s="473"/>
      <c r="K163" s="568"/>
      <c r="L163" s="472"/>
      <c r="M163" s="473"/>
      <c r="N163" s="473"/>
      <c r="O163" s="473"/>
      <c r="P163" s="473"/>
      <c r="Q163" s="473"/>
      <c r="R163" s="473"/>
      <c r="S163" s="473"/>
      <c r="T163" s="473"/>
      <c r="U163" s="473"/>
      <c r="V163" s="473"/>
      <c r="W163" s="473"/>
      <c r="X163" s="473"/>
      <c r="Y163" s="473"/>
      <c r="Z163" s="473"/>
      <c r="AA163" s="473"/>
      <c r="AB163" s="473"/>
      <c r="AC163" s="473"/>
      <c r="AD163" s="473"/>
      <c r="AE163" s="474"/>
    </row>
    <row r="164" spans="1:31" ht="14.25" customHeight="1">
      <c r="A164" s="567"/>
      <c r="B164" s="473"/>
      <c r="C164" s="473"/>
      <c r="D164" s="473"/>
      <c r="E164" s="473"/>
      <c r="F164" s="473"/>
      <c r="G164" s="473"/>
      <c r="H164" s="473"/>
      <c r="I164" s="473"/>
      <c r="J164" s="473"/>
      <c r="K164" s="568"/>
      <c r="L164" s="472"/>
      <c r="M164" s="473"/>
      <c r="N164" s="473"/>
      <c r="O164" s="473"/>
      <c r="P164" s="473"/>
      <c r="Q164" s="473"/>
      <c r="R164" s="473"/>
      <c r="S164" s="473"/>
      <c r="T164" s="473"/>
      <c r="U164" s="473"/>
      <c r="V164" s="473"/>
      <c r="W164" s="473"/>
      <c r="X164" s="473"/>
      <c r="Y164" s="473"/>
      <c r="Z164" s="473"/>
      <c r="AA164" s="473"/>
      <c r="AB164" s="473"/>
      <c r="AC164" s="473"/>
      <c r="AD164" s="473"/>
      <c r="AE164" s="474"/>
    </row>
    <row r="165" spans="1:31" ht="14.25" customHeight="1">
      <c r="A165" s="567"/>
      <c r="B165" s="473"/>
      <c r="C165" s="473"/>
      <c r="D165" s="473"/>
      <c r="E165" s="473"/>
      <c r="F165" s="473"/>
      <c r="G165" s="473"/>
      <c r="H165" s="473"/>
      <c r="I165" s="473"/>
      <c r="J165" s="473"/>
      <c r="K165" s="568"/>
      <c r="L165" s="472"/>
      <c r="M165" s="473"/>
      <c r="N165" s="473"/>
      <c r="O165" s="473"/>
      <c r="P165" s="473"/>
      <c r="Q165" s="473"/>
      <c r="R165" s="473"/>
      <c r="S165" s="473"/>
      <c r="T165" s="473"/>
      <c r="U165" s="473"/>
      <c r="V165" s="473"/>
      <c r="W165" s="473"/>
      <c r="X165" s="473"/>
      <c r="Y165" s="473"/>
      <c r="Z165" s="473"/>
      <c r="AA165" s="473"/>
      <c r="AB165" s="473"/>
      <c r="AC165" s="473"/>
      <c r="AD165" s="473"/>
      <c r="AE165" s="474"/>
    </row>
    <row r="166" spans="1:31" ht="14.25" customHeight="1">
      <c r="A166" s="567"/>
      <c r="B166" s="473"/>
      <c r="C166" s="473"/>
      <c r="D166" s="473"/>
      <c r="E166" s="473"/>
      <c r="F166" s="473"/>
      <c r="G166" s="473"/>
      <c r="H166" s="473"/>
      <c r="I166" s="473"/>
      <c r="J166" s="473"/>
      <c r="K166" s="568"/>
      <c r="L166" s="472"/>
      <c r="M166" s="473"/>
      <c r="N166" s="473"/>
      <c r="O166" s="473"/>
      <c r="P166" s="473"/>
      <c r="Q166" s="473"/>
      <c r="R166" s="473"/>
      <c r="S166" s="473"/>
      <c r="T166" s="473"/>
      <c r="U166" s="473"/>
      <c r="V166" s="473"/>
      <c r="W166" s="473"/>
      <c r="X166" s="473"/>
      <c r="Y166" s="473"/>
      <c r="Z166" s="473"/>
      <c r="AA166" s="473"/>
      <c r="AB166" s="473"/>
      <c r="AC166" s="473"/>
      <c r="AD166" s="473"/>
      <c r="AE166" s="474"/>
    </row>
    <row r="167" spans="1:31" ht="14.25" customHeight="1">
      <c r="A167" s="567"/>
      <c r="B167" s="473"/>
      <c r="C167" s="473"/>
      <c r="D167" s="473"/>
      <c r="E167" s="473"/>
      <c r="F167" s="473"/>
      <c r="G167" s="473"/>
      <c r="H167" s="473"/>
      <c r="I167" s="473"/>
      <c r="J167" s="473"/>
      <c r="K167" s="568"/>
      <c r="L167" s="472"/>
      <c r="M167" s="473"/>
      <c r="N167" s="473"/>
      <c r="O167" s="473"/>
      <c r="P167" s="473"/>
      <c r="Q167" s="473"/>
      <c r="R167" s="473"/>
      <c r="S167" s="473"/>
      <c r="T167" s="473"/>
      <c r="U167" s="473"/>
      <c r="V167" s="473"/>
      <c r="W167" s="473"/>
      <c r="X167" s="473"/>
      <c r="Y167" s="473"/>
      <c r="Z167" s="473"/>
      <c r="AA167" s="473"/>
      <c r="AB167" s="473"/>
      <c r="AC167" s="473"/>
      <c r="AD167" s="473"/>
      <c r="AE167" s="474"/>
    </row>
    <row r="168" spans="1:31" ht="14.25" customHeight="1">
      <c r="A168" s="567"/>
      <c r="B168" s="473"/>
      <c r="C168" s="473"/>
      <c r="D168" s="473"/>
      <c r="E168" s="473"/>
      <c r="F168" s="473"/>
      <c r="G168" s="473"/>
      <c r="H168" s="473"/>
      <c r="I168" s="473"/>
      <c r="J168" s="473"/>
      <c r="K168" s="568"/>
      <c r="L168" s="472"/>
      <c r="M168" s="473"/>
      <c r="N168" s="473"/>
      <c r="O168" s="473"/>
      <c r="P168" s="473"/>
      <c r="Q168" s="473"/>
      <c r="R168" s="473"/>
      <c r="S168" s="473"/>
      <c r="T168" s="473"/>
      <c r="U168" s="473"/>
      <c r="V168" s="473"/>
      <c r="W168" s="473"/>
      <c r="X168" s="473"/>
      <c r="Y168" s="473"/>
      <c r="Z168" s="473"/>
      <c r="AA168" s="473"/>
      <c r="AB168" s="473"/>
      <c r="AC168" s="473"/>
      <c r="AD168" s="473"/>
      <c r="AE168" s="474"/>
    </row>
    <row r="169" spans="1:31" ht="14.25" customHeight="1">
      <c r="A169" s="567"/>
      <c r="B169" s="473"/>
      <c r="C169" s="473"/>
      <c r="D169" s="473"/>
      <c r="E169" s="473"/>
      <c r="F169" s="473"/>
      <c r="G169" s="473"/>
      <c r="H169" s="473"/>
      <c r="I169" s="473"/>
      <c r="J169" s="473"/>
      <c r="K169" s="568"/>
      <c r="L169" s="472"/>
      <c r="M169" s="473"/>
      <c r="N169" s="473"/>
      <c r="O169" s="473"/>
      <c r="P169" s="473"/>
      <c r="Q169" s="473"/>
      <c r="R169" s="473"/>
      <c r="S169" s="473"/>
      <c r="T169" s="473"/>
      <c r="U169" s="473"/>
      <c r="V169" s="473"/>
      <c r="W169" s="473"/>
      <c r="X169" s="473"/>
      <c r="Y169" s="473"/>
      <c r="Z169" s="473"/>
      <c r="AA169" s="473"/>
      <c r="AB169" s="473"/>
      <c r="AC169" s="473"/>
      <c r="AD169" s="473"/>
      <c r="AE169" s="474"/>
    </row>
    <row r="170" spans="1:31" ht="14.25" customHeight="1">
      <c r="A170" s="567"/>
      <c r="B170" s="473"/>
      <c r="C170" s="473"/>
      <c r="D170" s="473"/>
      <c r="E170" s="473"/>
      <c r="F170" s="473"/>
      <c r="G170" s="473"/>
      <c r="H170" s="473"/>
      <c r="I170" s="473"/>
      <c r="J170" s="473"/>
      <c r="K170" s="568"/>
      <c r="L170" s="472"/>
      <c r="M170" s="473"/>
      <c r="N170" s="473"/>
      <c r="O170" s="473"/>
      <c r="P170" s="473"/>
      <c r="Q170" s="473"/>
      <c r="R170" s="473"/>
      <c r="S170" s="473"/>
      <c r="T170" s="473"/>
      <c r="U170" s="473"/>
      <c r="V170" s="473"/>
      <c r="W170" s="473"/>
      <c r="X170" s="473"/>
      <c r="Y170" s="473"/>
      <c r="Z170" s="473"/>
      <c r="AA170" s="473"/>
      <c r="AB170" s="473"/>
      <c r="AC170" s="473"/>
      <c r="AD170" s="473"/>
      <c r="AE170" s="474"/>
    </row>
    <row r="171" spans="1:31" ht="14.25" customHeight="1">
      <c r="A171" s="567"/>
      <c r="B171" s="473"/>
      <c r="C171" s="473"/>
      <c r="D171" s="473"/>
      <c r="E171" s="473"/>
      <c r="F171" s="473"/>
      <c r="G171" s="473"/>
      <c r="H171" s="473"/>
      <c r="I171" s="473"/>
      <c r="J171" s="473"/>
      <c r="K171" s="568"/>
      <c r="L171" s="472"/>
      <c r="M171" s="473"/>
      <c r="N171" s="473"/>
      <c r="O171" s="473"/>
      <c r="P171" s="473"/>
      <c r="Q171" s="473"/>
      <c r="R171" s="473"/>
      <c r="S171" s="473"/>
      <c r="T171" s="473"/>
      <c r="U171" s="473"/>
      <c r="V171" s="473"/>
      <c r="W171" s="473"/>
      <c r="X171" s="473"/>
      <c r="Y171" s="473"/>
      <c r="Z171" s="473"/>
      <c r="AA171" s="473"/>
      <c r="AB171" s="473"/>
      <c r="AC171" s="473"/>
      <c r="AD171" s="473"/>
      <c r="AE171" s="474"/>
    </row>
    <row r="172" spans="1:31" ht="14.25" customHeight="1">
      <c r="A172" s="567"/>
      <c r="B172" s="473"/>
      <c r="C172" s="473"/>
      <c r="D172" s="473"/>
      <c r="E172" s="473"/>
      <c r="F172" s="473"/>
      <c r="G172" s="473"/>
      <c r="H172" s="473"/>
      <c r="I172" s="473"/>
      <c r="J172" s="473"/>
      <c r="K172" s="568"/>
      <c r="L172" s="472"/>
      <c r="M172" s="473"/>
      <c r="N172" s="473"/>
      <c r="O172" s="473"/>
      <c r="P172" s="473"/>
      <c r="Q172" s="473"/>
      <c r="R172" s="473"/>
      <c r="S172" s="473"/>
      <c r="T172" s="473"/>
      <c r="U172" s="473"/>
      <c r="V172" s="473"/>
      <c r="W172" s="473"/>
      <c r="X172" s="473"/>
      <c r="Y172" s="473"/>
      <c r="Z172" s="473"/>
      <c r="AA172" s="473"/>
      <c r="AB172" s="473"/>
      <c r="AC172" s="473"/>
      <c r="AD172" s="473"/>
      <c r="AE172" s="474"/>
    </row>
    <row r="173" spans="1:31" ht="14.25" customHeight="1">
      <c r="A173" s="567"/>
      <c r="B173" s="473"/>
      <c r="C173" s="473"/>
      <c r="D173" s="473"/>
      <c r="E173" s="473"/>
      <c r="F173" s="473"/>
      <c r="G173" s="473"/>
      <c r="H173" s="473"/>
      <c r="I173" s="473"/>
      <c r="J173" s="473"/>
      <c r="K173" s="568"/>
      <c r="L173" s="472"/>
      <c r="M173" s="473"/>
      <c r="N173" s="473"/>
      <c r="O173" s="473"/>
      <c r="P173" s="473"/>
      <c r="Q173" s="473"/>
      <c r="R173" s="473"/>
      <c r="S173" s="473"/>
      <c r="T173" s="473"/>
      <c r="U173" s="473"/>
      <c r="V173" s="473"/>
      <c r="W173" s="473"/>
      <c r="X173" s="473"/>
      <c r="Y173" s="473"/>
      <c r="Z173" s="473"/>
      <c r="AA173" s="473"/>
      <c r="AB173" s="473"/>
      <c r="AC173" s="473"/>
      <c r="AD173" s="473"/>
      <c r="AE173" s="474"/>
    </row>
    <row r="174" spans="1:31" ht="14.25" customHeight="1">
      <c r="A174" s="567"/>
      <c r="B174" s="473"/>
      <c r="C174" s="473"/>
      <c r="D174" s="473"/>
      <c r="E174" s="473"/>
      <c r="F174" s="473"/>
      <c r="G174" s="473"/>
      <c r="H174" s="473"/>
      <c r="I174" s="473"/>
      <c r="J174" s="473"/>
      <c r="K174" s="568"/>
      <c r="L174" s="472"/>
      <c r="M174" s="473"/>
      <c r="N174" s="473"/>
      <c r="O174" s="473"/>
      <c r="P174" s="473"/>
      <c r="Q174" s="473"/>
      <c r="R174" s="473"/>
      <c r="S174" s="473"/>
      <c r="T174" s="473"/>
      <c r="U174" s="473"/>
      <c r="V174" s="473"/>
      <c r="W174" s="473"/>
      <c r="X174" s="473"/>
      <c r="Y174" s="473"/>
      <c r="Z174" s="473"/>
      <c r="AA174" s="473"/>
      <c r="AB174" s="473"/>
      <c r="AC174" s="473"/>
      <c r="AD174" s="473"/>
      <c r="AE174" s="474"/>
    </row>
    <row r="175" spans="1:31" ht="14.25" customHeight="1">
      <c r="A175" s="567"/>
      <c r="B175" s="473"/>
      <c r="C175" s="473"/>
      <c r="D175" s="473"/>
      <c r="E175" s="473"/>
      <c r="F175" s="473"/>
      <c r="G175" s="473"/>
      <c r="H175" s="473"/>
      <c r="I175" s="473"/>
      <c r="J175" s="473"/>
      <c r="K175" s="568"/>
      <c r="L175" s="472"/>
      <c r="M175" s="473"/>
      <c r="N175" s="473"/>
      <c r="O175" s="473"/>
      <c r="P175" s="473"/>
      <c r="Q175" s="473"/>
      <c r="R175" s="473"/>
      <c r="S175" s="473"/>
      <c r="T175" s="473"/>
      <c r="U175" s="473"/>
      <c r="V175" s="473"/>
      <c r="W175" s="473"/>
      <c r="X175" s="473"/>
      <c r="Y175" s="473"/>
      <c r="Z175" s="473"/>
      <c r="AA175" s="473"/>
      <c r="AB175" s="473"/>
      <c r="AC175" s="473"/>
      <c r="AD175" s="473"/>
      <c r="AE175" s="474"/>
    </row>
    <row r="176" spans="1:31" ht="14.25" customHeight="1">
      <c r="A176" s="567"/>
      <c r="B176" s="473"/>
      <c r="C176" s="473"/>
      <c r="D176" s="473"/>
      <c r="E176" s="473"/>
      <c r="F176" s="473"/>
      <c r="G176" s="473"/>
      <c r="H176" s="473"/>
      <c r="I176" s="473"/>
      <c r="J176" s="473"/>
      <c r="K176" s="568"/>
      <c r="L176" s="472"/>
      <c r="M176" s="473"/>
      <c r="N176" s="473"/>
      <c r="O176" s="473"/>
      <c r="P176" s="473"/>
      <c r="Q176" s="473"/>
      <c r="R176" s="473"/>
      <c r="S176" s="473"/>
      <c r="T176" s="473"/>
      <c r="U176" s="473"/>
      <c r="V176" s="473"/>
      <c r="W176" s="473"/>
      <c r="X176" s="473"/>
      <c r="Y176" s="473"/>
      <c r="Z176" s="473"/>
      <c r="AA176" s="473"/>
      <c r="AB176" s="473"/>
      <c r="AC176" s="473"/>
      <c r="AD176" s="473"/>
      <c r="AE176" s="474"/>
    </row>
    <row r="177" spans="1:31" ht="14.25" customHeight="1">
      <c r="A177" s="567"/>
      <c r="B177" s="473"/>
      <c r="C177" s="473"/>
      <c r="D177" s="473"/>
      <c r="E177" s="473"/>
      <c r="F177" s="473"/>
      <c r="G177" s="473"/>
      <c r="H177" s="473"/>
      <c r="I177" s="473"/>
      <c r="J177" s="473"/>
      <c r="K177" s="568"/>
      <c r="L177" s="472"/>
      <c r="M177" s="473"/>
      <c r="N177" s="473"/>
      <c r="O177" s="473"/>
      <c r="P177" s="473"/>
      <c r="Q177" s="473"/>
      <c r="R177" s="473"/>
      <c r="S177" s="473"/>
      <c r="T177" s="473"/>
      <c r="U177" s="473"/>
      <c r="V177" s="473"/>
      <c r="W177" s="473"/>
      <c r="X177" s="473"/>
      <c r="Y177" s="473"/>
      <c r="Z177" s="473"/>
      <c r="AA177" s="473"/>
      <c r="AB177" s="473"/>
      <c r="AC177" s="473"/>
      <c r="AD177" s="473"/>
      <c r="AE177" s="474"/>
    </row>
    <row r="178" spans="1:31" ht="14.25" customHeight="1">
      <c r="A178" s="567"/>
      <c r="B178" s="473"/>
      <c r="C178" s="473"/>
      <c r="D178" s="473"/>
      <c r="E178" s="473"/>
      <c r="F178" s="473"/>
      <c r="G178" s="473"/>
      <c r="H178" s="473"/>
      <c r="I178" s="473"/>
      <c r="J178" s="473"/>
      <c r="K178" s="568"/>
      <c r="L178" s="472"/>
      <c r="M178" s="473"/>
      <c r="N178" s="473"/>
      <c r="O178" s="473"/>
      <c r="P178" s="473"/>
      <c r="Q178" s="473"/>
      <c r="R178" s="473"/>
      <c r="S178" s="473"/>
      <c r="T178" s="473"/>
      <c r="U178" s="473"/>
      <c r="V178" s="473"/>
      <c r="W178" s="473"/>
      <c r="X178" s="473"/>
      <c r="Y178" s="473"/>
      <c r="Z178" s="473"/>
      <c r="AA178" s="473"/>
      <c r="AB178" s="473"/>
      <c r="AC178" s="473"/>
      <c r="AD178" s="473"/>
      <c r="AE178" s="474"/>
    </row>
    <row r="179" spans="1:31" ht="14.25" customHeight="1">
      <c r="A179" s="567"/>
      <c r="B179" s="473"/>
      <c r="C179" s="473"/>
      <c r="D179" s="473"/>
      <c r="E179" s="473"/>
      <c r="F179" s="473"/>
      <c r="G179" s="473"/>
      <c r="H179" s="473"/>
      <c r="I179" s="473"/>
      <c r="J179" s="473"/>
      <c r="K179" s="568"/>
      <c r="L179" s="472"/>
      <c r="M179" s="473"/>
      <c r="N179" s="473"/>
      <c r="O179" s="473"/>
      <c r="P179" s="473"/>
      <c r="Q179" s="473"/>
      <c r="R179" s="473"/>
      <c r="S179" s="473"/>
      <c r="T179" s="473"/>
      <c r="U179" s="473"/>
      <c r="V179" s="473"/>
      <c r="W179" s="473"/>
      <c r="X179" s="473"/>
      <c r="Y179" s="473"/>
      <c r="Z179" s="473"/>
      <c r="AA179" s="473"/>
      <c r="AB179" s="473"/>
      <c r="AC179" s="473"/>
      <c r="AD179" s="473"/>
      <c r="AE179" s="474"/>
    </row>
    <row r="180" spans="1:31" ht="14.25" customHeight="1">
      <c r="A180" s="567"/>
      <c r="B180" s="473"/>
      <c r="C180" s="473"/>
      <c r="D180" s="473"/>
      <c r="E180" s="473"/>
      <c r="F180" s="473"/>
      <c r="G180" s="473"/>
      <c r="H180" s="473"/>
      <c r="I180" s="473"/>
      <c r="J180" s="473"/>
      <c r="K180" s="568"/>
      <c r="L180" s="472"/>
      <c r="M180" s="473"/>
      <c r="N180" s="473"/>
      <c r="O180" s="473"/>
      <c r="P180" s="473"/>
      <c r="Q180" s="473"/>
      <c r="R180" s="473"/>
      <c r="S180" s="473"/>
      <c r="T180" s="473"/>
      <c r="U180" s="473"/>
      <c r="V180" s="473"/>
      <c r="W180" s="473"/>
      <c r="X180" s="473"/>
      <c r="Y180" s="473"/>
      <c r="Z180" s="473"/>
      <c r="AA180" s="473"/>
      <c r="AB180" s="473"/>
      <c r="AC180" s="473"/>
      <c r="AD180" s="473"/>
      <c r="AE180" s="474"/>
    </row>
    <row r="181" spans="1:31" ht="14.25" customHeight="1">
      <c r="A181" s="567"/>
      <c r="B181" s="473"/>
      <c r="C181" s="473"/>
      <c r="D181" s="473"/>
      <c r="E181" s="473"/>
      <c r="F181" s="473"/>
      <c r="G181" s="473"/>
      <c r="H181" s="473"/>
      <c r="I181" s="473"/>
      <c r="J181" s="473"/>
      <c r="K181" s="568"/>
      <c r="L181" s="472"/>
      <c r="M181" s="473"/>
      <c r="N181" s="473"/>
      <c r="O181" s="473"/>
      <c r="P181" s="473"/>
      <c r="Q181" s="473"/>
      <c r="R181" s="473"/>
      <c r="S181" s="473"/>
      <c r="T181" s="473"/>
      <c r="U181" s="473"/>
      <c r="V181" s="473"/>
      <c r="W181" s="473"/>
      <c r="X181" s="473"/>
      <c r="Y181" s="473"/>
      <c r="Z181" s="473"/>
      <c r="AA181" s="473"/>
      <c r="AB181" s="473"/>
      <c r="AC181" s="473"/>
      <c r="AD181" s="473"/>
      <c r="AE181" s="474"/>
    </row>
    <row r="182" spans="1:31" ht="14.25" customHeight="1">
      <c r="A182" s="567"/>
      <c r="B182" s="473"/>
      <c r="C182" s="473"/>
      <c r="D182" s="473"/>
      <c r="E182" s="473"/>
      <c r="F182" s="473"/>
      <c r="G182" s="473"/>
      <c r="H182" s="473"/>
      <c r="I182" s="473"/>
      <c r="J182" s="473"/>
      <c r="K182" s="568"/>
      <c r="L182" s="472"/>
      <c r="M182" s="473"/>
      <c r="N182" s="473"/>
      <c r="O182" s="473"/>
      <c r="P182" s="473"/>
      <c r="Q182" s="473"/>
      <c r="R182" s="473"/>
      <c r="S182" s="473"/>
      <c r="T182" s="473"/>
      <c r="U182" s="473"/>
      <c r="V182" s="473"/>
      <c r="W182" s="473"/>
      <c r="X182" s="473"/>
      <c r="Y182" s="473"/>
      <c r="Z182" s="473"/>
      <c r="AA182" s="473"/>
      <c r="AB182" s="473"/>
      <c r="AC182" s="473"/>
      <c r="AD182" s="473"/>
      <c r="AE182" s="474"/>
    </row>
    <row r="183" spans="1:31" ht="14.25" customHeight="1">
      <c r="A183" s="567"/>
      <c r="B183" s="473"/>
      <c r="C183" s="473"/>
      <c r="D183" s="473"/>
      <c r="E183" s="473"/>
      <c r="F183" s="473"/>
      <c r="G183" s="473"/>
      <c r="H183" s="473"/>
      <c r="I183" s="473"/>
      <c r="J183" s="473"/>
      <c r="K183" s="568"/>
      <c r="L183" s="472"/>
      <c r="M183" s="473"/>
      <c r="N183" s="473"/>
      <c r="O183" s="473"/>
      <c r="P183" s="473"/>
      <c r="Q183" s="473"/>
      <c r="R183" s="473"/>
      <c r="S183" s="473"/>
      <c r="T183" s="473"/>
      <c r="U183" s="473"/>
      <c r="V183" s="473"/>
      <c r="W183" s="473"/>
      <c r="X183" s="473"/>
      <c r="Y183" s="473"/>
      <c r="Z183" s="473"/>
      <c r="AA183" s="473"/>
      <c r="AB183" s="473"/>
      <c r="AC183" s="473"/>
      <c r="AD183" s="473"/>
      <c r="AE183" s="474"/>
    </row>
    <row r="184" spans="1:31" ht="14.25" customHeight="1">
      <c r="A184" s="567"/>
      <c r="B184" s="473"/>
      <c r="C184" s="473"/>
      <c r="D184" s="473"/>
      <c r="E184" s="473"/>
      <c r="F184" s="473"/>
      <c r="G184" s="473"/>
      <c r="H184" s="473"/>
      <c r="I184" s="473"/>
      <c r="J184" s="473"/>
      <c r="K184" s="568"/>
      <c r="L184" s="472"/>
      <c r="M184" s="473"/>
      <c r="N184" s="473"/>
      <c r="O184" s="473"/>
      <c r="P184" s="473"/>
      <c r="Q184" s="473"/>
      <c r="R184" s="473"/>
      <c r="S184" s="473"/>
      <c r="T184" s="473"/>
      <c r="U184" s="473"/>
      <c r="V184" s="473"/>
      <c r="W184" s="473"/>
      <c r="X184" s="473"/>
      <c r="Y184" s="473"/>
      <c r="Z184" s="473"/>
      <c r="AA184" s="473"/>
      <c r="AB184" s="473"/>
      <c r="AC184" s="473"/>
      <c r="AD184" s="473"/>
      <c r="AE184" s="474"/>
    </row>
    <row r="185" spans="1:31" ht="14.25" customHeight="1">
      <c r="A185" s="567"/>
      <c r="B185" s="473"/>
      <c r="C185" s="473"/>
      <c r="D185" s="473"/>
      <c r="E185" s="473"/>
      <c r="F185" s="473"/>
      <c r="G185" s="473"/>
      <c r="H185" s="473"/>
      <c r="I185" s="473"/>
      <c r="J185" s="473"/>
      <c r="K185" s="568"/>
      <c r="L185" s="472"/>
      <c r="M185" s="473"/>
      <c r="N185" s="473"/>
      <c r="O185" s="473"/>
      <c r="P185" s="473"/>
      <c r="Q185" s="473"/>
      <c r="R185" s="473"/>
      <c r="S185" s="473"/>
      <c r="T185" s="473"/>
      <c r="U185" s="473"/>
      <c r="V185" s="473"/>
      <c r="W185" s="473"/>
      <c r="X185" s="473"/>
      <c r="Y185" s="473"/>
      <c r="Z185" s="473"/>
      <c r="AA185" s="473"/>
      <c r="AB185" s="473"/>
      <c r="AC185" s="473"/>
      <c r="AD185" s="473"/>
      <c r="AE185" s="474"/>
    </row>
    <row r="186" spans="1:31" ht="14.25" customHeight="1">
      <c r="A186" s="567"/>
      <c r="B186" s="473"/>
      <c r="C186" s="473"/>
      <c r="D186" s="473"/>
      <c r="E186" s="473"/>
      <c r="F186" s="473"/>
      <c r="G186" s="473"/>
      <c r="H186" s="473"/>
      <c r="I186" s="473"/>
      <c r="J186" s="473"/>
      <c r="K186" s="568"/>
      <c r="L186" s="472"/>
      <c r="M186" s="473"/>
      <c r="N186" s="473"/>
      <c r="O186" s="473"/>
      <c r="P186" s="473"/>
      <c r="Q186" s="473"/>
      <c r="R186" s="473"/>
      <c r="S186" s="473"/>
      <c r="T186" s="473"/>
      <c r="U186" s="473"/>
      <c r="V186" s="473"/>
      <c r="W186" s="473"/>
      <c r="X186" s="473"/>
      <c r="Y186" s="473"/>
      <c r="Z186" s="473"/>
      <c r="AA186" s="473"/>
      <c r="AB186" s="473"/>
      <c r="AC186" s="473"/>
      <c r="AD186" s="473"/>
      <c r="AE186" s="474"/>
    </row>
    <row r="187" spans="1:31" ht="14.25" customHeight="1">
      <c r="A187" s="567"/>
      <c r="B187" s="473"/>
      <c r="C187" s="473"/>
      <c r="D187" s="473"/>
      <c r="E187" s="473"/>
      <c r="F187" s="473"/>
      <c r="G187" s="473"/>
      <c r="H187" s="473"/>
      <c r="I187" s="473"/>
      <c r="J187" s="473"/>
      <c r="K187" s="568"/>
      <c r="L187" s="472"/>
      <c r="M187" s="473"/>
      <c r="N187" s="473"/>
      <c r="O187" s="473"/>
      <c r="P187" s="473"/>
      <c r="Q187" s="473"/>
      <c r="R187" s="473"/>
      <c r="S187" s="473"/>
      <c r="T187" s="473"/>
      <c r="U187" s="473"/>
      <c r="V187" s="473"/>
      <c r="W187" s="473"/>
      <c r="X187" s="473"/>
      <c r="Y187" s="473"/>
      <c r="Z187" s="473"/>
      <c r="AA187" s="473"/>
      <c r="AB187" s="473"/>
      <c r="AC187" s="473"/>
      <c r="AD187" s="473"/>
      <c r="AE187" s="474"/>
    </row>
    <row r="188" spans="1:31" ht="14.25" customHeight="1">
      <c r="A188" s="567"/>
      <c r="B188" s="473"/>
      <c r="C188" s="473"/>
      <c r="D188" s="473"/>
      <c r="E188" s="473"/>
      <c r="F188" s="473"/>
      <c r="G188" s="473"/>
      <c r="H188" s="473"/>
      <c r="I188" s="473"/>
      <c r="J188" s="473"/>
      <c r="K188" s="568"/>
      <c r="L188" s="472"/>
      <c r="M188" s="473"/>
      <c r="N188" s="473"/>
      <c r="O188" s="473"/>
      <c r="P188" s="473"/>
      <c r="Q188" s="473"/>
      <c r="R188" s="473"/>
      <c r="S188" s="473"/>
      <c r="T188" s="473"/>
      <c r="U188" s="473"/>
      <c r="V188" s="473"/>
      <c r="W188" s="473"/>
      <c r="X188" s="473"/>
      <c r="Y188" s="473"/>
      <c r="Z188" s="473"/>
      <c r="AA188" s="473"/>
      <c r="AB188" s="473"/>
      <c r="AC188" s="473"/>
      <c r="AD188" s="473"/>
      <c r="AE188" s="474"/>
    </row>
    <row r="189" spans="1:31" ht="14.25" customHeight="1">
      <c r="A189" s="567"/>
      <c r="B189" s="473"/>
      <c r="C189" s="473"/>
      <c r="D189" s="473"/>
      <c r="E189" s="473"/>
      <c r="F189" s="473"/>
      <c r="G189" s="473"/>
      <c r="H189" s="473"/>
      <c r="I189" s="473"/>
      <c r="J189" s="473"/>
      <c r="K189" s="568"/>
      <c r="L189" s="472"/>
      <c r="M189" s="473"/>
      <c r="N189" s="473"/>
      <c r="O189" s="473"/>
      <c r="P189" s="473"/>
      <c r="Q189" s="473"/>
      <c r="R189" s="473"/>
      <c r="S189" s="473"/>
      <c r="T189" s="473"/>
      <c r="U189" s="473"/>
      <c r="V189" s="473"/>
      <c r="W189" s="473"/>
      <c r="X189" s="473"/>
      <c r="Y189" s="473"/>
      <c r="Z189" s="473"/>
      <c r="AA189" s="473"/>
      <c r="AB189" s="473"/>
      <c r="AC189" s="473"/>
      <c r="AD189" s="473"/>
      <c r="AE189" s="474"/>
    </row>
    <row r="190" spans="1:31" ht="14.25" customHeight="1">
      <c r="A190" s="567"/>
      <c r="B190" s="473"/>
      <c r="C190" s="473"/>
      <c r="D190" s="473"/>
      <c r="E190" s="473"/>
      <c r="F190" s="473"/>
      <c r="G190" s="473"/>
      <c r="H190" s="473"/>
      <c r="I190" s="473"/>
      <c r="J190" s="473"/>
      <c r="K190" s="568"/>
      <c r="L190" s="472"/>
      <c r="M190" s="473"/>
      <c r="N190" s="473"/>
      <c r="O190" s="473"/>
      <c r="P190" s="473"/>
      <c r="Q190" s="473"/>
      <c r="R190" s="473"/>
      <c r="S190" s="473"/>
      <c r="T190" s="473"/>
      <c r="U190" s="473"/>
      <c r="V190" s="473"/>
      <c r="W190" s="473"/>
      <c r="X190" s="473"/>
      <c r="Y190" s="473"/>
      <c r="Z190" s="473"/>
      <c r="AA190" s="473"/>
      <c r="AB190" s="473"/>
      <c r="AC190" s="473"/>
      <c r="AD190" s="473"/>
      <c r="AE190" s="474"/>
    </row>
    <row r="191" spans="1:31" ht="14.25" customHeight="1">
      <c r="A191" s="567"/>
      <c r="B191" s="473"/>
      <c r="C191" s="473"/>
      <c r="D191" s="473"/>
      <c r="E191" s="473"/>
      <c r="F191" s="473"/>
      <c r="G191" s="473"/>
      <c r="H191" s="473"/>
      <c r="I191" s="473"/>
      <c r="J191" s="473"/>
      <c r="K191" s="568"/>
      <c r="L191" s="472"/>
      <c r="M191" s="473"/>
      <c r="N191" s="473"/>
      <c r="O191" s="473"/>
      <c r="P191" s="473"/>
      <c r="Q191" s="473"/>
      <c r="R191" s="473"/>
      <c r="S191" s="473"/>
      <c r="T191" s="473"/>
      <c r="U191" s="473"/>
      <c r="V191" s="473"/>
      <c r="W191" s="473"/>
      <c r="X191" s="473"/>
      <c r="Y191" s="473"/>
      <c r="Z191" s="473"/>
      <c r="AA191" s="473"/>
      <c r="AB191" s="473"/>
      <c r="AC191" s="473"/>
      <c r="AD191" s="473"/>
      <c r="AE191" s="474"/>
    </row>
    <row r="192" spans="1:31" ht="14.25" customHeight="1">
      <c r="A192" s="567"/>
      <c r="B192" s="473"/>
      <c r="C192" s="473"/>
      <c r="D192" s="473"/>
      <c r="E192" s="473"/>
      <c r="F192" s="473"/>
      <c r="G192" s="473"/>
      <c r="H192" s="473"/>
      <c r="I192" s="473"/>
      <c r="J192" s="473"/>
      <c r="K192" s="568"/>
      <c r="L192" s="472"/>
      <c r="M192" s="473"/>
      <c r="N192" s="473"/>
      <c r="O192" s="473"/>
      <c r="P192" s="473"/>
      <c r="Q192" s="473"/>
      <c r="R192" s="473"/>
      <c r="S192" s="473"/>
      <c r="T192" s="473"/>
      <c r="U192" s="473"/>
      <c r="V192" s="473"/>
      <c r="W192" s="473"/>
      <c r="X192" s="473"/>
      <c r="Y192" s="473"/>
      <c r="Z192" s="473"/>
      <c r="AA192" s="473"/>
      <c r="AB192" s="473"/>
      <c r="AC192" s="473"/>
      <c r="AD192" s="473"/>
      <c r="AE192" s="474"/>
    </row>
    <row r="193" spans="1:31" ht="14.25" customHeight="1">
      <c r="A193" s="567"/>
      <c r="B193" s="473"/>
      <c r="C193" s="473"/>
      <c r="D193" s="473"/>
      <c r="E193" s="473"/>
      <c r="F193" s="473"/>
      <c r="G193" s="473"/>
      <c r="H193" s="473"/>
      <c r="I193" s="473"/>
      <c r="J193" s="473"/>
      <c r="K193" s="568"/>
      <c r="L193" s="472"/>
      <c r="M193" s="473"/>
      <c r="N193" s="473"/>
      <c r="O193" s="473"/>
      <c r="P193" s="473"/>
      <c r="Q193" s="473"/>
      <c r="R193" s="473"/>
      <c r="S193" s="473"/>
      <c r="T193" s="473"/>
      <c r="U193" s="473"/>
      <c r="V193" s="473"/>
      <c r="W193" s="473"/>
      <c r="X193" s="473"/>
      <c r="Y193" s="473"/>
      <c r="Z193" s="473"/>
      <c r="AA193" s="473"/>
      <c r="AB193" s="473"/>
      <c r="AC193" s="473"/>
      <c r="AD193" s="473"/>
      <c r="AE193" s="474"/>
    </row>
    <row r="194" spans="1:31" ht="14.25" customHeight="1">
      <c r="A194" s="567"/>
      <c r="B194" s="473"/>
      <c r="C194" s="473"/>
      <c r="D194" s="473"/>
      <c r="E194" s="473"/>
      <c r="F194" s="473"/>
      <c r="G194" s="473"/>
      <c r="H194" s="473"/>
      <c r="I194" s="473"/>
      <c r="J194" s="473"/>
      <c r="K194" s="568"/>
      <c r="L194" s="472"/>
      <c r="M194" s="473"/>
      <c r="N194" s="473"/>
      <c r="O194" s="473"/>
      <c r="P194" s="473"/>
      <c r="Q194" s="473"/>
      <c r="R194" s="473"/>
      <c r="S194" s="473"/>
      <c r="T194" s="473"/>
      <c r="U194" s="473"/>
      <c r="V194" s="473"/>
      <c r="W194" s="473"/>
      <c r="X194" s="473"/>
      <c r="Y194" s="473"/>
      <c r="Z194" s="473"/>
      <c r="AA194" s="473"/>
      <c r="AB194" s="473"/>
      <c r="AC194" s="473"/>
      <c r="AD194" s="473"/>
      <c r="AE194" s="474"/>
    </row>
    <row r="195" spans="1:31" ht="14.25" customHeight="1">
      <c r="A195" s="567"/>
      <c r="B195" s="473"/>
      <c r="C195" s="473"/>
      <c r="D195" s="473"/>
      <c r="E195" s="473"/>
      <c r="F195" s="473"/>
      <c r="G195" s="473"/>
      <c r="H195" s="473"/>
      <c r="I195" s="473"/>
      <c r="J195" s="473"/>
      <c r="K195" s="568"/>
      <c r="L195" s="472"/>
      <c r="M195" s="473"/>
      <c r="N195" s="473"/>
      <c r="O195" s="473"/>
      <c r="P195" s="473"/>
      <c r="Q195" s="473"/>
      <c r="R195" s="473"/>
      <c r="S195" s="473"/>
      <c r="T195" s="473"/>
      <c r="U195" s="473"/>
      <c r="V195" s="473"/>
      <c r="W195" s="473"/>
      <c r="X195" s="473"/>
      <c r="Y195" s="473"/>
      <c r="Z195" s="473"/>
      <c r="AA195" s="473"/>
      <c r="AB195" s="473"/>
      <c r="AC195" s="473"/>
      <c r="AD195" s="473"/>
      <c r="AE195" s="474"/>
    </row>
    <row r="196" spans="1:31" ht="14.25" customHeight="1">
      <c r="A196" s="567"/>
      <c r="B196" s="473"/>
      <c r="C196" s="473"/>
      <c r="D196" s="473"/>
      <c r="E196" s="473"/>
      <c r="F196" s="473"/>
      <c r="G196" s="473"/>
      <c r="H196" s="473"/>
      <c r="I196" s="473"/>
      <c r="J196" s="473"/>
      <c r="K196" s="568"/>
      <c r="L196" s="472"/>
      <c r="M196" s="473"/>
      <c r="N196" s="473"/>
      <c r="O196" s="473"/>
      <c r="P196" s="473"/>
      <c r="Q196" s="473"/>
      <c r="R196" s="473"/>
      <c r="S196" s="473"/>
      <c r="T196" s="473"/>
      <c r="U196" s="473"/>
      <c r="V196" s="473"/>
      <c r="W196" s="473"/>
      <c r="X196" s="473"/>
      <c r="Y196" s="473"/>
      <c r="Z196" s="473"/>
      <c r="AA196" s="473"/>
      <c r="AB196" s="473"/>
      <c r="AC196" s="473"/>
      <c r="AD196" s="473"/>
      <c r="AE196" s="474"/>
    </row>
    <row r="197" spans="1:31" ht="14.25" customHeight="1">
      <c r="A197" s="567"/>
      <c r="B197" s="473"/>
      <c r="C197" s="473"/>
      <c r="D197" s="473"/>
      <c r="E197" s="473"/>
      <c r="F197" s="473"/>
      <c r="G197" s="473"/>
      <c r="H197" s="473"/>
      <c r="I197" s="473"/>
      <c r="J197" s="473"/>
      <c r="K197" s="568"/>
      <c r="L197" s="472"/>
      <c r="M197" s="473"/>
      <c r="N197" s="473"/>
      <c r="O197" s="473"/>
      <c r="P197" s="473"/>
      <c r="Q197" s="473"/>
      <c r="R197" s="473"/>
      <c r="S197" s="473"/>
      <c r="T197" s="473"/>
      <c r="U197" s="473"/>
      <c r="V197" s="473"/>
      <c r="W197" s="473"/>
      <c r="X197" s="473"/>
      <c r="Y197" s="473"/>
      <c r="Z197" s="473"/>
      <c r="AA197" s="473"/>
      <c r="AB197" s="473"/>
      <c r="AC197" s="473"/>
      <c r="AD197" s="473"/>
      <c r="AE197" s="474"/>
    </row>
    <row r="198" spans="1:31" ht="14.25" customHeight="1">
      <c r="A198" s="567"/>
      <c r="B198" s="473"/>
      <c r="C198" s="473"/>
      <c r="D198" s="473"/>
      <c r="E198" s="473"/>
      <c r="F198" s="473"/>
      <c r="G198" s="473"/>
      <c r="H198" s="473"/>
      <c r="I198" s="473"/>
      <c r="J198" s="473"/>
      <c r="K198" s="568"/>
      <c r="L198" s="472"/>
      <c r="M198" s="473"/>
      <c r="N198" s="473"/>
      <c r="O198" s="473"/>
      <c r="P198" s="473"/>
      <c r="Q198" s="473"/>
      <c r="R198" s="473"/>
      <c r="S198" s="473"/>
      <c r="T198" s="473"/>
      <c r="U198" s="473"/>
      <c r="V198" s="473"/>
      <c r="W198" s="473"/>
      <c r="X198" s="473"/>
      <c r="Y198" s="473"/>
      <c r="Z198" s="473"/>
      <c r="AA198" s="473"/>
      <c r="AB198" s="473"/>
      <c r="AC198" s="473"/>
      <c r="AD198" s="473"/>
      <c r="AE198" s="474"/>
    </row>
    <row r="199" spans="1:31" ht="14.25" customHeight="1">
      <c r="A199" s="567"/>
      <c r="B199" s="473"/>
      <c r="C199" s="473"/>
      <c r="D199" s="473"/>
      <c r="E199" s="473"/>
      <c r="F199" s="473"/>
      <c r="G199" s="473"/>
      <c r="H199" s="473"/>
      <c r="I199" s="473"/>
      <c r="J199" s="473"/>
      <c r="K199" s="568"/>
      <c r="L199" s="472"/>
      <c r="M199" s="473"/>
      <c r="N199" s="473"/>
      <c r="O199" s="473"/>
      <c r="P199" s="473"/>
      <c r="Q199" s="473"/>
      <c r="R199" s="473"/>
      <c r="S199" s="473"/>
      <c r="T199" s="473"/>
      <c r="U199" s="473"/>
      <c r="V199" s="473"/>
      <c r="W199" s="473"/>
      <c r="X199" s="473"/>
      <c r="Y199" s="473"/>
      <c r="Z199" s="473"/>
      <c r="AA199" s="473"/>
      <c r="AB199" s="473"/>
      <c r="AC199" s="473"/>
      <c r="AD199" s="473"/>
      <c r="AE199" s="474"/>
    </row>
    <row r="200" spans="1:31" ht="14.25" customHeight="1">
      <c r="A200" s="567"/>
      <c r="B200" s="473"/>
      <c r="C200" s="473"/>
      <c r="D200" s="473"/>
      <c r="E200" s="473"/>
      <c r="F200" s="473"/>
      <c r="G200" s="473"/>
      <c r="H200" s="473"/>
      <c r="I200" s="473"/>
      <c r="J200" s="473"/>
      <c r="K200" s="568"/>
      <c r="L200" s="472"/>
      <c r="M200" s="473"/>
      <c r="N200" s="473"/>
      <c r="O200" s="473"/>
      <c r="P200" s="473"/>
      <c r="Q200" s="473"/>
      <c r="R200" s="473"/>
      <c r="S200" s="473"/>
      <c r="T200" s="473"/>
      <c r="U200" s="473"/>
      <c r="V200" s="473"/>
      <c r="W200" s="473"/>
      <c r="X200" s="473"/>
      <c r="Y200" s="473"/>
      <c r="Z200" s="473"/>
      <c r="AA200" s="473"/>
      <c r="AB200" s="473"/>
      <c r="AC200" s="473"/>
      <c r="AD200" s="473"/>
      <c r="AE200" s="474"/>
    </row>
    <row r="201" spans="1:31" ht="14.25" customHeight="1">
      <c r="A201" s="567"/>
      <c r="B201" s="473"/>
      <c r="C201" s="473"/>
      <c r="D201" s="473"/>
      <c r="E201" s="473"/>
      <c r="F201" s="473"/>
      <c r="G201" s="473"/>
      <c r="H201" s="473"/>
      <c r="I201" s="473"/>
      <c r="J201" s="473"/>
      <c r="K201" s="568"/>
      <c r="L201" s="472"/>
      <c r="M201" s="473"/>
      <c r="N201" s="473"/>
      <c r="O201" s="473"/>
      <c r="P201" s="473"/>
      <c r="Q201" s="473"/>
      <c r="R201" s="473"/>
      <c r="S201" s="473"/>
      <c r="T201" s="473"/>
      <c r="U201" s="473"/>
      <c r="V201" s="473"/>
      <c r="W201" s="473"/>
      <c r="X201" s="473"/>
      <c r="Y201" s="473"/>
      <c r="Z201" s="473"/>
      <c r="AA201" s="473"/>
      <c r="AB201" s="473"/>
      <c r="AC201" s="473"/>
      <c r="AD201" s="473"/>
      <c r="AE201" s="474"/>
    </row>
    <row r="202" spans="1:31" ht="14.25" customHeight="1">
      <c r="A202" s="567"/>
      <c r="B202" s="473"/>
      <c r="C202" s="473"/>
      <c r="D202" s="473"/>
      <c r="E202" s="473"/>
      <c r="F202" s="473"/>
      <c r="G202" s="473"/>
      <c r="H202" s="473"/>
      <c r="I202" s="473"/>
      <c r="J202" s="473"/>
      <c r="K202" s="568"/>
      <c r="L202" s="472"/>
      <c r="M202" s="473"/>
      <c r="N202" s="473"/>
      <c r="O202" s="473"/>
      <c r="P202" s="473"/>
      <c r="Q202" s="473"/>
      <c r="R202" s="473"/>
      <c r="S202" s="473"/>
      <c r="T202" s="473"/>
      <c r="U202" s="473"/>
      <c r="V202" s="473"/>
      <c r="W202" s="473"/>
      <c r="X202" s="473"/>
      <c r="Y202" s="473"/>
      <c r="Z202" s="473"/>
      <c r="AA202" s="473"/>
      <c r="AB202" s="473"/>
      <c r="AC202" s="473"/>
      <c r="AD202" s="473"/>
      <c r="AE202" s="474"/>
    </row>
    <row r="203" spans="1:31" ht="14.25" customHeight="1">
      <c r="A203" s="567"/>
      <c r="B203" s="473"/>
      <c r="C203" s="473"/>
      <c r="D203" s="473"/>
      <c r="E203" s="473"/>
      <c r="F203" s="473"/>
      <c r="G203" s="473"/>
      <c r="H203" s="473"/>
      <c r="I203" s="473"/>
      <c r="J203" s="473"/>
      <c r="K203" s="568"/>
      <c r="L203" s="472"/>
      <c r="M203" s="473"/>
      <c r="N203" s="473"/>
      <c r="O203" s="473"/>
      <c r="P203" s="473"/>
      <c r="Q203" s="473"/>
      <c r="R203" s="473"/>
      <c r="S203" s="473"/>
      <c r="T203" s="473"/>
      <c r="U203" s="473"/>
      <c r="V203" s="473"/>
      <c r="W203" s="473"/>
      <c r="X203" s="473"/>
      <c r="Y203" s="473"/>
      <c r="Z203" s="473"/>
      <c r="AA203" s="473"/>
      <c r="AB203" s="473"/>
      <c r="AC203" s="473"/>
      <c r="AD203" s="473"/>
      <c r="AE203" s="474"/>
    </row>
    <row r="204" spans="1:31" ht="14.25" customHeight="1">
      <c r="A204" s="567"/>
      <c r="B204" s="473"/>
      <c r="C204" s="473"/>
      <c r="D204" s="473"/>
      <c r="E204" s="473"/>
      <c r="F204" s="473"/>
      <c r="G204" s="473"/>
      <c r="H204" s="473"/>
      <c r="I204" s="473"/>
      <c r="J204" s="473"/>
      <c r="K204" s="568"/>
      <c r="L204" s="472"/>
      <c r="M204" s="473"/>
      <c r="N204" s="473"/>
      <c r="O204" s="473"/>
      <c r="P204" s="473"/>
      <c r="Q204" s="473"/>
      <c r="R204" s="473"/>
      <c r="S204" s="473"/>
      <c r="T204" s="473"/>
      <c r="U204" s="473"/>
      <c r="V204" s="473"/>
      <c r="W204" s="473"/>
      <c r="X204" s="473"/>
      <c r="Y204" s="473"/>
      <c r="Z204" s="473"/>
      <c r="AA204" s="473"/>
      <c r="AB204" s="473"/>
      <c r="AC204" s="473"/>
      <c r="AD204" s="473"/>
      <c r="AE204" s="474"/>
    </row>
    <row r="205" spans="1:31" ht="14.25" customHeight="1">
      <c r="A205" s="567"/>
      <c r="B205" s="473"/>
      <c r="C205" s="473"/>
      <c r="D205" s="473"/>
      <c r="E205" s="473"/>
      <c r="F205" s="473"/>
      <c r="G205" s="473"/>
      <c r="H205" s="473"/>
      <c r="I205" s="473"/>
      <c r="J205" s="473"/>
      <c r="K205" s="568"/>
      <c r="L205" s="472"/>
      <c r="M205" s="473"/>
      <c r="N205" s="473"/>
      <c r="O205" s="473"/>
      <c r="P205" s="473"/>
      <c r="Q205" s="473"/>
      <c r="R205" s="473"/>
      <c r="S205" s="473"/>
      <c r="T205" s="473"/>
      <c r="U205" s="473"/>
      <c r="V205" s="473"/>
      <c r="W205" s="473"/>
      <c r="X205" s="473"/>
      <c r="Y205" s="473"/>
      <c r="Z205" s="473"/>
      <c r="AA205" s="473"/>
      <c r="AB205" s="473"/>
      <c r="AC205" s="473"/>
      <c r="AD205" s="473"/>
      <c r="AE205" s="474"/>
    </row>
    <row r="206" spans="1:31" ht="14.25" customHeight="1">
      <c r="A206" s="567"/>
      <c r="B206" s="473"/>
      <c r="C206" s="473"/>
      <c r="D206" s="473"/>
      <c r="E206" s="473"/>
      <c r="F206" s="473"/>
      <c r="G206" s="473"/>
      <c r="H206" s="473"/>
      <c r="I206" s="473"/>
      <c r="J206" s="473"/>
      <c r="K206" s="568"/>
      <c r="L206" s="472"/>
      <c r="M206" s="473"/>
      <c r="N206" s="473"/>
      <c r="O206" s="473"/>
      <c r="P206" s="473"/>
      <c r="Q206" s="473"/>
      <c r="R206" s="473"/>
      <c r="S206" s="473"/>
      <c r="T206" s="473"/>
      <c r="U206" s="473"/>
      <c r="V206" s="473"/>
      <c r="W206" s="473"/>
      <c r="X206" s="473"/>
      <c r="Y206" s="473"/>
      <c r="Z206" s="473"/>
      <c r="AA206" s="473"/>
      <c r="AB206" s="473"/>
      <c r="AC206" s="473"/>
      <c r="AD206" s="473"/>
      <c r="AE206" s="474"/>
    </row>
    <row r="207" spans="1:31" ht="14.25" customHeight="1">
      <c r="A207" s="567"/>
      <c r="B207" s="473"/>
      <c r="C207" s="473"/>
      <c r="D207" s="473"/>
      <c r="E207" s="473"/>
      <c r="F207" s="473"/>
      <c r="G207" s="473"/>
      <c r="H207" s="473"/>
      <c r="I207" s="473"/>
      <c r="J207" s="473"/>
      <c r="K207" s="568"/>
      <c r="L207" s="472"/>
      <c r="M207" s="473"/>
      <c r="N207" s="473"/>
      <c r="O207" s="473"/>
      <c r="P207" s="473"/>
      <c r="Q207" s="473"/>
      <c r="R207" s="473"/>
      <c r="S207" s="473"/>
      <c r="T207" s="473"/>
      <c r="U207" s="473"/>
      <c r="V207" s="473"/>
      <c r="W207" s="473"/>
      <c r="X207" s="473"/>
      <c r="Y207" s="473"/>
      <c r="Z207" s="473"/>
      <c r="AA207" s="473"/>
      <c r="AB207" s="473"/>
      <c r="AC207" s="473"/>
      <c r="AD207" s="473"/>
      <c r="AE207" s="474"/>
    </row>
    <row r="208" spans="1:31" ht="14.25" customHeight="1">
      <c r="A208" s="567"/>
      <c r="B208" s="473"/>
      <c r="C208" s="473"/>
      <c r="D208" s="473"/>
      <c r="E208" s="473"/>
      <c r="F208" s="473"/>
      <c r="G208" s="473"/>
      <c r="H208" s="473"/>
      <c r="I208" s="473"/>
      <c r="J208" s="473"/>
      <c r="K208" s="568"/>
      <c r="L208" s="472"/>
      <c r="M208" s="473"/>
      <c r="N208" s="473"/>
      <c r="O208" s="473"/>
      <c r="P208" s="473"/>
      <c r="Q208" s="473"/>
      <c r="R208" s="473"/>
      <c r="S208" s="473"/>
      <c r="T208" s="473"/>
      <c r="U208" s="473"/>
      <c r="V208" s="473"/>
      <c r="W208" s="473"/>
      <c r="X208" s="473"/>
      <c r="Y208" s="473"/>
      <c r="Z208" s="473"/>
      <c r="AA208" s="473"/>
      <c r="AB208" s="473"/>
      <c r="AC208" s="473"/>
      <c r="AD208" s="473"/>
      <c r="AE208" s="474"/>
    </row>
    <row r="209" spans="1:31" ht="14.25" customHeight="1">
      <c r="A209" s="567"/>
      <c r="B209" s="473"/>
      <c r="C209" s="473"/>
      <c r="D209" s="473"/>
      <c r="E209" s="473"/>
      <c r="F209" s="473"/>
      <c r="G209" s="473"/>
      <c r="H209" s="473"/>
      <c r="I209" s="473"/>
      <c r="J209" s="473"/>
      <c r="K209" s="568"/>
      <c r="L209" s="472"/>
      <c r="M209" s="473"/>
      <c r="N209" s="473"/>
      <c r="O209" s="473"/>
      <c r="P209" s="473"/>
      <c r="Q209" s="473"/>
      <c r="R209" s="473"/>
      <c r="S209" s="473"/>
      <c r="T209" s="473"/>
      <c r="U209" s="473"/>
      <c r="V209" s="473"/>
      <c r="W209" s="473"/>
      <c r="X209" s="473"/>
      <c r="Y209" s="473"/>
      <c r="Z209" s="473"/>
      <c r="AA209" s="473"/>
      <c r="AB209" s="473"/>
      <c r="AC209" s="473"/>
      <c r="AD209" s="473"/>
      <c r="AE209" s="474"/>
    </row>
    <row r="210" spans="1:31" ht="14.25" customHeight="1">
      <c r="A210" s="567"/>
      <c r="B210" s="473"/>
      <c r="C210" s="473"/>
      <c r="D210" s="473"/>
      <c r="E210" s="473"/>
      <c r="F210" s="473"/>
      <c r="G210" s="473"/>
      <c r="H210" s="473"/>
      <c r="I210" s="473"/>
      <c r="J210" s="473"/>
      <c r="K210" s="568"/>
      <c r="L210" s="472"/>
      <c r="M210" s="473"/>
      <c r="N210" s="473"/>
      <c r="O210" s="473"/>
      <c r="P210" s="473"/>
      <c r="Q210" s="473"/>
      <c r="R210" s="473"/>
      <c r="S210" s="473"/>
      <c r="T210" s="473"/>
      <c r="U210" s="473"/>
      <c r="V210" s="473"/>
      <c r="W210" s="473"/>
      <c r="X210" s="473"/>
      <c r="Y210" s="473"/>
      <c r="Z210" s="473"/>
      <c r="AA210" s="473"/>
      <c r="AB210" s="473"/>
      <c r="AC210" s="473"/>
      <c r="AD210" s="473"/>
      <c r="AE210" s="474"/>
    </row>
    <row r="211" spans="1:31" ht="14.25" customHeight="1">
      <c r="A211" s="567"/>
      <c r="B211" s="473"/>
      <c r="C211" s="473"/>
      <c r="D211" s="473"/>
      <c r="E211" s="473"/>
      <c r="F211" s="473"/>
      <c r="G211" s="473"/>
      <c r="H211" s="473"/>
      <c r="I211" s="473"/>
      <c r="J211" s="473"/>
      <c r="K211" s="568"/>
      <c r="L211" s="472"/>
      <c r="M211" s="473"/>
      <c r="N211" s="473"/>
      <c r="O211" s="473"/>
      <c r="P211" s="473"/>
      <c r="Q211" s="473"/>
      <c r="R211" s="473"/>
      <c r="S211" s="473"/>
      <c r="T211" s="473"/>
      <c r="U211" s="473"/>
      <c r="V211" s="473"/>
      <c r="W211" s="473"/>
      <c r="X211" s="473"/>
      <c r="Y211" s="473"/>
      <c r="Z211" s="473"/>
      <c r="AA211" s="473"/>
      <c r="AB211" s="473"/>
      <c r="AC211" s="473"/>
      <c r="AD211" s="473"/>
      <c r="AE211" s="474"/>
    </row>
    <row r="212" spans="1:31" ht="14.25" customHeight="1">
      <c r="A212" s="567"/>
      <c r="B212" s="473"/>
      <c r="C212" s="473"/>
      <c r="D212" s="473"/>
      <c r="E212" s="473"/>
      <c r="F212" s="473"/>
      <c r="G212" s="473"/>
      <c r="H212" s="473"/>
      <c r="I212" s="473"/>
      <c r="J212" s="473"/>
      <c r="K212" s="568"/>
      <c r="L212" s="472"/>
      <c r="M212" s="473"/>
      <c r="N212" s="473"/>
      <c r="O212" s="473"/>
      <c r="P212" s="473"/>
      <c r="Q212" s="473"/>
      <c r="R212" s="473"/>
      <c r="S212" s="473"/>
      <c r="T212" s="473"/>
      <c r="U212" s="473"/>
      <c r="V212" s="473"/>
      <c r="W212" s="473"/>
      <c r="X212" s="473"/>
      <c r="Y212" s="473"/>
      <c r="Z212" s="473"/>
      <c r="AA212" s="473"/>
      <c r="AB212" s="473"/>
      <c r="AC212" s="473"/>
      <c r="AD212" s="473"/>
      <c r="AE212" s="474"/>
    </row>
    <row r="213" spans="1:31" ht="14.25" customHeight="1">
      <c r="A213" s="567"/>
      <c r="B213" s="473"/>
      <c r="C213" s="473"/>
      <c r="D213" s="473"/>
      <c r="E213" s="473"/>
      <c r="F213" s="473"/>
      <c r="G213" s="473"/>
      <c r="H213" s="473"/>
      <c r="I213" s="473"/>
      <c r="J213" s="473"/>
      <c r="K213" s="568"/>
      <c r="L213" s="472"/>
      <c r="M213" s="473"/>
      <c r="N213" s="473"/>
      <c r="O213" s="473"/>
      <c r="P213" s="473"/>
      <c r="Q213" s="473"/>
      <c r="R213" s="473"/>
      <c r="S213" s="473"/>
      <c r="T213" s="473"/>
      <c r="U213" s="473"/>
      <c r="V213" s="473"/>
      <c r="W213" s="473"/>
      <c r="X213" s="473"/>
      <c r="Y213" s="473"/>
      <c r="Z213" s="473"/>
      <c r="AA213" s="473"/>
      <c r="AB213" s="473"/>
      <c r="AC213" s="473"/>
      <c r="AD213" s="473"/>
      <c r="AE213" s="474"/>
    </row>
    <row r="214" spans="1:31" ht="14.25" customHeight="1">
      <c r="A214" s="569"/>
      <c r="B214" s="570"/>
      <c r="C214" s="570"/>
      <c r="D214" s="570"/>
      <c r="E214" s="570"/>
      <c r="F214" s="570"/>
      <c r="G214" s="570"/>
      <c r="H214" s="570"/>
      <c r="I214" s="570"/>
      <c r="J214" s="570"/>
      <c r="K214" s="571"/>
      <c r="L214" s="572"/>
      <c r="M214" s="570"/>
      <c r="N214" s="570"/>
      <c r="O214" s="570"/>
      <c r="P214" s="570"/>
      <c r="Q214" s="570"/>
      <c r="R214" s="570"/>
      <c r="S214" s="570"/>
      <c r="T214" s="570"/>
      <c r="U214" s="570"/>
      <c r="V214" s="570"/>
      <c r="W214" s="570"/>
      <c r="X214" s="570"/>
      <c r="Y214" s="570"/>
      <c r="Z214" s="570"/>
      <c r="AA214" s="570"/>
      <c r="AB214" s="570"/>
      <c r="AC214" s="570"/>
      <c r="AD214" s="570"/>
      <c r="AE214" s="573"/>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34"/>
  <sheetViews>
    <sheetView showGridLines="0" workbookViewId="0"/>
  </sheetViews>
  <sheetFormatPr defaultColWidth="8.875" defaultRowHeight="14.25" customHeight="1"/>
  <cols>
    <col min="1" max="1" width="8.875" style="574" customWidth="1"/>
    <col min="2" max="2" width="15.5" style="574" customWidth="1"/>
    <col min="3" max="4" width="5.875" style="574" customWidth="1"/>
    <col min="5" max="5" width="20.375" style="574" customWidth="1"/>
    <col min="6" max="6" width="14.125" style="574" customWidth="1"/>
    <col min="7" max="7" width="9.5" style="574" customWidth="1"/>
    <col min="8" max="8" width="2.625" style="574" customWidth="1"/>
    <col min="9" max="9" width="13.875" style="574" customWidth="1"/>
    <col min="10" max="10" width="13.125" style="574" customWidth="1"/>
    <col min="11" max="11" width="12.125" style="574" customWidth="1"/>
    <col min="12" max="12" width="13.875" style="574" customWidth="1"/>
    <col min="13" max="14" width="8.875" style="574" customWidth="1"/>
    <col min="15" max="16384" width="8.875" style="574"/>
  </cols>
  <sheetData>
    <row r="1" spans="1:13" ht="14.25" customHeight="1">
      <c r="A1" s="575" t="s">
        <v>101</v>
      </c>
      <c r="B1" s="576" t="s">
        <v>314</v>
      </c>
      <c r="C1" s="577" t="s">
        <v>315</v>
      </c>
      <c r="D1" s="576" t="s">
        <v>316</v>
      </c>
      <c r="E1" s="578" t="s">
        <v>317</v>
      </c>
      <c r="F1" s="579" t="str" cm="1">
        <f t="array" ref="F1">'Quarter, Semis &amp; Final'!R18</f>
        <v>Figura</v>
      </c>
      <c r="G1" s="580" t="str" cm="1">
        <f t="array" ref="G1">'Quarter, Semis &amp; Final'!S18</f>
        <v>Lamine</v>
      </c>
      <c r="H1" s="581"/>
      <c r="I1" s="582" t="s">
        <v>105</v>
      </c>
      <c r="J1" s="582" t="s">
        <v>106</v>
      </c>
      <c r="K1" s="582" t="s">
        <v>106</v>
      </c>
      <c r="L1" s="582" t="s">
        <v>107</v>
      </c>
      <c r="M1" s="583"/>
    </row>
    <row r="2" spans="1:13" ht="14.25" customHeight="1">
      <c r="A2" s="584" t="str" cm="1">
        <f t="array" ref="A2">'Groups Stage'!A3</f>
        <v>GA1</v>
      </c>
      <c r="B2" s="585" t="str" cm="1">
        <f t="array" ref="B2">'Groups Stage'!E3</f>
        <v>Mexico</v>
      </c>
      <c r="C2" s="586" cm="1">
        <f t="array" ref="C2">'Groups Stage'!F3</f>
        <v>2</v>
      </c>
      <c r="D2" s="587" cm="1">
        <f t="array" ref="D2">'Groups Stage'!G3</f>
        <v>0</v>
      </c>
      <c r="E2" s="588" t="str" cm="1">
        <f t="array" ref="E2">'Groups Stage'!H3</f>
        <v>Sudafrica</v>
      </c>
      <c r="F2" s="579" t="str" cm="1">
        <f t="array" ref="F2">'Quarter, Semis &amp; Final'!R19</f>
        <v>Goleador</v>
      </c>
      <c r="G2" s="580" t="str" cm="1">
        <f t="array" ref="G2">'Quarter, Semis &amp; Final'!S19</f>
        <v>Mbappe</v>
      </c>
      <c r="H2" s="437"/>
      <c r="I2" s="138" t="str" cm="1">
        <f t="array" ref="I2">IF(OR(ISBLANK(C2),ISBLANK(D2)),"",IF(C2&gt;D2,B2,IF(D2&gt;C2,E2,"")))</f>
        <v>Mexico</v>
      </c>
      <c r="J2" s="138" t="str" cm="1">
        <f t="array" ref="J2">IF(OR(ISBLANK(C2),ISBLANK(D2)),"",IF(C2=D2,B2,""))</f>
        <v/>
      </c>
      <c r="K2" s="138" t="str" cm="1">
        <f t="array" ref="K2">IF(OR(ISBLANK(C2),ISBLANK(D2)),"",IF(C2=D2,E2,""))</f>
        <v/>
      </c>
      <c r="L2" s="138" t="str" cm="1">
        <f t="array" ref="L2">IF(OR(ISBLANK(C2),ISBLANK(D2)),"",IF(C2&lt;D2,B2,IF(D2&lt;C2,E2,"")))</f>
        <v>Sudafrica</v>
      </c>
      <c r="M2" s="172"/>
    </row>
    <row r="3" spans="1:13" ht="14.25" customHeight="1">
      <c r="A3" s="589" t="str" cm="1">
        <f t="array" ref="A3">'Groups Stage'!A4</f>
        <v>GA2</v>
      </c>
      <c r="B3" s="590" t="str" cm="1">
        <f t="array" ref="B3">'Groups Stage'!E4</f>
        <v>Corea del Sur</v>
      </c>
      <c r="C3" s="591" cm="1">
        <f t="array" ref="C3">'Groups Stage'!F4</f>
        <v>1</v>
      </c>
      <c r="D3" s="592" cm="1">
        <f t="array" ref="D3">'Groups Stage'!G4</f>
        <v>1</v>
      </c>
      <c r="E3" s="593" t="str" cm="1">
        <f t="array" ref="E3">'Groups Stage'!H4</f>
        <v>Repubilca Checa</v>
      </c>
      <c r="F3" s="579" t="str" cm="1">
        <f t="array" ref="F3">'Quarter, Semis &amp; Final'!R20</f>
        <v>Revelación</v>
      </c>
      <c r="G3" s="451" t="str" cm="1">
        <f t="array" ref="G3">'Quarter, Semis &amp; Final'!S20</f>
        <v>No hay Revelación</v>
      </c>
      <c r="H3" s="437"/>
      <c r="I3" s="74" t="str" cm="1">
        <f t="array" ref="I3">IF(OR(ISBLANK(C3),ISBLANK(D3)),"",IF(C3&gt;D3,B3,IF(D3&gt;C3,E3,"")))</f>
        <v/>
      </c>
      <c r="J3" s="74" t="str" cm="1">
        <f t="array" ref="J3">IF(OR(ISBLANK(C3),ISBLANK(D3)),"",IF(C3=D3,B3,""))</f>
        <v>Corea del Sur</v>
      </c>
      <c r="K3" s="74" t="str" cm="1">
        <f t="array" ref="K3">IF(OR(ISBLANK(C3),ISBLANK(D3)),"",IF(C3=D3,E3,""))</f>
        <v>Repubilca Checa</v>
      </c>
      <c r="L3" s="74" t="str" cm="1">
        <f t="array" ref="L3">IF(OR(ISBLANK(C3),ISBLANK(D3)),"",IF(C3&lt;D3,B3,IF(D3&lt;C3,E3,"")))</f>
        <v/>
      </c>
      <c r="M3" s="172"/>
    </row>
    <row r="4" spans="1:13" ht="14.25" customHeight="1">
      <c r="A4" s="589" t="str" cm="1">
        <f t="array" ref="A4">'Groups Stage'!A5</f>
        <v>GA3</v>
      </c>
      <c r="B4" s="590" t="str" cm="1">
        <f t="array" ref="B4">'Groups Stage'!E5</f>
        <v>Repubilca Checa</v>
      </c>
      <c r="C4" s="591" cm="1">
        <f t="array" ref="C4">'Groups Stage'!F5</f>
        <v>1</v>
      </c>
      <c r="D4" s="592" cm="1">
        <f t="array" ref="D4">'Groups Stage'!G5</f>
        <v>0</v>
      </c>
      <c r="E4" s="593" t="str" cm="1">
        <f t="array" ref="E4">'Groups Stage'!H5</f>
        <v>Sudafrica</v>
      </c>
      <c r="F4" s="579" t="str" cm="1">
        <f t="array" ref="F4">'Quarter, Semis &amp; Final'!R21</f>
        <v>Decepción</v>
      </c>
      <c r="G4" s="451" t="str" cm="1">
        <f t="array" ref="G4">'Quarter, Semis &amp; Final'!S21</f>
        <v>Paises Bajos</v>
      </c>
      <c r="H4" s="437"/>
      <c r="I4" s="74" t="str" cm="1">
        <f t="array" ref="I4">IF(OR(ISBLANK(C4),ISBLANK(D4)),"",IF(C4&gt;D4,B4,IF(D4&gt;C4,E4,"")))</f>
        <v>Repubilca Checa</v>
      </c>
      <c r="J4" s="74" t="str" cm="1">
        <f t="array" ref="J4">IF(OR(ISBLANK(C4),ISBLANK(D4)),"",IF(C4=D4,B4,""))</f>
        <v/>
      </c>
      <c r="K4" s="74" t="str" cm="1">
        <f t="array" ref="K4">IF(OR(ISBLANK(C4),ISBLANK(D4)),"",IF(C4=D4,E4,""))</f>
        <v/>
      </c>
      <c r="L4" s="74" t="str" cm="1">
        <f t="array" ref="L4">IF(OR(ISBLANK(C4),ISBLANK(D4)),"",IF(C4&lt;D4,B4,IF(D4&lt;C4,E4,"")))</f>
        <v>Sudafrica</v>
      </c>
      <c r="M4" s="172"/>
    </row>
    <row r="5" spans="1:13" ht="14.25" customHeight="1">
      <c r="A5" s="589" t="str" cm="1">
        <f t="array" ref="A5">'Groups Stage'!A6</f>
        <v>GA4</v>
      </c>
      <c r="B5" s="590" t="str" cm="1">
        <f t="array" ref="B5">'Groups Stage'!E6</f>
        <v>Mexico</v>
      </c>
      <c r="C5" s="591" cm="1">
        <f t="array" ref="C5">'Groups Stage'!F6</f>
        <v>2</v>
      </c>
      <c r="D5" s="592" cm="1">
        <f t="array" ref="D5">'Groups Stage'!G6</f>
        <v>1</v>
      </c>
      <c r="E5" s="593" t="str" cm="1">
        <f t="array" ref="E5">'Groups Stage'!H6</f>
        <v>Corea del Sur</v>
      </c>
      <c r="F5" s="579" t="str" cm="1">
        <f t="array" ref="F5">'Quarter, Semis &amp; Final'!R22</f>
        <v>Mejor 1era Fase</v>
      </c>
      <c r="G5" s="451" t="str" cm="1">
        <f t="array" ref="G5">'Quarter, Semis &amp; Final'!S22</f>
        <v>Alemania</v>
      </c>
      <c r="H5" s="437"/>
      <c r="I5" s="74" t="str" cm="1">
        <f t="array" ref="I5">IF(OR(ISBLANK(C5),ISBLANK(D5)),"",IF(C5&gt;D5,B5,IF(D5&gt;C5,E5,"")))</f>
        <v>Mexico</v>
      </c>
      <c r="J5" s="74" t="str" cm="1">
        <f t="array" ref="J5">IF(OR(ISBLANK(C5),ISBLANK(D5)),"",IF(C5=D5,B5,""))</f>
        <v/>
      </c>
      <c r="K5" s="74" t="str" cm="1">
        <f t="array" ref="K5">IF(OR(ISBLANK(C5),ISBLANK(D5)),"",IF(C5=D5,E5,""))</f>
        <v/>
      </c>
      <c r="L5" s="74" t="str" cm="1">
        <f t="array" ref="L5">IF(OR(ISBLANK(C5),ISBLANK(D5)),"",IF(C5&lt;D5,B5,IF(D5&lt;C5,E5,"")))</f>
        <v>Corea del Sur</v>
      </c>
      <c r="M5" s="172"/>
    </row>
    <row r="6" spans="1:13" ht="14.25" customHeight="1">
      <c r="A6" s="589" t="str" cm="1">
        <f t="array" ref="A6">'Groups Stage'!A7</f>
        <v>GA5</v>
      </c>
      <c r="B6" s="590" t="str" cm="1">
        <f t="array" ref="B6">'Groups Stage'!E7</f>
        <v>Repubilca Checa</v>
      </c>
      <c r="C6" s="591" cm="1">
        <f t="array" ref="C6">'Groups Stage'!F7</f>
        <v>0</v>
      </c>
      <c r="D6" s="592" cm="1">
        <f t="array" ref="D6">'Groups Stage'!G7</f>
        <v>1</v>
      </c>
      <c r="E6" s="593" t="str" cm="1">
        <f t="array" ref="E6">'Groups Stage'!H7</f>
        <v>Mexico</v>
      </c>
      <c r="F6" s="579" t="str" cm="1">
        <f t="array" ref="F6">'Quarter, Semis &amp; Final'!R23</f>
        <v>Peor Equipo</v>
      </c>
      <c r="G6" s="451" t="str" cm="1">
        <f t="array" ref="G6">'Quarter, Semis &amp; Final'!S23</f>
        <v>Haiti</v>
      </c>
      <c r="H6" s="437"/>
      <c r="I6" s="74" t="str" cm="1">
        <f t="array" ref="I6">IF(OR(ISBLANK(C6),ISBLANK(D6)),"",IF(C6&gt;D6,B6,IF(D6&gt;C6,E6,"")))</f>
        <v>Mexico</v>
      </c>
      <c r="J6" s="74" t="str" cm="1">
        <f t="array" ref="J6">IF(OR(ISBLANK(C6),ISBLANK(D6)),"",IF(C6=D6,B6,""))</f>
        <v/>
      </c>
      <c r="K6" s="74" t="str" cm="1">
        <f t="array" ref="K6">IF(OR(ISBLANK(C6),ISBLANK(D6)),"",IF(C6=D6,E6,""))</f>
        <v/>
      </c>
      <c r="L6" s="74" t="str" cm="1">
        <f t="array" ref="L6">IF(OR(ISBLANK(C6),ISBLANK(D6)),"",IF(C6&lt;D6,B6,IF(D6&lt;C6,E6,"")))</f>
        <v>Repubilca Checa</v>
      </c>
      <c r="M6" s="172"/>
    </row>
    <row r="7" spans="1:13" ht="14.25" customHeight="1">
      <c r="A7" s="594" t="str" cm="1">
        <f t="array" ref="A7">'Groups Stage'!A8</f>
        <v>GA6</v>
      </c>
      <c r="B7" s="595" t="str" cm="1">
        <f t="array" ref="B7">'Groups Stage'!E8</f>
        <v>Sudafrica</v>
      </c>
      <c r="C7" s="596" cm="1">
        <f t="array" ref="C7">'Groups Stage'!F8</f>
        <v>0</v>
      </c>
      <c r="D7" s="597" cm="1">
        <f t="array" ref="D7">'Groups Stage'!G8</f>
        <v>1</v>
      </c>
      <c r="E7" s="598" t="str" cm="1">
        <f t="array" ref="E7">'Groups Stage'!H8</f>
        <v>Corea del Sur</v>
      </c>
      <c r="F7" s="599" t="s">
        <v>18</v>
      </c>
      <c r="G7" s="600" t="str" cm="1">
        <f t="array" ref="G7">'Total Results'!D4</f>
        <v>Francia</v>
      </c>
      <c r="H7" s="437"/>
      <c r="I7" s="78" t="str" cm="1">
        <f t="array" ref="I7">IF(OR(ISBLANK(C7),ISBLANK(D7)),"",IF(C7&gt;D7,B7,IF(D7&gt;C7,E7,"")))</f>
        <v>Corea del Sur</v>
      </c>
      <c r="J7" s="78" t="str" cm="1">
        <f t="array" ref="J7">IF(OR(ISBLANK(C7),ISBLANK(D7)),"",IF(C7=D7,B7,""))</f>
        <v/>
      </c>
      <c r="K7" s="78" t="str" cm="1">
        <f t="array" ref="K7">IF(OR(ISBLANK(C7),ISBLANK(D7)),"",IF(C7=D7,E7,""))</f>
        <v/>
      </c>
      <c r="L7" s="78" t="str" cm="1">
        <f t="array" ref="L7">IF(OR(ISBLANK(C7),ISBLANK(D7)),"",IF(C7&lt;D7,B7,IF(D7&lt;C7,E7,"")))</f>
        <v>Sudafrica</v>
      </c>
      <c r="M7" s="172"/>
    </row>
    <row r="8" spans="1:13" ht="14.25" customHeight="1">
      <c r="A8" s="601" cm="1">
        <f t="array" ref="A8">'Groups Stage'!A9</f>
        <v>0</v>
      </c>
      <c r="B8" s="602" cm="1">
        <f t="array" ref="B8">'Groups Stage'!E9</f>
        <v>0</v>
      </c>
      <c r="C8" s="601" cm="1">
        <f t="array" ref="C8">'Groups Stage'!F9</f>
        <v>0</v>
      </c>
      <c r="D8" s="603" cm="1">
        <f t="array" ref="D8">'Groups Stage'!G9</f>
        <v>0</v>
      </c>
      <c r="E8" s="604" cm="1">
        <f t="array" ref="E8">'Groups Stage'!H9</f>
        <v>0</v>
      </c>
      <c r="F8" s="605" t="s">
        <v>318</v>
      </c>
      <c r="G8" s="606" t="str" cm="1">
        <f t="array" ref="G8">'Total Results'!D2</f>
        <v>España</v>
      </c>
      <c r="H8" s="437"/>
      <c r="I8" s="138" t="str" cm="1">
        <f t="array" ref="I8">IF(OR(ISBLANK(C8),ISBLANK(D8)),"",IF(C8&gt;D8,B8,IF(D8&gt;C8,E8,"")))</f>
        <v/>
      </c>
      <c r="J8" s="152" cm="1">
        <f t="array" ref="J8">IF(OR(ISBLANK(C8),ISBLANK(D8)),"",IF(C8=D8,B8,""))</f>
        <v>0</v>
      </c>
      <c r="K8" s="152" cm="1">
        <f t="array" ref="K8">IF(OR(ISBLANK(C8),ISBLANK(D8)),"",IF(C8=D8,E8,""))</f>
        <v>0</v>
      </c>
      <c r="L8" s="138" t="str" cm="1">
        <f t="array" ref="L8">IF(OR(ISBLANK(C8),ISBLANK(D8)),"",IF(C8&lt;D8,B8,IF(D8&lt;C8,E8,"")))</f>
        <v/>
      </c>
      <c r="M8" s="172"/>
    </row>
    <row r="9" spans="1:13" ht="14.25" customHeight="1">
      <c r="A9" s="607" cm="1">
        <f t="array" ref="A9">'Groups Stage'!A10</f>
        <v>0</v>
      </c>
      <c r="B9" s="608" cm="1">
        <f t="array" ref="B9">'Groups Stage'!E10</f>
        <v>0</v>
      </c>
      <c r="C9" s="607" cm="1">
        <f t="array" ref="C9">'Groups Stage'!F10</f>
        <v>0</v>
      </c>
      <c r="D9" s="609" cm="1">
        <f t="array" ref="D9">'Groups Stage'!G10</f>
        <v>0</v>
      </c>
      <c r="E9" s="610" cm="1">
        <f t="array" ref="E9">'Groups Stage'!H10</f>
        <v>0</v>
      </c>
      <c r="F9" s="611" t="s">
        <v>319</v>
      </c>
      <c r="G9" s="612" t="str" cm="1">
        <f t="array" ref="G9">'Total Results'!D3</f>
        <v>Argentina</v>
      </c>
      <c r="H9" s="437"/>
      <c r="I9" s="78" t="str" cm="1">
        <f t="array" ref="I9">IF(OR(ISBLANK(C9),ISBLANK(D9)),"",IF(C9&gt;D9,B9,IF(D9&gt;C9,E9,"")))</f>
        <v/>
      </c>
      <c r="J9" s="613" cm="1">
        <f t="array" ref="J9">IF(OR(ISBLANK(C9),ISBLANK(D9)),"",IF(C9=D9,B9,""))</f>
        <v>0</v>
      </c>
      <c r="K9" s="613" cm="1">
        <f t="array" ref="K9">IF(OR(ISBLANK(C9),ISBLANK(D9)),"",IF(C9=D9,E9,""))</f>
        <v>0</v>
      </c>
      <c r="L9" s="78" t="str" cm="1">
        <f t="array" ref="L9">IF(OR(ISBLANK(C9),ISBLANK(D9)),"",IF(C9&lt;D9,B9,IF(D9&lt;C9,E9,"")))</f>
        <v/>
      </c>
      <c r="M9" s="172"/>
    </row>
    <row r="10" spans="1:13" ht="14.25" customHeight="1">
      <c r="A10" s="614" t="str" cm="1">
        <f t="array" ref="A10">'Groups Stage'!A11</f>
        <v>Partido</v>
      </c>
      <c r="B10" s="615" t="str" cm="1">
        <f t="array" ref="B10">'Groups Stage'!E11</f>
        <v>Grupo B</v>
      </c>
      <c r="C10" s="616" cm="1">
        <f t="array" ref="C10">'Groups Stage'!F11</f>
        <v>0</v>
      </c>
      <c r="D10" s="617" cm="1">
        <f t="array" ref="D10">'Groups Stage'!G11</f>
        <v>0</v>
      </c>
      <c r="E10" s="618" cm="1">
        <f t="array" ref="E10">'Groups Stage'!H11</f>
        <v>0</v>
      </c>
      <c r="F10" s="611" t="s">
        <v>320</v>
      </c>
      <c r="G10" s="612" t="str" cm="1">
        <f t="array" ref="G10">'Total Results'!D5</f>
        <v>Brasil</v>
      </c>
      <c r="H10" s="437"/>
      <c r="I10" s="144" t="str" cm="1">
        <f t="array" ref="I10">IF(OR(ISBLANK(C10),ISBLANK(D10)),"",IF(C10&gt;D10,B10,IF(D10&gt;C10,E10,"")))</f>
        <v/>
      </c>
      <c r="J10" s="144" t="str" cm="1">
        <f t="array" ref="J10">IF(OR(ISBLANK(C10),ISBLANK(D10)),"",IF(C10=D10,B10,""))</f>
        <v>Grupo B</v>
      </c>
      <c r="K10" s="619" cm="1">
        <f t="array" ref="K10">IF(OR(ISBLANK(C10),ISBLANK(D10)),"",IF(C10=D10,E10,""))</f>
        <v>0</v>
      </c>
      <c r="L10" s="144" t="str" cm="1">
        <f t="array" ref="L10">IF(OR(ISBLANK(C10),ISBLANK(D10)),"",IF(C10&lt;D10,B10,IF(D10&lt;C10,E10,"")))</f>
        <v/>
      </c>
      <c r="M10" s="172"/>
    </row>
    <row r="11" spans="1:13" ht="14.25" customHeight="1">
      <c r="A11" s="584" t="str" cm="1">
        <f t="array" ref="A11">'Groups Stage'!A12</f>
        <v>GB1</v>
      </c>
      <c r="B11" s="585" t="str" cm="1">
        <f t="array" ref="B11">'Groups Stage'!E12</f>
        <v>Canada</v>
      </c>
      <c r="C11" s="586" cm="1">
        <f t="array" ref="C11">'Groups Stage'!F12</f>
        <v>1</v>
      </c>
      <c r="D11" s="587" cm="1">
        <f t="array" ref="D11">'Groups Stage'!G12</f>
        <v>0</v>
      </c>
      <c r="E11" s="588" t="str" cm="1">
        <f t="array" ref="E11">'Groups Stage'!H12</f>
        <v>Bosnia</v>
      </c>
      <c r="F11" s="620"/>
      <c r="G11" s="606"/>
      <c r="H11" s="437"/>
      <c r="I11" s="138" t="str" cm="1">
        <f t="array" ref="I11">IF(OR(ISBLANK(C11),ISBLANK(D11)),"",IF(C11&gt;D11,B11,IF(D11&gt;C11,E11,"")))</f>
        <v>Canada</v>
      </c>
      <c r="J11" s="138" t="str" cm="1">
        <f t="array" ref="J11">IF(OR(ISBLANK(C11),ISBLANK(D11)),"",IF(C11=D11,B11,""))</f>
        <v/>
      </c>
      <c r="K11" s="138" t="str" cm="1">
        <f t="array" ref="K11">IF(OR(ISBLANK(C11),ISBLANK(D11)),"",IF(C11=D11,E11,""))</f>
        <v/>
      </c>
      <c r="L11" s="138" t="str" cm="1">
        <f t="array" ref="L11">IF(OR(ISBLANK(C11),ISBLANK(D11)),"",IF(C11&lt;D11,B11,IF(D11&lt;C11,E11,"")))</f>
        <v>Bosnia</v>
      </c>
      <c r="M11" s="172"/>
    </row>
    <row r="12" spans="1:13" ht="14.25" customHeight="1">
      <c r="A12" s="589" t="str" cm="1">
        <f t="array" ref="A12">'Groups Stage'!A13</f>
        <v>GB2</v>
      </c>
      <c r="B12" s="590" t="str" cm="1">
        <f t="array" ref="B12">'Groups Stage'!E13</f>
        <v>Qatar</v>
      </c>
      <c r="C12" s="591" cm="1">
        <f t="array" ref="C12">'Groups Stage'!F13</f>
        <v>0</v>
      </c>
      <c r="D12" s="592" cm="1">
        <f t="array" ref="D12">'Groups Stage'!G13</f>
        <v>2</v>
      </c>
      <c r="E12" s="593" t="str" cm="1">
        <f t="array" ref="E12">'Groups Stage'!H13</f>
        <v>Suiza</v>
      </c>
      <c r="F12" s="620"/>
      <c r="G12" s="606"/>
      <c r="H12" s="437"/>
      <c r="I12" s="74" t="str" cm="1">
        <f t="array" ref="I12">IF(OR(ISBLANK(C12),ISBLANK(D12)),"",IF(C12&gt;D12,B12,IF(D12&gt;C12,E12,"")))</f>
        <v>Suiza</v>
      </c>
      <c r="J12" s="74" t="str" cm="1">
        <f t="array" ref="J12">IF(OR(ISBLANK(C12),ISBLANK(D12)),"",IF(C12=D12,B12,""))</f>
        <v/>
      </c>
      <c r="K12" s="74" t="str" cm="1">
        <f t="array" ref="K12">IF(OR(ISBLANK(C12),ISBLANK(D12)),"",IF(C12=D12,E12,""))</f>
        <v/>
      </c>
      <c r="L12" s="74" t="str" cm="1">
        <f t="array" ref="L12">IF(OR(ISBLANK(C12),ISBLANK(D12)),"",IF(C12&lt;D12,B12,IF(D12&lt;C12,E12,"")))</f>
        <v>Qatar</v>
      </c>
      <c r="M12" s="172"/>
    </row>
    <row r="13" spans="1:13" ht="14.25" customHeight="1">
      <c r="A13" s="589" t="str" cm="1">
        <f t="array" ref="A13">'Groups Stage'!A14</f>
        <v>GB3</v>
      </c>
      <c r="B13" s="590" t="str" cm="1">
        <f t="array" ref="B13">'Groups Stage'!E14</f>
        <v>Suiza</v>
      </c>
      <c r="C13" s="591" cm="1">
        <f t="array" ref="C13">'Groups Stage'!F14</f>
        <v>1</v>
      </c>
      <c r="D13" s="592" cm="1">
        <f t="array" ref="D13">'Groups Stage'!G14</f>
        <v>0</v>
      </c>
      <c r="E13" s="593" t="str" cm="1">
        <f t="array" ref="E13">'Groups Stage'!H14</f>
        <v>Bosnia</v>
      </c>
      <c r="F13" s="620"/>
      <c r="G13" s="606"/>
      <c r="H13" s="437"/>
      <c r="I13" s="74" t="str" cm="1">
        <f t="array" ref="I13">IF(OR(ISBLANK(C13),ISBLANK(D13)),"",IF(C13&gt;D13,B13,IF(D13&gt;C13,E13,"")))</f>
        <v>Suiza</v>
      </c>
      <c r="J13" s="74" t="str" cm="1">
        <f t="array" ref="J13">IF(OR(ISBLANK(C13),ISBLANK(D13)),"",IF(C13=D13,B13,""))</f>
        <v/>
      </c>
      <c r="K13" s="74" t="str" cm="1">
        <f t="array" ref="K13">IF(OR(ISBLANK(C13),ISBLANK(D13)),"",IF(C13=D13,E13,""))</f>
        <v/>
      </c>
      <c r="L13" s="74" t="str" cm="1">
        <f t="array" ref="L13">IF(OR(ISBLANK(C13),ISBLANK(D13)),"",IF(C13&lt;D13,B13,IF(D13&lt;C13,E13,"")))</f>
        <v>Bosnia</v>
      </c>
      <c r="M13" s="172"/>
    </row>
    <row r="14" spans="1:13" ht="14.25" customHeight="1">
      <c r="A14" s="589" t="str" cm="1">
        <f t="array" ref="A14">'Groups Stage'!A15</f>
        <v>GB4</v>
      </c>
      <c r="B14" s="590" t="str" cm="1">
        <f t="array" ref="B14">'Groups Stage'!E15</f>
        <v>Canada</v>
      </c>
      <c r="C14" s="591" cm="1">
        <f t="array" ref="C14">'Groups Stage'!F15</f>
        <v>2</v>
      </c>
      <c r="D14" s="592" cm="1">
        <f t="array" ref="D14">'Groups Stage'!G15</f>
        <v>0</v>
      </c>
      <c r="E14" s="593" t="str" cm="1">
        <f t="array" ref="E14">'Groups Stage'!H15</f>
        <v>Qatar</v>
      </c>
      <c r="F14" s="620"/>
      <c r="G14" s="606"/>
      <c r="H14" s="437"/>
      <c r="I14" s="74" t="str" cm="1">
        <f t="array" ref="I14">IF(OR(ISBLANK(C14),ISBLANK(D14)),"",IF(C14&gt;D14,B14,IF(D14&gt;C14,E14,"")))</f>
        <v>Canada</v>
      </c>
      <c r="J14" s="74" t="str" cm="1">
        <f t="array" ref="J14">IF(OR(ISBLANK(C14),ISBLANK(D14)),"",IF(C14=D14,B14,""))</f>
        <v/>
      </c>
      <c r="K14" s="74" t="str" cm="1">
        <f t="array" ref="K14">IF(OR(ISBLANK(C14),ISBLANK(D14)),"",IF(C14=D14,E14,""))</f>
        <v/>
      </c>
      <c r="L14" s="74" t="str" cm="1">
        <f t="array" ref="L14">IF(OR(ISBLANK(C14),ISBLANK(D14)),"",IF(C14&lt;D14,B14,IF(D14&lt;C14,E14,"")))</f>
        <v>Qatar</v>
      </c>
      <c r="M14" s="172"/>
    </row>
    <row r="15" spans="1:13" ht="14.25" customHeight="1">
      <c r="A15" s="589" t="str" cm="1">
        <f t="array" ref="A15">'Groups Stage'!A16</f>
        <v>GB5</v>
      </c>
      <c r="B15" s="590" t="str" cm="1">
        <f t="array" ref="B15">'Groups Stage'!E16</f>
        <v>Suiza</v>
      </c>
      <c r="C15" s="591" cm="1">
        <f t="array" ref="C15">'Groups Stage'!F16</f>
        <v>1</v>
      </c>
      <c r="D15" s="592" cm="1">
        <f t="array" ref="D15">'Groups Stage'!G16</f>
        <v>1</v>
      </c>
      <c r="E15" s="593" t="str" cm="1">
        <f t="array" ref="E15">'Groups Stage'!H16</f>
        <v>Canada</v>
      </c>
      <c r="F15" s="620"/>
      <c r="G15" s="606"/>
      <c r="H15" s="437"/>
      <c r="I15" s="74" t="str" cm="1">
        <f t="array" ref="I15">IF(OR(ISBLANK(C15),ISBLANK(D15)),"",IF(C15&gt;D15,B15,IF(D15&gt;C15,E15,"")))</f>
        <v/>
      </c>
      <c r="J15" s="74" t="str" cm="1">
        <f t="array" ref="J15">IF(OR(ISBLANK(C15),ISBLANK(D15)),"",IF(C15=D15,B15,""))</f>
        <v>Suiza</v>
      </c>
      <c r="K15" s="74" t="str" cm="1">
        <f t="array" ref="K15">IF(OR(ISBLANK(C15),ISBLANK(D15)),"",IF(C15=D15,E15,""))</f>
        <v>Canada</v>
      </c>
      <c r="L15" s="74" t="str" cm="1">
        <f t="array" ref="L15">IF(OR(ISBLANK(C15),ISBLANK(D15)),"",IF(C15&lt;D15,B15,IF(D15&lt;C15,E15,"")))</f>
        <v/>
      </c>
      <c r="M15" s="172"/>
    </row>
    <row r="16" spans="1:13" ht="14.25" customHeight="1">
      <c r="A16" s="594" t="str" cm="1">
        <f t="array" ref="A16">'Groups Stage'!A17</f>
        <v>GB6</v>
      </c>
      <c r="B16" s="595" t="str" cm="1">
        <f t="array" ref="B16">'Groups Stage'!E17</f>
        <v>Bosnia</v>
      </c>
      <c r="C16" s="596" cm="1">
        <f t="array" ref="C16">'Groups Stage'!F17</f>
        <v>1</v>
      </c>
      <c r="D16" s="597" cm="1">
        <f t="array" ref="D16">'Groups Stage'!G17</f>
        <v>1</v>
      </c>
      <c r="E16" s="598" t="str" cm="1">
        <f t="array" ref="E16">'Groups Stage'!H17</f>
        <v>Qatar</v>
      </c>
      <c r="F16" s="620"/>
      <c r="G16" s="606"/>
      <c r="H16" s="437"/>
      <c r="I16" s="78" t="str" cm="1">
        <f t="array" ref="I16">IF(OR(ISBLANK(C16),ISBLANK(D16)),"",IF(C16&gt;D16,B16,IF(D16&gt;C16,E16,"")))</f>
        <v/>
      </c>
      <c r="J16" s="78" t="str" cm="1">
        <f t="array" ref="J16">IF(OR(ISBLANK(C16),ISBLANK(D16)),"",IF(C16=D16,B16,""))</f>
        <v>Bosnia</v>
      </c>
      <c r="K16" s="78" t="str" cm="1">
        <f t="array" ref="K16">IF(OR(ISBLANK(C16),ISBLANK(D16)),"",IF(C16=D16,E16,""))</f>
        <v>Qatar</v>
      </c>
      <c r="L16" s="78" t="str" cm="1">
        <f t="array" ref="L16">IF(OR(ISBLANK(C16),ISBLANK(D16)),"",IF(C16&lt;D16,B16,IF(D16&lt;C16,E16,"")))</f>
        <v/>
      </c>
      <c r="M16" s="172"/>
    </row>
    <row r="17" spans="1:13" ht="14.25" customHeight="1">
      <c r="A17" s="601" cm="1">
        <f t="array" ref="A17">'Groups Stage'!A18</f>
        <v>0</v>
      </c>
      <c r="B17" s="602" cm="1">
        <f t="array" ref="B17">'Groups Stage'!E18</f>
        <v>0</v>
      </c>
      <c r="C17" s="601" cm="1">
        <f t="array" ref="C17">'Groups Stage'!F18</f>
        <v>0</v>
      </c>
      <c r="D17" s="603" cm="1">
        <f t="array" ref="D17">'Groups Stage'!G18</f>
        <v>0</v>
      </c>
      <c r="E17" s="604" cm="1">
        <f t="array" ref="E17">'Groups Stage'!H18</f>
        <v>0</v>
      </c>
      <c r="F17" s="620"/>
      <c r="G17" s="606"/>
      <c r="H17" s="437"/>
      <c r="I17" s="138" t="str" cm="1">
        <f t="array" ref="I17">IF(OR(ISBLANK(C17),ISBLANK(D17)),"",IF(C17&gt;D17,B17,IF(D17&gt;C17,E17,"")))</f>
        <v/>
      </c>
      <c r="J17" s="152" cm="1">
        <f t="array" ref="J17">IF(OR(ISBLANK(C17),ISBLANK(D17)),"",IF(C17=D17,B17,""))</f>
        <v>0</v>
      </c>
      <c r="K17" s="152" cm="1">
        <f t="array" ref="K17">IF(OR(ISBLANK(C17),ISBLANK(D17)),"",IF(C17=D17,E17,""))</f>
        <v>0</v>
      </c>
      <c r="L17" s="138" t="str" cm="1">
        <f t="array" ref="L17">IF(OR(ISBLANK(C17),ISBLANK(D17)),"",IF(C17&lt;D17,B17,IF(D17&lt;C17,E17,"")))</f>
        <v/>
      </c>
      <c r="M17" s="172"/>
    </row>
    <row r="18" spans="1:13" ht="14.25" customHeight="1">
      <c r="A18" s="607" cm="1">
        <f t="array" ref="A18">'Groups Stage'!A19</f>
        <v>0</v>
      </c>
      <c r="B18" s="608" cm="1">
        <f t="array" ref="B18">'Groups Stage'!E19</f>
        <v>0</v>
      </c>
      <c r="C18" s="607" cm="1">
        <f t="array" ref="C18">'Groups Stage'!F19</f>
        <v>0</v>
      </c>
      <c r="D18" s="609" cm="1">
        <f t="array" ref="D18">'Groups Stage'!G19</f>
        <v>0</v>
      </c>
      <c r="E18" s="610" cm="1">
        <f t="array" ref="E18">'Groups Stage'!H19</f>
        <v>0</v>
      </c>
      <c r="F18" s="620"/>
      <c r="G18" s="606"/>
      <c r="H18" s="437"/>
      <c r="I18" s="78" t="str" cm="1">
        <f t="array" ref="I18">IF(OR(ISBLANK(C18),ISBLANK(D18)),"",IF(C18&gt;D18,B18,IF(D18&gt;C18,E18,"")))</f>
        <v/>
      </c>
      <c r="J18" s="613" cm="1">
        <f t="array" ref="J18">IF(OR(ISBLANK(C18),ISBLANK(D18)),"",IF(C18=D18,B18,""))</f>
        <v>0</v>
      </c>
      <c r="K18" s="613" cm="1">
        <f t="array" ref="K18">IF(OR(ISBLANK(C18),ISBLANK(D18)),"",IF(C18=D18,E18,""))</f>
        <v>0</v>
      </c>
      <c r="L18" s="78" t="str" cm="1">
        <f t="array" ref="L18">IF(OR(ISBLANK(C18),ISBLANK(D18)),"",IF(C18&lt;D18,B18,IF(D18&lt;C18,E18,"")))</f>
        <v/>
      </c>
      <c r="M18" s="172"/>
    </row>
    <row r="19" spans="1:13" ht="14.25" customHeight="1">
      <c r="A19" s="614" t="str" cm="1">
        <f t="array" ref="A19">'Groups Stage'!A20</f>
        <v>Partido</v>
      </c>
      <c r="B19" s="615" t="str" cm="1">
        <f t="array" ref="B19">'Groups Stage'!E20</f>
        <v>Grupo C</v>
      </c>
      <c r="C19" s="616" cm="1">
        <f t="array" ref="C19">'Groups Stage'!F20</f>
        <v>0</v>
      </c>
      <c r="D19" s="617" cm="1">
        <f t="array" ref="D19">'Groups Stage'!G20</f>
        <v>0</v>
      </c>
      <c r="E19" s="618" cm="1">
        <f t="array" ref="E19">'Groups Stage'!H20</f>
        <v>0</v>
      </c>
      <c r="F19" s="620"/>
      <c r="G19" s="606"/>
      <c r="H19" s="437"/>
      <c r="I19" s="144" t="str" cm="1">
        <f t="array" ref="I19">IF(OR(ISBLANK(C19),ISBLANK(D19)),"",IF(C19&gt;D19,B19,IF(D19&gt;C19,E19,"")))</f>
        <v/>
      </c>
      <c r="J19" s="144" t="str" cm="1">
        <f t="array" ref="J19">IF(OR(ISBLANK(C19),ISBLANK(D19)),"",IF(C19=D19,B19,""))</f>
        <v>Grupo C</v>
      </c>
      <c r="K19" s="619" cm="1">
        <f t="array" ref="K19">IF(OR(ISBLANK(C19),ISBLANK(D19)),"",IF(C19=D19,E19,""))</f>
        <v>0</v>
      </c>
      <c r="L19" s="144" t="str" cm="1">
        <f t="array" ref="L19">IF(OR(ISBLANK(C19),ISBLANK(D19)),"",IF(C19&lt;D19,B19,IF(D19&lt;C19,E19,"")))</f>
        <v/>
      </c>
      <c r="M19" s="172"/>
    </row>
    <row r="20" spans="1:13" ht="14.25" customHeight="1">
      <c r="A20" s="584" t="str" cm="1">
        <f t="array" ref="A20">'Groups Stage'!A21</f>
        <v>GC1</v>
      </c>
      <c r="B20" s="585" t="str" cm="1">
        <f t="array" ref="B20">'Groups Stage'!E21</f>
        <v>Brasil</v>
      </c>
      <c r="C20" s="586" cm="1">
        <f t="array" ref="C20">'Groups Stage'!F21</f>
        <v>2</v>
      </c>
      <c r="D20" s="587" cm="1">
        <f t="array" ref="D20">'Groups Stage'!G21</f>
        <v>1</v>
      </c>
      <c r="E20" s="588" t="str" cm="1">
        <f t="array" ref="E20">'Groups Stage'!H21</f>
        <v>Marruecos</v>
      </c>
      <c r="F20" s="620"/>
      <c r="G20" s="606"/>
      <c r="H20" s="437"/>
      <c r="I20" s="138" t="str" cm="1">
        <f t="array" ref="I20">IF(OR(ISBLANK(C20),ISBLANK(D20)),"",IF(C20&gt;D20,B20,IF(D20&gt;C20,E20,"")))</f>
        <v>Brasil</v>
      </c>
      <c r="J20" s="138" t="str" cm="1">
        <f t="array" ref="J20">IF(OR(ISBLANK(C20),ISBLANK(D20)),"",IF(C20=D20,B20,""))</f>
        <v/>
      </c>
      <c r="K20" s="138" t="str" cm="1">
        <f t="array" ref="K20">IF(OR(ISBLANK(C20),ISBLANK(D20)),"",IF(C20=D20,E20,""))</f>
        <v/>
      </c>
      <c r="L20" s="138" t="str" cm="1">
        <f t="array" ref="L20">IF(OR(ISBLANK(C20),ISBLANK(D20)),"",IF(C20&lt;D20,B20,IF(D20&lt;C20,E20,"")))</f>
        <v>Marruecos</v>
      </c>
      <c r="M20" s="172"/>
    </row>
    <row r="21" spans="1:13" ht="14.25" customHeight="1">
      <c r="A21" s="589" t="str" cm="1">
        <f t="array" ref="A21">'Groups Stage'!A22</f>
        <v>GC2</v>
      </c>
      <c r="B21" s="590" t="str" cm="1">
        <f t="array" ref="B21">'Groups Stage'!E22</f>
        <v>Haiti</v>
      </c>
      <c r="C21" s="591" cm="1">
        <f t="array" ref="C21">'Groups Stage'!F22</f>
        <v>0</v>
      </c>
      <c r="D21" s="592" cm="1">
        <f t="array" ref="D21">'Groups Stage'!G22</f>
        <v>3</v>
      </c>
      <c r="E21" s="593" t="str" cm="1">
        <f t="array" ref="E21">'Groups Stage'!H22</f>
        <v>Escocia</v>
      </c>
      <c r="F21" s="620"/>
      <c r="G21" s="606"/>
      <c r="H21" s="437"/>
      <c r="I21" s="74" t="str" cm="1">
        <f t="array" ref="I21">IF(OR(ISBLANK(C21),ISBLANK(D21)),"",IF(C21&gt;D21,B21,IF(D21&gt;C21,E21,"")))</f>
        <v>Escocia</v>
      </c>
      <c r="J21" s="74" t="str" cm="1">
        <f t="array" ref="J21">IF(OR(ISBLANK(C21),ISBLANK(D21)),"",IF(C21=D21,B21,""))</f>
        <v/>
      </c>
      <c r="K21" s="74" t="str" cm="1">
        <f t="array" ref="K21">IF(OR(ISBLANK(C21),ISBLANK(D21)),"",IF(C21=D21,E21,""))</f>
        <v/>
      </c>
      <c r="L21" s="74" t="str" cm="1">
        <f t="array" ref="L21">IF(OR(ISBLANK(C21),ISBLANK(D21)),"",IF(C21&lt;D21,B21,IF(D21&lt;C21,E21,"")))</f>
        <v>Haiti</v>
      </c>
      <c r="M21" s="172"/>
    </row>
    <row r="22" spans="1:13" ht="14.25" customHeight="1">
      <c r="A22" s="589" t="str" cm="1">
        <f t="array" ref="A22">'Groups Stage'!A23</f>
        <v>GC3</v>
      </c>
      <c r="B22" s="590" t="str" cm="1">
        <f t="array" ref="B22">'Groups Stage'!E23</f>
        <v>Brasil</v>
      </c>
      <c r="C22" s="591" cm="1">
        <f t="array" ref="C22">'Groups Stage'!F23</f>
        <v>3</v>
      </c>
      <c r="D22" s="592" cm="1">
        <f t="array" ref="D22">'Groups Stage'!G23</f>
        <v>0</v>
      </c>
      <c r="E22" s="593" t="str" cm="1">
        <f t="array" ref="E22">'Groups Stage'!H23</f>
        <v>Haiti</v>
      </c>
      <c r="F22" s="620"/>
      <c r="G22" s="606"/>
      <c r="H22" s="437"/>
      <c r="I22" s="74" t="str" cm="1">
        <f t="array" ref="I22">IF(OR(ISBLANK(C22),ISBLANK(D22)),"",IF(C22&gt;D22,B22,IF(D22&gt;C22,E22,"")))</f>
        <v>Brasil</v>
      </c>
      <c r="J22" s="74" t="str" cm="1">
        <f t="array" ref="J22">IF(OR(ISBLANK(C22),ISBLANK(D22)),"",IF(C22=D22,B22,""))</f>
        <v/>
      </c>
      <c r="K22" s="74" t="str" cm="1">
        <f t="array" ref="K22">IF(OR(ISBLANK(C22),ISBLANK(D22)),"",IF(C22=D22,E22,""))</f>
        <v/>
      </c>
      <c r="L22" s="74" t="str" cm="1">
        <f t="array" ref="L22">IF(OR(ISBLANK(C22),ISBLANK(D22)),"",IF(C22&lt;D22,B22,IF(D22&lt;C22,E22,"")))</f>
        <v>Haiti</v>
      </c>
      <c r="M22" s="172"/>
    </row>
    <row r="23" spans="1:13" ht="14.25" customHeight="1">
      <c r="A23" s="589" t="str" cm="1">
        <f t="array" ref="A23">'Groups Stage'!A24</f>
        <v>GC4</v>
      </c>
      <c r="B23" s="590" t="str" cm="1">
        <f t="array" ref="B23">'Groups Stage'!E24</f>
        <v>Escocia</v>
      </c>
      <c r="C23" s="591" cm="1">
        <f t="array" ref="C23">'Groups Stage'!F24</f>
        <v>1</v>
      </c>
      <c r="D23" s="592" cm="1">
        <f t="array" ref="D23">'Groups Stage'!G24</f>
        <v>2</v>
      </c>
      <c r="E23" s="593" t="str" cm="1">
        <f t="array" ref="E23">'Groups Stage'!H24</f>
        <v>Marruecos</v>
      </c>
      <c r="F23" s="620"/>
      <c r="G23" s="606"/>
      <c r="H23" s="437"/>
      <c r="I23" s="74" t="str" cm="1">
        <f t="array" ref="I23">IF(OR(ISBLANK(C23),ISBLANK(D23)),"",IF(C23&gt;D23,B23,IF(D23&gt;C23,E23,"")))</f>
        <v>Marruecos</v>
      </c>
      <c r="J23" s="74" t="str" cm="1">
        <f t="array" ref="J23">IF(OR(ISBLANK(C23),ISBLANK(D23)),"",IF(C23=D23,B23,""))</f>
        <v/>
      </c>
      <c r="K23" s="74" t="str" cm="1">
        <f t="array" ref="K23">IF(OR(ISBLANK(C23),ISBLANK(D23)),"",IF(C23=D23,E23,""))</f>
        <v/>
      </c>
      <c r="L23" s="74" t="str" cm="1">
        <f t="array" ref="L23">IF(OR(ISBLANK(C23),ISBLANK(D23)),"",IF(C23&lt;D23,B23,IF(D23&lt;C23,E23,"")))</f>
        <v>Escocia</v>
      </c>
      <c r="M23" s="172"/>
    </row>
    <row r="24" spans="1:13" ht="14.25" customHeight="1">
      <c r="A24" s="589" t="str" cm="1">
        <f t="array" ref="A24">'Groups Stage'!A25</f>
        <v>GC5</v>
      </c>
      <c r="B24" s="590" t="str" cm="1">
        <f t="array" ref="B24">'Groups Stage'!E25</f>
        <v>Escocia</v>
      </c>
      <c r="C24" s="591" cm="1">
        <f t="array" ref="C24">'Groups Stage'!F25</f>
        <v>1</v>
      </c>
      <c r="D24" s="592" cm="1">
        <f t="array" ref="D24">'Groups Stage'!G25</f>
        <v>2</v>
      </c>
      <c r="E24" s="593" t="str" cm="1">
        <f t="array" ref="E24">'Groups Stage'!H25</f>
        <v>Brasil</v>
      </c>
      <c r="F24" s="620"/>
      <c r="G24" s="606"/>
      <c r="H24" s="437"/>
      <c r="I24" s="74" t="str" cm="1">
        <f t="array" ref="I24">IF(OR(ISBLANK(C24),ISBLANK(D24)),"",IF(C24&gt;D24,B24,IF(D24&gt;C24,E24,"")))</f>
        <v>Brasil</v>
      </c>
      <c r="J24" s="74" t="str" cm="1">
        <f t="array" ref="J24">IF(OR(ISBLANK(C24),ISBLANK(D24)),"",IF(C24=D24,B24,""))</f>
        <v/>
      </c>
      <c r="K24" s="74" t="str" cm="1">
        <f t="array" ref="K24">IF(OR(ISBLANK(C24),ISBLANK(D24)),"",IF(C24=D24,E24,""))</f>
        <v/>
      </c>
      <c r="L24" s="74" t="str" cm="1">
        <f t="array" ref="L24">IF(OR(ISBLANK(C24),ISBLANK(D24)),"",IF(C24&lt;D24,B24,IF(D24&lt;C24,E24,"")))</f>
        <v>Escocia</v>
      </c>
      <c r="M24" s="172"/>
    </row>
    <row r="25" spans="1:13" ht="14.25" customHeight="1">
      <c r="A25" s="594" t="str" cm="1">
        <f t="array" ref="A25">'Groups Stage'!A26</f>
        <v>GC6</v>
      </c>
      <c r="B25" s="595" t="str" cm="1">
        <f t="array" ref="B25">'Groups Stage'!E26</f>
        <v>Marruecos</v>
      </c>
      <c r="C25" s="596" cm="1">
        <f t="array" ref="C25">'Groups Stage'!F26</f>
        <v>3</v>
      </c>
      <c r="D25" s="597" cm="1">
        <f t="array" ref="D25">'Groups Stage'!G26</f>
        <v>0</v>
      </c>
      <c r="E25" s="598" t="str" cm="1">
        <f t="array" ref="E25">'Groups Stage'!H26</f>
        <v>Haiti</v>
      </c>
      <c r="F25" s="620"/>
      <c r="G25" s="606"/>
      <c r="H25" s="437"/>
      <c r="I25" s="78" t="str" cm="1">
        <f t="array" ref="I25">IF(OR(ISBLANK(C25),ISBLANK(D25)),"",IF(C25&gt;D25,B25,IF(D25&gt;C25,E25,"")))</f>
        <v>Marruecos</v>
      </c>
      <c r="J25" s="78" t="str" cm="1">
        <f t="array" ref="J25">IF(OR(ISBLANK(C25),ISBLANK(D25)),"",IF(C25=D25,B25,""))</f>
        <v/>
      </c>
      <c r="K25" s="78" t="str" cm="1">
        <f t="array" ref="K25">IF(OR(ISBLANK(C25),ISBLANK(D25)),"",IF(C25=D25,E25,""))</f>
        <v/>
      </c>
      <c r="L25" s="78" t="str" cm="1">
        <f t="array" ref="L25">IF(OR(ISBLANK(C25),ISBLANK(D25)),"",IF(C25&lt;D25,B25,IF(D25&lt;C25,E25,"")))</f>
        <v>Haiti</v>
      </c>
      <c r="M25" s="172"/>
    </row>
    <row r="26" spans="1:13" ht="14.25" customHeight="1">
      <c r="A26" s="601" cm="1">
        <f t="array" ref="A26">'Groups Stage'!A27</f>
        <v>0</v>
      </c>
      <c r="B26" s="602" cm="1">
        <f t="array" ref="B26">'Groups Stage'!E27</f>
        <v>0</v>
      </c>
      <c r="C26" s="601" cm="1">
        <f t="array" ref="C26">'Groups Stage'!F27</f>
        <v>0</v>
      </c>
      <c r="D26" s="603" cm="1">
        <f t="array" ref="D26">'Groups Stage'!G27</f>
        <v>0</v>
      </c>
      <c r="E26" s="604" cm="1">
        <f t="array" ref="E26">'Groups Stage'!H27</f>
        <v>0</v>
      </c>
      <c r="F26" s="620"/>
      <c r="G26" s="606"/>
      <c r="H26" s="437"/>
      <c r="I26" s="138" t="str" cm="1">
        <f t="array" ref="I26">IF(OR(ISBLANK(C26),ISBLANK(D26)),"",IF(C26&gt;D26,B26,IF(D26&gt;C26,E26,"")))</f>
        <v/>
      </c>
      <c r="J26" s="152" cm="1">
        <f t="array" ref="J26">IF(OR(ISBLANK(C26),ISBLANK(D26)),"",IF(C26=D26,B26,""))</f>
        <v>0</v>
      </c>
      <c r="K26" s="152" cm="1">
        <f t="array" ref="K26">IF(OR(ISBLANK(C26),ISBLANK(D26)),"",IF(C26=D26,E26,""))</f>
        <v>0</v>
      </c>
      <c r="L26" s="138" t="str" cm="1">
        <f t="array" ref="L26">IF(OR(ISBLANK(C26),ISBLANK(D26)),"",IF(C26&lt;D26,B26,IF(D26&lt;C26,E26,"")))</f>
        <v/>
      </c>
      <c r="M26" s="172"/>
    </row>
    <row r="27" spans="1:13" ht="14.25" customHeight="1">
      <c r="A27" s="607" cm="1">
        <f t="array" ref="A27">'Groups Stage'!A28</f>
        <v>0</v>
      </c>
      <c r="B27" s="608" cm="1">
        <f t="array" ref="B27">'Groups Stage'!E28</f>
        <v>0</v>
      </c>
      <c r="C27" s="607" cm="1">
        <f t="array" ref="C27">'Groups Stage'!F28</f>
        <v>0</v>
      </c>
      <c r="D27" s="609" cm="1">
        <f t="array" ref="D27">'Groups Stage'!G28</f>
        <v>0</v>
      </c>
      <c r="E27" s="610" cm="1">
        <f t="array" ref="E27">'Groups Stage'!H28</f>
        <v>0</v>
      </c>
      <c r="F27" s="620"/>
      <c r="G27" s="606"/>
      <c r="H27" s="437"/>
      <c r="I27" s="78" t="str" cm="1">
        <f t="array" ref="I27">IF(OR(ISBLANK(C27),ISBLANK(D27)),"",IF(C27&gt;D27,B27,IF(D27&gt;C27,E27,"")))</f>
        <v/>
      </c>
      <c r="J27" s="613" cm="1">
        <f t="array" ref="J27">IF(OR(ISBLANK(C27),ISBLANK(D27)),"",IF(C27=D27,B27,""))</f>
        <v>0</v>
      </c>
      <c r="K27" s="613" cm="1">
        <f t="array" ref="K27">IF(OR(ISBLANK(C27),ISBLANK(D27)),"",IF(C27=D27,E27,""))</f>
        <v>0</v>
      </c>
      <c r="L27" s="78" t="str" cm="1">
        <f t="array" ref="L27">IF(OR(ISBLANK(C27),ISBLANK(D27)),"",IF(C27&lt;D27,B27,IF(D27&lt;C27,E27,"")))</f>
        <v/>
      </c>
      <c r="M27" s="172"/>
    </row>
    <row r="28" spans="1:13" ht="14.25" customHeight="1">
      <c r="A28" s="614" t="str" cm="1">
        <f t="array" ref="A28">'Groups Stage'!A29</f>
        <v>Partido</v>
      </c>
      <c r="B28" s="615" t="str" cm="1">
        <f t="array" ref="B28">'Groups Stage'!E29</f>
        <v>Grupo D</v>
      </c>
      <c r="C28" s="616" cm="1">
        <f t="array" ref="C28">'Groups Stage'!F29</f>
        <v>0</v>
      </c>
      <c r="D28" s="617" cm="1">
        <f t="array" ref="D28">'Groups Stage'!G29</f>
        <v>0</v>
      </c>
      <c r="E28" s="618" cm="1">
        <f t="array" ref="E28">'Groups Stage'!H29</f>
        <v>0</v>
      </c>
      <c r="F28" s="620"/>
      <c r="G28" s="606"/>
      <c r="H28" s="437"/>
      <c r="I28" s="144" t="str" cm="1">
        <f t="array" ref="I28">IF(OR(ISBLANK(C28),ISBLANK(D28)),"",IF(C28&gt;D28,B28,IF(D28&gt;C28,E28,"")))</f>
        <v/>
      </c>
      <c r="J28" s="144" t="str" cm="1">
        <f t="array" ref="J28">IF(OR(ISBLANK(C28),ISBLANK(D28)),"",IF(C28=D28,B28,""))</f>
        <v>Grupo D</v>
      </c>
      <c r="K28" s="619" cm="1">
        <f t="array" ref="K28">IF(OR(ISBLANK(C28),ISBLANK(D28)),"",IF(C28=D28,E28,""))</f>
        <v>0</v>
      </c>
      <c r="L28" s="144" t="str" cm="1">
        <f t="array" ref="L28">IF(OR(ISBLANK(C28),ISBLANK(D28)),"",IF(C28&lt;D28,B28,IF(D28&lt;C28,E28,"")))</f>
        <v/>
      </c>
      <c r="M28" s="172"/>
    </row>
    <row r="29" spans="1:13" ht="14.25" customHeight="1">
      <c r="A29" s="584" t="str" cm="1">
        <f t="array" ref="A29">'Groups Stage'!A30</f>
        <v>GD1</v>
      </c>
      <c r="B29" s="585" t="str" cm="1">
        <f t="array" ref="B29">'Groups Stage'!E30</f>
        <v>Estados Unidos</v>
      </c>
      <c r="C29" s="586" cm="1">
        <f t="array" ref="C29">'Groups Stage'!F30</f>
        <v>1</v>
      </c>
      <c r="D29" s="587" cm="1">
        <f t="array" ref="D29">'Groups Stage'!G30</f>
        <v>1</v>
      </c>
      <c r="E29" s="588" t="str" cm="1">
        <f t="array" ref="E29">'Groups Stage'!H30</f>
        <v>Paraguay</v>
      </c>
      <c r="F29" s="620"/>
      <c r="G29" s="606"/>
      <c r="H29" s="437"/>
      <c r="I29" s="138" t="str" cm="1">
        <f t="array" ref="I29">IF(OR(ISBLANK(C29),ISBLANK(D29)),"",IF(C29&gt;D29,B29,IF(D29&gt;C29,E29,"")))</f>
        <v/>
      </c>
      <c r="J29" s="138" t="str" cm="1">
        <f t="array" ref="J29">IF(OR(ISBLANK(C29),ISBLANK(D29)),"",IF(C29=D29,B29,""))</f>
        <v>Estados Unidos</v>
      </c>
      <c r="K29" s="138" t="str" cm="1">
        <f t="array" ref="K29">IF(OR(ISBLANK(C29),ISBLANK(D29)),"",IF(C29=D29,E29,""))</f>
        <v>Paraguay</v>
      </c>
      <c r="L29" s="138" t="str" cm="1">
        <f t="array" ref="L29">IF(OR(ISBLANK(C29),ISBLANK(D29)),"",IF(C29&lt;D29,B29,IF(D29&lt;C29,E29,"")))</f>
        <v/>
      </c>
      <c r="M29" s="172"/>
    </row>
    <row r="30" spans="1:13" ht="14.25" customHeight="1">
      <c r="A30" s="589" t="str" cm="1">
        <f t="array" ref="A30">'Groups Stage'!A31</f>
        <v>GD2</v>
      </c>
      <c r="B30" s="590" t="str" cm="1">
        <f t="array" ref="B30">'Groups Stage'!E31</f>
        <v>Australia</v>
      </c>
      <c r="C30" s="591" cm="1">
        <f t="array" ref="C30">'Groups Stage'!F31</f>
        <v>0</v>
      </c>
      <c r="D30" s="592" cm="1">
        <f t="array" ref="D30">'Groups Stage'!G31</f>
        <v>1</v>
      </c>
      <c r="E30" s="593" t="str" cm="1">
        <f t="array" ref="E30">'Groups Stage'!H31</f>
        <v>Turquia</v>
      </c>
      <c r="F30" s="620"/>
      <c r="G30" s="606"/>
      <c r="H30" s="437"/>
      <c r="I30" s="74" t="str" cm="1">
        <f t="array" ref="I30">IF(OR(ISBLANK(C30),ISBLANK(D30)),"",IF(C30&gt;D30,B30,IF(D30&gt;C30,E30,"")))</f>
        <v>Turquia</v>
      </c>
      <c r="J30" s="74" t="str" cm="1">
        <f t="array" ref="J30">IF(OR(ISBLANK(C30),ISBLANK(D30)),"",IF(C30=D30,B30,""))</f>
        <v/>
      </c>
      <c r="K30" s="74" t="str" cm="1">
        <f t="array" ref="K30">IF(OR(ISBLANK(C30),ISBLANK(D30)),"",IF(C30=D30,E30,""))</f>
        <v/>
      </c>
      <c r="L30" s="74" t="str" cm="1">
        <f t="array" ref="L30">IF(OR(ISBLANK(C30),ISBLANK(D30)),"",IF(C30&lt;D30,B30,IF(D30&lt;C30,E30,"")))</f>
        <v>Australia</v>
      </c>
      <c r="M30" s="172"/>
    </row>
    <row r="31" spans="1:13" ht="14.25" customHeight="1">
      <c r="A31" s="589" t="str" cm="1">
        <f t="array" ref="A31">'Groups Stage'!A32</f>
        <v>GD3</v>
      </c>
      <c r="B31" s="590" t="str" cm="1">
        <f t="array" ref="B31">'Groups Stage'!E32</f>
        <v>Turquia</v>
      </c>
      <c r="C31" s="591" cm="1">
        <f t="array" ref="C31">'Groups Stage'!F32</f>
        <v>1</v>
      </c>
      <c r="D31" s="592" cm="1">
        <f t="array" ref="D31">'Groups Stage'!G32</f>
        <v>1</v>
      </c>
      <c r="E31" s="593" t="str" cm="1">
        <f t="array" ref="E31">'Groups Stage'!H32</f>
        <v>Paraguay</v>
      </c>
      <c r="F31" s="620"/>
      <c r="G31" s="606"/>
      <c r="H31" s="437"/>
      <c r="I31" s="74" t="str" cm="1">
        <f t="array" ref="I31">IF(OR(ISBLANK(C31),ISBLANK(D31)),"",IF(C31&gt;D31,B31,IF(D31&gt;C31,E31,"")))</f>
        <v/>
      </c>
      <c r="J31" s="74" t="str" cm="1">
        <f t="array" ref="J31">IF(OR(ISBLANK(C31),ISBLANK(D31)),"",IF(C31=D31,B31,""))</f>
        <v>Turquia</v>
      </c>
      <c r="K31" s="74" t="str" cm="1">
        <f t="array" ref="K31">IF(OR(ISBLANK(C31),ISBLANK(D31)),"",IF(C31=D31,E31,""))</f>
        <v>Paraguay</v>
      </c>
      <c r="L31" s="74" t="str" cm="1">
        <f t="array" ref="L31">IF(OR(ISBLANK(C31),ISBLANK(D31)),"",IF(C31&lt;D31,B31,IF(D31&lt;C31,E31,"")))</f>
        <v/>
      </c>
      <c r="M31" s="172"/>
    </row>
    <row r="32" spans="1:13" ht="14.25" customHeight="1">
      <c r="A32" s="589" t="str" cm="1">
        <f t="array" ref="A32">'Groups Stage'!A33</f>
        <v>GD4</v>
      </c>
      <c r="B32" s="590" t="str" cm="1">
        <f t="array" ref="B32">'Groups Stage'!E33</f>
        <v>Estados Unidos</v>
      </c>
      <c r="C32" s="591" cm="1">
        <f t="array" ref="C32">'Groups Stage'!F33</f>
        <v>2</v>
      </c>
      <c r="D32" s="592" cm="1">
        <f t="array" ref="D32">'Groups Stage'!G33</f>
        <v>1</v>
      </c>
      <c r="E32" s="593" t="str" cm="1">
        <f t="array" ref="E32">'Groups Stage'!H33</f>
        <v>Australia</v>
      </c>
      <c r="F32" s="620"/>
      <c r="G32" s="606"/>
      <c r="H32" s="437"/>
      <c r="I32" s="74" t="str" cm="1">
        <f t="array" ref="I32">IF(OR(ISBLANK(C32),ISBLANK(D32)),"",IF(C32&gt;D32,B32,IF(D32&gt;C32,E32,"")))</f>
        <v>Estados Unidos</v>
      </c>
      <c r="J32" s="74" t="str" cm="1">
        <f t="array" ref="J32">IF(OR(ISBLANK(C32),ISBLANK(D32)),"",IF(C32=D32,B32,""))</f>
        <v/>
      </c>
      <c r="K32" s="74" t="str" cm="1">
        <f t="array" ref="K32">IF(OR(ISBLANK(C32),ISBLANK(D32)),"",IF(C32=D32,E32,""))</f>
        <v/>
      </c>
      <c r="L32" s="74" t="str" cm="1">
        <f t="array" ref="L32">IF(OR(ISBLANK(C32),ISBLANK(D32)),"",IF(C32&lt;D32,B32,IF(D32&lt;C32,E32,"")))</f>
        <v>Australia</v>
      </c>
      <c r="M32" s="172"/>
    </row>
    <row r="33" spans="1:13" ht="14.25" customHeight="1">
      <c r="A33" s="589" t="str" cm="1">
        <f t="array" ref="A33">'Groups Stage'!A34</f>
        <v>GD5</v>
      </c>
      <c r="B33" s="590" t="str" cm="1">
        <f t="array" ref="B33">'Groups Stage'!E34</f>
        <v>Turquia</v>
      </c>
      <c r="C33" s="591" cm="1">
        <f t="array" ref="C33">'Groups Stage'!F34</f>
        <v>0</v>
      </c>
      <c r="D33" s="592" cm="1">
        <f t="array" ref="D33">'Groups Stage'!G34</f>
        <v>1</v>
      </c>
      <c r="E33" s="593" t="str" cm="1">
        <f t="array" ref="E33">'Groups Stage'!H34</f>
        <v>Estados Unidos</v>
      </c>
      <c r="F33" s="620"/>
      <c r="G33" s="606"/>
      <c r="H33" s="437"/>
      <c r="I33" s="74" t="str" cm="1">
        <f t="array" ref="I33">IF(OR(ISBLANK(C33),ISBLANK(D33)),"",IF(C33&gt;D33,B33,IF(D33&gt;C33,E33,"")))</f>
        <v>Estados Unidos</v>
      </c>
      <c r="J33" s="74" t="str" cm="1">
        <f t="array" ref="J33">IF(OR(ISBLANK(C33),ISBLANK(D33)),"",IF(C33=D33,B33,""))</f>
        <v/>
      </c>
      <c r="K33" s="74" t="str" cm="1">
        <f t="array" ref="K33">IF(OR(ISBLANK(C33),ISBLANK(D33)),"",IF(C33=D33,E33,""))</f>
        <v/>
      </c>
      <c r="L33" s="74" t="str" cm="1">
        <f t="array" ref="L33">IF(OR(ISBLANK(C33),ISBLANK(D33)),"",IF(C33&lt;D33,B33,IF(D33&lt;C33,E33,"")))</f>
        <v>Turquia</v>
      </c>
      <c r="M33" s="172"/>
    </row>
    <row r="34" spans="1:13" ht="14.25" customHeight="1">
      <c r="A34" s="594" t="str" cm="1">
        <f t="array" ref="A34">'Groups Stage'!A35</f>
        <v>GD6</v>
      </c>
      <c r="B34" s="595" t="str" cm="1">
        <f t="array" ref="B34">'Groups Stage'!E35</f>
        <v>Paraguay</v>
      </c>
      <c r="C34" s="596" cm="1">
        <f t="array" ref="C34">'Groups Stage'!F35</f>
        <v>2</v>
      </c>
      <c r="D34" s="597" cm="1">
        <f t="array" ref="D34">'Groups Stage'!G35</f>
        <v>1</v>
      </c>
      <c r="E34" s="598" t="str" cm="1">
        <f t="array" ref="E34">'Groups Stage'!H35</f>
        <v>Australia</v>
      </c>
      <c r="F34" s="620"/>
      <c r="G34" s="606"/>
      <c r="H34" s="437"/>
      <c r="I34" s="78" t="str" cm="1">
        <f t="array" ref="I34">IF(OR(ISBLANK(C34),ISBLANK(D34)),"",IF(C34&gt;D34,B34,IF(D34&gt;C34,E34,"")))</f>
        <v>Paraguay</v>
      </c>
      <c r="J34" s="78" t="str" cm="1">
        <f t="array" ref="J34">IF(OR(ISBLANK(C34),ISBLANK(D34)),"",IF(C34=D34,B34,""))</f>
        <v/>
      </c>
      <c r="K34" s="78" t="str" cm="1">
        <f t="array" ref="K34">IF(OR(ISBLANK(C34),ISBLANK(D34)),"",IF(C34=D34,E34,""))</f>
        <v/>
      </c>
      <c r="L34" s="78" t="str" cm="1">
        <f t="array" ref="L34">IF(OR(ISBLANK(C34),ISBLANK(D34)),"",IF(C34&lt;D34,B34,IF(D34&lt;C34,E34,"")))</f>
        <v>Australia</v>
      </c>
      <c r="M34" s="172"/>
    </row>
    <row r="35" spans="1:13" ht="14.25" customHeight="1">
      <c r="A35" s="601" cm="1">
        <f t="array" ref="A35">'Groups Stage'!A36</f>
        <v>0</v>
      </c>
      <c r="B35" s="602" cm="1">
        <f t="array" ref="B35">'Groups Stage'!E36</f>
        <v>0</v>
      </c>
      <c r="C35" s="601" cm="1">
        <f t="array" ref="C35">'Groups Stage'!F36</f>
        <v>0</v>
      </c>
      <c r="D35" s="603" cm="1">
        <f t="array" ref="D35">'Groups Stage'!G36</f>
        <v>0</v>
      </c>
      <c r="E35" s="604" cm="1">
        <f t="array" ref="E35">'Groups Stage'!H36</f>
        <v>0</v>
      </c>
      <c r="F35" s="620"/>
      <c r="G35" s="606"/>
      <c r="H35" s="437"/>
      <c r="I35" s="138" t="str" cm="1">
        <f t="array" ref="I35">IF(OR(ISBLANK(C35),ISBLANK(D35)),"",IF(C35&gt;D35,B35,IF(D35&gt;C35,E35,"")))</f>
        <v/>
      </c>
      <c r="J35" s="152" cm="1">
        <f t="array" ref="J35">IF(OR(ISBLANK(C35),ISBLANK(D35)),"",IF(C35=D35,B35,""))</f>
        <v>0</v>
      </c>
      <c r="K35" s="152" cm="1">
        <f t="array" ref="K35">IF(OR(ISBLANK(C35),ISBLANK(D35)),"",IF(C35=D35,E35,""))</f>
        <v>0</v>
      </c>
      <c r="L35" s="138" t="str" cm="1">
        <f t="array" ref="L35">IF(OR(ISBLANK(C35),ISBLANK(D35)),"",IF(C35&lt;D35,B35,IF(D35&lt;C35,E35,"")))</f>
        <v/>
      </c>
      <c r="M35" s="172"/>
    </row>
    <row r="36" spans="1:13" ht="14.25" customHeight="1">
      <c r="A36" s="607" cm="1">
        <f t="array" ref="A36">'Groups Stage'!A37</f>
        <v>0</v>
      </c>
      <c r="B36" s="608" cm="1">
        <f t="array" ref="B36">'Groups Stage'!E37</f>
        <v>0</v>
      </c>
      <c r="C36" s="607" cm="1">
        <f t="array" ref="C36">'Groups Stage'!F37</f>
        <v>0</v>
      </c>
      <c r="D36" s="609" cm="1">
        <f t="array" ref="D36">'Groups Stage'!G37</f>
        <v>0</v>
      </c>
      <c r="E36" s="610" cm="1">
        <f t="array" ref="E36">'Groups Stage'!H37</f>
        <v>0</v>
      </c>
      <c r="F36" s="620"/>
      <c r="G36" s="606"/>
      <c r="H36" s="437"/>
      <c r="I36" s="78" t="str" cm="1">
        <f t="array" ref="I36">IF(OR(ISBLANK(C36),ISBLANK(D36)),"",IF(C36&gt;D36,B36,IF(D36&gt;C36,E36,"")))</f>
        <v/>
      </c>
      <c r="J36" s="613" cm="1">
        <f t="array" ref="J36">IF(OR(ISBLANK(C36),ISBLANK(D36)),"",IF(C36=D36,B36,""))</f>
        <v>0</v>
      </c>
      <c r="K36" s="613" cm="1">
        <f t="array" ref="K36">IF(OR(ISBLANK(C36),ISBLANK(D36)),"",IF(C36=D36,E36,""))</f>
        <v>0</v>
      </c>
      <c r="L36" s="78" t="str" cm="1">
        <f t="array" ref="L36">IF(OR(ISBLANK(C36),ISBLANK(D36)),"",IF(C36&lt;D36,B36,IF(D36&lt;C36,E36,"")))</f>
        <v/>
      </c>
      <c r="M36" s="172"/>
    </row>
    <row r="37" spans="1:13" ht="14.25" customHeight="1">
      <c r="A37" s="614" t="str" cm="1">
        <f t="array" ref="A37">'Groups Stage'!A38</f>
        <v>Partido</v>
      </c>
      <c r="B37" s="615" t="str" cm="1">
        <f t="array" ref="B37">'Groups Stage'!E38</f>
        <v>Grupo E</v>
      </c>
      <c r="C37" s="616" cm="1">
        <f t="array" ref="C37">'Groups Stage'!F38</f>
        <v>0</v>
      </c>
      <c r="D37" s="617" cm="1">
        <f t="array" ref="D37">'Groups Stage'!G38</f>
        <v>0</v>
      </c>
      <c r="E37" s="618" cm="1">
        <f t="array" ref="E37">'Groups Stage'!H38</f>
        <v>0</v>
      </c>
      <c r="F37" s="620"/>
      <c r="G37" s="606"/>
      <c r="H37" s="437"/>
      <c r="I37" s="144" t="str" cm="1">
        <f t="array" ref="I37">IF(OR(ISBLANK(C37),ISBLANK(D37)),"",IF(C37&gt;D37,B37,IF(D37&gt;C37,E37,"")))</f>
        <v/>
      </c>
      <c r="J37" s="144" t="str" cm="1">
        <f t="array" ref="J37">IF(OR(ISBLANK(C37),ISBLANK(D37)),"",IF(C37=D37,B37,""))</f>
        <v>Grupo E</v>
      </c>
      <c r="K37" s="619" cm="1">
        <f t="array" ref="K37">IF(OR(ISBLANK(C37),ISBLANK(D37)),"",IF(C37=D37,E37,""))</f>
        <v>0</v>
      </c>
      <c r="L37" s="144" t="str" cm="1">
        <f t="array" ref="L37">IF(OR(ISBLANK(C37),ISBLANK(D37)),"",IF(C37&lt;D37,B37,IF(D37&lt;C37,E37,"")))</f>
        <v/>
      </c>
      <c r="M37" s="172"/>
    </row>
    <row r="38" spans="1:13" ht="14.25" customHeight="1">
      <c r="A38" s="584" t="str" cm="1">
        <f t="array" ref="A38">'Groups Stage'!A39</f>
        <v>GE1</v>
      </c>
      <c r="B38" s="585" t="str" cm="1">
        <f t="array" ref="B38">'Groups Stage'!E39</f>
        <v>Alemania</v>
      </c>
      <c r="C38" s="586" cm="1">
        <f t="array" ref="C38">'Groups Stage'!F39</f>
        <v>4</v>
      </c>
      <c r="D38" s="587" cm="1">
        <f t="array" ref="D38">'Groups Stage'!G39</f>
        <v>0</v>
      </c>
      <c r="E38" s="588" t="str" cm="1">
        <f t="array" ref="E38">'Groups Stage'!H39</f>
        <v>Curazao</v>
      </c>
      <c r="F38" s="620"/>
      <c r="G38" s="606"/>
      <c r="H38" s="437"/>
      <c r="I38" s="138" t="str" cm="1">
        <f t="array" ref="I38">IF(OR(ISBLANK(C38),ISBLANK(D38)),"",IF(C38&gt;D38,B38,IF(D38&gt;C38,E38,"")))</f>
        <v>Alemania</v>
      </c>
      <c r="J38" s="138" t="str" cm="1">
        <f t="array" ref="J38">IF(OR(ISBLANK(C38),ISBLANK(D38)),"",IF(C38=D38,B38,""))</f>
        <v/>
      </c>
      <c r="K38" s="138" t="str" cm="1">
        <f t="array" ref="K38">IF(OR(ISBLANK(C38),ISBLANK(D38)),"",IF(C38=D38,E38,""))</f>
        <v/>
      </c>
      <c r="L38" s="138" t="str" cm="1">
        <f t="array" ref="L38">IF(OR(ISBLANK(C38),ISBLANK(D38)),"",IF(C38&lt;D38,B38,IF(D38&lt;C38,E38,"")))</f>
        <v>Curazao</v>
      </c>
      <c r="M38" s="172"/>
    </row>
    <row r="39" spans="1:13" ht="14.25" customHeight="1">
      <c r="A39" s="589" t="str" cm="1">
        <f t="array" ref="A39">'Groups Stage'!A40</f>
        <v>GE2</v>
      </c>
      <c r="B39" s="590" t="str" cm="1">
        <f t="array" ref="B39">'Groups Stage'!E40</f>
        <v>Costa de Marfil</v>
      </c>
      <c r="C39" s="591" cm="1">
        <f t="array" ref="C39">'Groups Stage'!F40</f>
        <v>1</v>
      </c>
      <c r="D39" s="592" cm="1">
        <f t="array" ref="D39">'Groups Stage'!G40</f>
        <v>1</v>
      </c>
      <c r="E39" s="593" t="str" cm="1">
        <f t="array" ref="E39">'Groups Stage'!H40</f>
        <v>Ecuador</v>
      </c>
      <c r="F39" s="620"/>
      <c r="G39" s="606"/>
      <c r="H39" s="437"/>
      <c r="I39" s="74" t="str" cm="1">
        <f t="array" ref="I39">IF(OR(ISBLANK(C39),ISBLANK(D39)),"",IF(C39&gt;D39,B39,IF(D39&gt;C39,E39,"")))</f>
        <v/>
      </c>
      <c r="J39" s="74" t="str" cm="1">
        <f t="array" ref="J39">IF(OR(ISBLANK(C39),ISBLANK(D39)),"",IF(C39=D39,B39,""))</f>
        <v>Costa de Marfil</v>
      </c>
      <c r="K39" s="74" t="str" cm="1">
        <f t="array" ref="K39">IF(OR(ISBLANK(C39),ISBLANK(D39)),"",IF(C39=D39,E39,""))</f>
        <v>Ecuador</v>
      </c>
      <c r="L39" s="74" t="str" cm="1">
        <f t="array" ref="L39">IF(OR(ISBLANK(C39),ISBLANK(D39)),"",IF(C39&lt;D39,B39,IF(D39&lt;C39,E39,"")))</f>
        <v/>
      </c>
      <c r="M39" s="172"/>
    </row>
    <row r="40" spans="1:13" ht="14.25" customHeight="1">
      <c r="A40" s="589" t="str" cm="1">
        <f t="array" ref="A40">'Groups Stage'!A41</f>
        <v>GE3</v>
      </c>
      <c r="B40" s="590" t="str" cm="1">
        <f t="array" ref="B40">'Groups Stage'!E41</f>
        <v>Alemania</v>
      </c>
      <c r="C40" s="591" cm="1">
        <f t="array" ref="C40">'Groups Stage'!F41</f>
        <v>2</v>
      </c>
      <c r="D40" s="592" cm="1">
        <f t="array" ref="D40">'Groups Stage'!G41</f>
        <v>0</v>
      </c>
      <c r="E40" s="593" t="str" cm="1">
        <f t="array" ref="E40">'Groups Stage'!H41</f>
        <v>Costa de Marfil</v>
      </c>
      <c r="F40" s="620"/>
      <c r="G40" s="606"/>
      <c r="H40" s="437"/>
      <c r="I40" s="74" t="str" cm="1">
        <f t="array" ref="I40">IF(OR(ISBLANK(C40),ISBLANK(D40)),"",IF(C40&gt;D40,B40,IF(D40&gt;C40,E40,"")))</f>
        <v>Alemania</v>
      </c>
      <c r="J40" s="74" t="str" cm="1">
        <f t="array" ref="J40">IF(OR(ISBLANK(C40),ISBLANK(D40)),"",IF(C40=D40,B40,""))</f>
        <v/>
      </c>
      <c r="K40" s="74" t="str" cm="1">
        <f t="array" ref="K40">IF(OR(ISBLANK(C40),ISBLANK(D40)),"",IF(C40=D40,E40,""))</f>
        <v/>
      </c>
      <c r="L40" s="74" t="str" cm="1">
        <f t="array" ref="L40">IF(OR(ISBLANK(C40),ISBLANK(D40)),"",IF(C40&lt;D40,B40,IF(D40&lt;C40,E40,"")))</f>
        <v>Costa de Marfil</v>
      </c>
      <c r="M40" s="172"/>
    </row>
    <row r="41" spans="1:13" ht="14.25" customHeight="1">
      <c r="A41" s="589" t="str" cm="1">
        <f t="array" ref="A41">'Groups Stage'!A42</f>
        <v>GE4</v>
      </c>
      <c r="B41" s="590" t="str" cm="1">
        <f t="array" ref="B41">'Groups Stage'!E42</f>
        <v>Ecuador</v>
      </c>
      <c r="C41" s="591" cm="1">
        <f t="array" ref="C41">'Groups Stage'!F42</f>
        <v>2</v>
      </c>
      <c r="D41" s="592" cm="1">
        <f t="array" ref="D41">'Groups Stage'!G42</f>
        <v>0</v>
      </c>
      <c r="E41" s="593" t="str" cm="1">
        <f t="array" ref="E41">'Groups Stage'!H42</f>
        <v>Curazao</v>
      </c>
      <c r="F41" s="620"/>
      <c r="G41" s="606"/>
      <c r="H41" s="437"/>
      <c r="I41" s="74" t="str" cm="1">
        <f t="array" ref="I41">IF(OR(ISBLANK(C41),ISBLANK(D41)),"",IF(C41&gt;D41,B41,IF(D41&gt;C41,E41,"")))</f>
        <v>Ecuador</v>
      </c>
      <c r="J41" s="74" t="str" cm="1">
        <f t="array" ref="J41">IF(OR(ISBLANK(C41),ISBLANK(D41)),"",IF(C41=D41,B41,""))</f>
        <v/>
      </c>
      <c r="K41" s="74" t="str" cm="1">
        <f t="array" ref="K41">IF(OR(ISBLANK(C41),ISBLANK(D41)),"",IF(C41=D41,E41,""))</f>
        <v/>
      </c>
      <c r="L41" s="74" t="str" cm="1">
        <f t="array" ref="L41">IF(OR(ISBLANK(C41),ISBLANK(D41)),"",IF(C41&lt;D41,B41,IF(D41&lt;C41,E41,"")))</f>
        <v>Curazao</v>
      </c>
      <c r="M41" s="172"/>
    </row>
    <row r="42" spans="1:13" ht="14.25" customHeight="1">
      <c r="A42" s="589" t="str" cm="1">
        <f t="array" ref="A42">'Groups Stage'!A43</f>
        <v>GE5</v>
      </c>
      <c r="B42" s="590" t="str" cm="1">
        <f t="array" ref="B42">'Groups Stage'!E43</f>
        <v>Ecuador</v>
      </c>
      <c r="C42" s="591" cm="1">
        <f t="array" ref="C42">'Groups Stage'!F43</f>
        <v>1</v>
      </c>
      <c r="D42" s="592" cm="1">
        <f t="array" ref="D42">'Groups Stage'!G43</f>
        <v>2</v>
      </c>
      <c r="E42" s="593" t="str" cm="1">
        <f t="array" ref="E42">'Groups Stage'!H43</f>
        <v>Alemania</v>
      </c>
      <c r="F42" s="620"/>
      <c r="G42" s="606"/>
      <c r="H42" s="437"/>
      <c r="I42" s="74" t="str" cm="1">
        <f t="array" ref="I42">IF(OR(ISBLANK(C42),ISBLANK(D42)),"",IF(C42&gt;D42,B42,IF(D42&gt;C42,E42,"")))</f>
        <v>Alemania</v>
      </c>
      <c r="J42" s="74" t="str" cm="1">
        <f t="array" ref="J42">IF(OR(ISBLANK(C42),ISBLANK(D42)),"",IF(C42=D42,B42,""))</f>
        <v/>
      </c>
      <c r="K42" s="74" t="str" cm="1">
        <f t="array" ref="K42">IF(OR(ISBLANK(C42),ISBLANK(D42)),"",IF(C42=D42,E42,""))</f>
        <v/>
      </c>
      <c r="L42" s="74" t="str" cm="1">
        <f t="array" ref="L42">IF(OR(ISBLANK(C42),ISBLANK(D42)),"",IF(C42&lt;D42,B42,IF(D42&lt;C42,E42,"")))</f>
        <v>Ecuador</v>
      </c>
      <c r="M42" s="172"/>
    </row>
    <row r="43" spans="1:13" ht="14.25" customHeight="1">
      <c r="A43" s="594" t="str" cm="1">
        <f t="array" ref="A43">'Groups Stage'!A44</f>
        <v>GE6</v>
      </c>
      <c r="B43" s="595" t="str" cm="1">
        <f t="array" ref="B43">'Groups Stage'!E44</f>
        <v>Curazao</v>
      </c>
      <c r="C43" s="596" cm="1">
        <f t="array" ref="C43">'Groups Stage'!F44</f>
        <v>0</v>
      </c>
      <c r="D43" s="597" cm="1">
        <f t="array" ref="D43">'Groups Stage'!G44</f>
        <v>2</v>
      </c>
      <c r="E43" s="598" t="str" cm="1">
        <f t="array" ref="E43">'Groups Stage'!H44</f>
        <v>Costa de Marfil</v>
      </c>
      <c r="F43" s="620"/>
      <c r="G43" s="606"/>
      <c r="H43" s="437"/>
      <c r="I43" s="78" t="str" cm="1">
        <f t="array" ref="I43">IF(OR(ISBLANK(C43),ISBLANK(D43)),"",IF(C43&gt;D43,B43,IF(D43&gt;C43,E43,"")))</f>
        <v>Costa de Marfil</v>
      </c>
      <c r="J43" s="78" t="str" cm="1">
        <f t="array" ref="J43">IF(OR(ISBLANK(C43),ISBLANK(D43)),"",IF(C43=D43,B43,""))</f>
        <v/>
      </c>
      <c r="K43" s="78" t="str" cm="1">
        <f t="array" ref="K43">IF(OR(ISBLANK(C43),ISBLANK(D43)),"",IF(C43=D43,E43,""))</f>
        <v/>
      </c>
      <c r="L43" s="78" t="str" cm="1">
        <f t="array" ref="L43">IF(OR(ISBLANK(C43),ISBLANK(D43)),"",IF(C43&lt;D43,B43,IF(D43&lt;C43,E43,"")))</f>
        <v>Curazao</v>
      </c>
      <c r="M43" s="172"/>
    </row>
    <row r="44" spans="1:13" ht="14.25" customHeight="1">
      <c r="A44" s="601" cm="1">
        <f t="array" ref="A44">'Groups Stage'!A45</f>
        <v>0</v>
      </c>
      <c r="B44" s="602" cm="1">
        <f t="array" ref="B44">'Groups Stage'!E45</f>
        <v>0</v>
      </c>
      <c r="C44" s="601" cm="1">
        <f t="array" ref="C44">'Groups Stage'!F45</f>
        <v>0</v>
      </c>
      <c r="D44" s="603" cm="1">
        <f t="array" ref="D44">'Groups Stage'!G45</f>
        <v>0</v>
      </c>
      <c r="E44" s="604" cm="1">
        <f t="array" ref="E44">'Groups Stage'!H45</f>
        <v>0</v>
      </c>
      <c r="F44" s="620"/>
      <c r="G44" s="606"/>
      <c r="H44" s="437"/>
      <c r="I44" s="138" t="str" cm="1">
        <f t="array" ref="I44">IF(OR(ISBLANK(C44),ISBLANK(D44)),"",IF(C44&gt;D44,B44,IF(D44&gt;C44,E44,"")))</f>
        <v/>
      </c>
      <c r="J44" s="152" cm="1">
        <f t="array" ref="J44">IF(OR(ISBLANK(C44),ISBLANK(D44)),"",IF(C44=D44,B44,""))</f>
        <v>0</v>
      </c>
      <c r="K44" s="152" cm="1">
        <f t="array" ref="K44">IF(OR(ISBLANK(C44),ISBLANK(D44)),"",IF(C44=D44,E44,""))</f>
        <v>0</v>
      </c>
      <c r="L44" s="138" t="str" cm="1">
        <f t="array" ref="L44">IF(OR(ISBLANK(C44),ISBLANK(D44)),"",IF(C44&lt;D44,B44,IF(D44&lt;C44,E44,"")))</f>
        <v/>
      </c>
      <c r="M44" s="172"/>
    </row>
    <row r="45" spans="1:13" ht="14.25" customHeight="1">
      <c r="A45" s="607" cm="1">
        <f t="array" ref="A45">'Groups Stage'!A46</f>
        <v>0</v>
      </c>
      <c r="B45" s="608" cm="1">
        <f t="array" ref="B45">'Groups Stage'!E46</f>
        <v>0</v>
      </c>
      <c r="C45" s="607" cm="1">
        <f t="array" ref="C45">'Groups Stage'!F46</f>
        <v>0</v>
      </c>
      <c r="D45" s="609" cm="1">
        <f t="array" ref="D45">'Groups Stage'!G46</f>
        <v>0</v>
      </c>
      <c r="E45" s="610" cm="1">
        <f t="array" ref="E45">'Groups Stage'!H46</f>
        <v>0</v>
      </c>
      <c r="F45" s="620"/>
      <c r="G45" s="606"/>
      <c r="H45" s="437"/>
      <c r="I45" s="78" t="str" cm="1">
        <f t="array" ref="I45">IF(OR(ISBLANK(C45),ISBLANK(D45)),"",IF(C45&gt;D45,B45,IF(D45&gt;C45,E45,"")))</f>
        <v/>
      </c>
      <c r="J45" s="613" cm="1">
        <f t="array" ref="J45">IF(OR(ISBLANK(C45),ISBLANK(D45)),"",IF(C45=D45,B45,""))</f>
        <v>0</v>
      </c>
      <c r="K45" s="613" cm="1">
        <f t="array" ref="K45">IF(OR(ISBLANK(C45),ISBLANK(D45)),"",IF(C45=D45,E45,""))</f>
        <v>0</v>
      </c>
      <c r="L45" s="78" t="str" cm="1">
        <f t="array" ref="L45">IF(OR(ISBLANK(C45),ISBLANK(D45)),"",IF(C45&lt;D45,B45,IF(D45&lt;C45,E45,"")))</f>
        <v/>
      </c>
      <c r="M45" s="172"/>
    </row>
    <row r="46" spans="1:13" ht="14.25" customHeight="1">
      <c r="A46" s="614" t="str" cm="1">
        <f t="array" ref="A46">'Groups Stage'!A47</f>
        <v>Partido</v>
      </c>
      <c r="B46" s="615" t="str" cm="1">
        <f t="array" ref="B46">'Groups Stage'!E47</f>
        <v>Grupo F</v>
      </c>
      <c r="C46" s="616" cm="1">
        <f t="array" ref="C46">'Groups Stage'!F47</f>
        <v>0</v>
      </c>
      <c r="D46" s="617" cm="1">
        <f t="array" ref="D46">'Groups Stage'!G47</f>
        <v>0</v>
      </c>
      <c r="E46" s="618" cm="1">
        <f t="array" ref="E46">'Groups Stage'!H47</f>
        <v>0</v>
      </c>
      <c r="F46" s="620"/>
      <c r="G46" s="606"/>
      <c r="H46" s="437"/>
      <c r="I46" s="144" t="str" cm="1">
        <f t="array" ref="I46">IF(OR(ISBLANK(C46),ISBLANK(D46)),"",IF(C46&gt;D46,B46,IF(D46&gt;C46,E46,"")))</f>
        <v/>
      </c>
      <c r="J46" s="144" t="str" cm="1">
        <f t="array" ref="J46">IF(OR(ISBLANK(C46),ISBLANK(D46)),"",IF(C46=D46,B46,""))</f>
        <v>Grupo F</v>
      </c>
      <c r="K46" s="619" cm="1">
        <f t="array" ref="K46">IF(OR(ISBLANK(C46),ISBLANK(D46)),"",IF(C46=D46,E46,""))</f>
        <v>0</v>
      </c>
      <c r="L46" s="144" t="str" cm="1">
        <f t="array" ref="L46">IF(OR(ISBLANK(C46),ISBLANK(D46)),"",IF(C46&lt;D46,B46,IF(D46&lt;C46,E46,"")))</f>
        <v/>
      </c>
      <c r="M46" s="172"/>
    </row>
    <row r="47" spans="1:13" ht="14.25" customHeight="1">
      <c r="A47" s="584" t="str" cm="1">
        <f t="array" ref="A47">'Groups Stage'!A48</f>
        <v>GF1</v>
      </c>
      <c r="B47" s="585" t="str" cm="1">
        <f t="array" ref="B47">'Groups Stage'!E48</f>
        <v>Paises Bajos</v>
      </c>
      <c r="C47" s="586" cm="1">
        <f t="array" ref="C47">'Groups Stage'!F48</f>
        <v>2</v>
      </c>
      <c r="D47" s="587" cm="1">
        <f t="array" ref="D47">'Groups Stage'!G48</f>
        <v>1</v>
      </c>
      <c r="E47" s="588" t="str" cm="1">
        <f t="array" ref="E47">'Groups Stage'!H48</f>
        <v>Japon</v>
      </c>
      <c r="F47" s="620"/>
      <c r="G47" s="606"/>
      <c r="H47" s="437"/>
      <c r="I47" s="138" t="str" cm="1">
        <f t="array" ref="I47">IF(OR(ISBLANK(C47),ISBLANK(D47)),"",IF(C47&gt;D47,B47,IF(D47&gt;C47,E47,"")))</f>
        <v>Paises Bajos</v>
      </c>
      <c r="J47" s="138" t="str" cm="1">
        <f t="array" ref="J47">IF(OR(ISBLANK(C47),ISBLANK(D47)),"",IF(C47=D47,B47,""))</f>
        <v/>
      </c>
      <c r="K47" s="138" t="str" cm="1">
        <f t="array" ref="K47">IF(OR(ISBLANK(C47),ISBLANK(D47)),"",IF(C47=D47,E47,""))</f>
        <v/>
      </c>
      <c r="L47" s="138" t="str" cm="1">
        <f t="array" ref="L47">IF(OR(ISBLANK(C47),ISBLANK(D47)),"",IF(C47&lt;D47,B47,IF(D47&lt;C47,E47,"")))</f>
        <v>Japon</v>
      </c>
      <c r="M47" s="172"/>
    </row>
    <row r="48" spans="1:13" ht="14.25" customHeight="1">
      <c r="A48" s="589" t="str" cm="1">
        <f t="array" ref="A48">'Groups Stage'!A49</f>
        <v>GF2</v>
      </c>
      <c r="B48" s="590" t="str" cm="1">
        <f t="array" ref="B48">'Groups Stage'!E49</f>
        <v>Suecia</v>
      </c>
      <c r="C48" s="591" cm="1">
        <f t="array" ref="C48">'Groups Stage'!F49</f>
        <v>2</v>
      </c>
      <c r="D48" s="592" cm="1">
        <f t="array" ref="D48">'Groups Stage'!G49</f>
        <v>0</v>
      </c>
      <c r="E48" s="593" t="str" cm="1">
        <f t="array" ref="E48">'Groups Stage'!H49</f>
        <v>Tunez</v>
      </c>
      <c r="F48" s="620"/>
      <c r="G48" s="606"/>
      <c r="H48" s="437"/>
      <c r="I48" s="74" t="str" cm="1">
        <f t="array" ref="I48">IF(OR(ISBLANK(C48),ISBLANK(D48)),"",IF(C48&gt;D48,B48,IF(D48&gt;C48,E48,"")))</f>
        <v>Suecia</v>
      </c>
      <c r="J48" s="74" t="str" cm="1">
        <f t="array" ref="J48">IF(OR(ISBLANK(C48),ISBLANK(D48)),"",IF(C48=D48,B48,""))</f>
        <v/>
      </c>
      <c r="K48" s="74" t="str" cm="1">
        <f t="array" ref="K48">IF(OR(ISBLANK(C48),ISBLANK(D48)),"",IF(C48=D48,E48,""))</f>
        <v/>
      </c>
      <c r="L48" s="74" t="str" cm="1">
        <f t="array" ref="L48">IF(OR(ISBLANK(C48),ISBLANK(D48)),"",IF(C48&lt;D48,B48,IF(D48&lt;C48,E48,"")))</f>
        <v>Tunez</v>
      </c>
      <c r="M48" s="172"/>
    </row>
    <row r="49" spans="1:13" ht="14.25" customHeight="1">
      <c r="A49" s="589" t="str" cm="1">
        <f t="array" ref="A49">'Groups Stage'!A50</f>
        <v>GF3</v>
      </c>
      <c r="B49" s="590" t="str" cm="1">
        <f t="array" ref="B49">'Groups Stage'!E50</f>
        <v>Paises Bajos</v>
      </c>
      <c r="C49" s="591" cm="1">
        <f t="array" ref="C49">'Groups Stage'!F50</f>
        <v>2</v>
      </c>
      <c r="D49" s="592" cm="1">
        <f t="array" ref="D49">'Groups Stage'!G50</f>
        <v>0</v>
      </c>
      <c r="E49" s="593" t="str" cm="1">
        <f t="array" ref="E49">'Groups Stage'!H50</f>
        <v>Suecia</v>
      </c>
      <c r="F49" s="620"/>
      <c r="G49" s="606"/>
      <c r="H49" s="437"/>
      <c r="I49" s="74" t="str" cm="1">
        <f t="array" ref="I49">IF(OR(ISBLANK(C49),ISBLANK(D49)),"",IF(C49&gt;D49,B49,IF(D49&gt;C49,E49,"")))</f>
        <v>Paises Bajos</v>
      </c>
      <c r="J49" s="74" t="str" cm="1">
        <f t="array" ref="J49">IF(OR(ISBLANK(C49),ISBLANK(D49)),"",IF(C49=D49,B49,""))</f>
        <v/>
      </c>
      <c r="K49" s="74" t="str" cm="1">
        <f t="array" ref="K49">IF(OR(ISBLANK(C49),ISBLANK(D49)),"",IF(C49=D49,E49,""))</f>
        <v/>
      </c>
      <c r="L49" s="74" t="str" cm="1">
        <f t="array" ref="L49">IF(OR(ISBLANK(C49),ISBLANK(D49)),"",IF(C49&lt;D49,B49,IF(D49&lt;C49,E49,"")))</f>
        <v>Suecia</v>
      </c>
      <c r="M49" s="172"/>
    </row>
    <row r="50" spans="1:13" ht="14.25" customHeight="1">
      <c r="A50" s="589" t="str" cm="1">
        <f t="array" ref="A50">'Groups Stage'!A51</f>
        <v>GF4</v>
      </c>
      <c r="B50" s="590" t="str" cm="1">
        <f t="array" ref="B50">'Groups Stage'!E51</f>
        <v>Tunez</v>
      </c>
      <c r="C50" s="591" cm="1">
        <f t="array" ref="C50">'Groups Stage'!F51</f>
        <v>0</v>
      </c>
      <c r="D50" s="592" cm="1">
        <f t="array" ref="D50">'Groups Stage'!G51</f>
        <v>2</v>
      </c>
      <c r="E50" s="593" t="str" cm="1">
        <f t="array" ref="E50">'Groups Stage'!H51</f>
        <v>Japon</v>
      </c>
      <c r="F50" s="620"/>
      <c r="G50" s="606"/>
      <c r="H50" s="437"/>
      <c r="I50" s="74" t="str" cm="1">
        <f t="array" ref="I50">IF(OR(ISBLANK(C50),ISBLANK(D50)),"",IF(C50&gt;D50,B50,IF(D50&gt;C50,E50,"")))</f>
        <v>Japon</v>
      </c>
      <c r="J50" s="74" t="str" cm="1">
        <f t="array" ref="J50">IF(OR(ISBLANK(C50),ISBLANK(D50)),"",IF(C50=D50,B50,""))</f>
        <v/>
      </c>
      <c r="K50" s="74" t="str" cm="1">
        <f t="array" ref="K50">IF(OR(ISBLANK(C50),ISBLANK(D50)),"",IF(C50=D50,E50,""))</f>
        <v/>
      </c>
      <c r="L50" s="74" t="str" cm="1">
        <f t="array" ref="L50">IF(OR(ISBLANK(C50),ISBLANK(D50)),"",IF(C50&lt;D50,B50,IF(D50&lt;C50,E50,"")))</f>
        <v>Tunez</v>
      </c>
      <c r="M50" s="172"/>
    </row>
    <row r="51" spans="1:13" ht="14.25" customHeight="1">
      <c r="A51" s="589" t="str" cm="1">
        <f t="array" ref="A51">'Groups Stage'!A52</f>
        <v>GF5</v>
      </c>
      <c r="B51" s="590" t="str" cm="1">
        <f t="array" ref="B51">'Groups Stage'!E52</f>
        <v>Japon</v>
      </c>
      <c r="C51" s="591" cm="1">
        <f t="array" ref="C51">'Groups Stage'!F52</f>
        <v>1</v>
      </c>
      <c r="D51" s="592" cm="1">
        <f t="array" ref="D51">'Groups Stage'!G52</f>
        <v>1</v>
      </c>
      <c r="E51" s="593" t="str" cm="1">
        <f t="array" ref="E51">'Groups Stage'!H52</f>
        <v>Suecia</v>
      </c>
      <c r="F51" s="620"/>
      <c r="G51" s="606"/>
      <c r="H51" s="437"/>
      <c r="I51" s="74" t="str" cm="1">
        <f t="array" ref="I51">IF(OR(ISBLANK(C51),ISBLANK(D51)),"",IF(C51&gt;D51,B51,IF(D51&gt;C51,E51,"")))</f>
        <v/>
      </c>
      <c r="J51" s="74" t="str" cm="1">
        <f t="array" ref="J51">IF(OR(ISBLANK(C51),ISBLANK(D51)),"",IF(C51=D51,B51,""))</f>
        <v>Japon</v>
      </c>
      <c r="K51" s="74" t="str" cm="1">
        <f t="array" ref="K51">IF(OR(ISBLANK(C51),ISBLANK(D51)),"",IF(C51=D51,E51,""))</f>
        <v>Suecia</v>
      </c>
      <c r="L51" s="74" t="str" cm="1">
        <f t="array" ref="L51">IF(OR(ISBLANK(C51),ISBLANK(D51)),"",IF(C51&lt;D51,B51,IF(D51&lt;C51,E51,"")))</f>
        <v/>
      </c>
      <c r="M51" s="172"/>
    </row>
    <row r="52" spans="1:13" ht="14.25" customHeight="1">
      <c r="A52" s="594" t="str" cm="1">
        <f t="array" ref="A52">'Groups Stage'!A53</f>
        <v>GF6</v>
      </c>
      <c r="B52" s="595" t="str" cm="1">
        <f t="array" ref="B52">'Groups Stage'!E53</f>
        <v>Tunez</v>
      </c>
      <c r="C52" s="596" cm="1">
        <f t="array" ref="C52">'Groups Stage'!F53</f>
        <v>0</v>
      </c>
      <c r="D52" s="597" cm="1">
        <f t="array" ref="D52">'Groups Stage'!G53</f>
        <v>2</v>
      </c>
      <c r="E52" s="598" t="str" cm="1">
        <f t="array" ref="E52">'Groups Stage'!H53</f>
        <v>Paises Bajos</v>
      </c>
      <c r="F52" s="620"/>
      <c r="G52" s="606"/>
      <c r="H52" s="437"/>
      <c r="I52" s="78" t="str" cm="1">
        <f t="array" ref="I52">IF(OR(ISBLANK(C52),ISBLANK(D52)),"",IF(C52&gt;D52,B52,IF(D52&gt;C52,E52,"")))</f>
        <v>Paises Bajos</v>
      </c>
      <c r="J52" s="78" t="str" cm="1">
        <f t="array" ref="J52">IF(OR(ISBLANK(C52),ISBLANK(D52)),"",IF(C52=D52,B52,""))</f>
        <v/>
      </c>
      <c r="K52" s="78" t="str" cm="1">
        <f t="array" ref="K52">IF(OR(ISBLANK(C52),ISBLANK(D52)),"",IF(C52=D52,E52,""))</f>
        <v/>
      </c>
      <c r="L52" s="78" t="str" cm="1">
        <f t="array" ref="L52">IF(OR(ISBLANK(C52),ISBLANK(D52)),"",IF(C52&lt;D52,B52,IF(D52&lt;C52,E52,"")))</f>
        <v>Tunez</v>
      </c>
      <c r="M52" s="172"/>
    </row>
    <row r="53" spans="1:13" ht="14.25" customHeight="1">
      <c r="A53" s="601" cm="1">
        <f t="array" ref="A53">'Groups Stage'!A54</f>
        <v>0</v>
      </c>
      <c r="B53" s="602" cm="1">
        <f t="array" ref="B53">'Groups Stage'!E54</f>
        <v>0</v>
      </c>
      <c r="C53" s="601" cm="1">
        <f t="array" ref="C53">'Groups Stage'!F54</f>
        <v>0</v>
      </c>
      <c r="D53" s="603" cm="1">
        <f t="array" ref="D53">'Groups Stage'!G54</f>
        <v>0</v>
      </c>
      <c r="E53" s="604" cm="1">
        <f t="array" ref="E53">'Groups Stage'!H54</f>
        <v>0</v>
      </c>
      <c r="F53" s="620"/>
      <c r="G53" s="606"/>
      <c r="H53" s="437"/>
      <c r="I53" s="138" t="str" cm="1">
        <f t="array" ref="I53">IF(OR(ISBLANK(C53),ISBLANK(D53)),"",IF(C53&gt;D53,B53,IF(D53&gt;C53,E53,"")))</f>
        <v/>
      </c>
      <c r="J53" s="152" cm="1">
        <f t="array" ref="J53">IF(OR(ISBLANK(C53),ISBLANK(D53)),"",IF(C53=D53,B53,""))</f>
        <v>0</v>
      </c>
      <c r="K53" s="152" cm="1">
        <f t="array" ref="K53">IF(OR(ISBLANK(C53),ISBLANK(D53)),"",IF(C53=D53,E53,""))</f>
        <v>0</v>
      </c>
      <c r="L53" s="138" t="str" cm="1">
        <f t="array" ref="L53">IF(OR(ISBLANK(C53),ISBLANK(D53)),"",IF(C53&lt;D53,B53,IF(D53&lt;C53,E53,"")))</f>
        <v/>
      </c>
      <c r="M53" s="172"/>
    </row>
    <row r="54" spans="1:13" ht="14.25" customHeight="1">
      <c r="A54" s="607" cm="1">
        <f t="array" ref="A54">'Groups Stage'!A55</f>
        <v>0</v>
      </c>
      <c r="B54" s="608" cm="1">
        <f t="array" ref="B54">'Groups Stage'!E55</f>
        <v>0</v>
      </c>
      <c r="C54" s="607" cm="1">
        <f t="array" ref="C54">'Groups Stage'!F55</f>
        <v>0</v>
      </c>
      <c r="D54" s="609" cm="1">
        <f t="array" ref="D54">'Groups Stage'!G55</f>
        <v>0</v>
      </c>
      <c r="E54" s="610" cm="1">
        <f t="array" ref="E54">'Groups Stage'!H55</f>
        <v>0</v>
      </c>
      <c r="F54" s="620"/>
      <c r="G54" s="606"/>
      <c r="H54" s="437"/>
      <c r="I54" s="78" t="str" cm="1">
        <f t="array" ref="I54">IF(OR(ISBLANK(C54),ISBLANK(D54)),"",IF(C54&gt;D54,B54,IF(D54&gt;C54,E54,"")))</f>
        <v/>
      </c>
      <c r="J54" s="613" cm="1">
        <f t="array" ref="J54">IF(OR(ISBLANK(C54),ISBLANK(D54)),"",IF(C54=D54,B54,""))</f>
        <v>0</v>
      </c>
      <c r="K54" s="613" cm="1">
        <f t="array" ref="K54">IF(OR(ISBLANK(C54),ISBLANK(D54)),"",IF(C54=D54,E54,""))</f>
        <v>0</v>
      </c>
      <c r="L54" s="78" t="str" cm="1">
        <f t="array" ref="L54">IF(OR(ISBLANK(C54),ISBLANK(D54)),"",IF(C54&lt;D54,B54,IF(D54&lt;C54,E54,"")))</f>
        <v/>
      </c>
      <c r="M54" s="172"/>
    </row>
    <row r="55" spans="1:13" ht="14.25" customHeight="1">
      <c r="A55" s="614" t="str" cm="1">
        <f t="array" ref="A55">'Groups Stage'!A56</f>
        <v>Partido</v>
      </c>
      <c r="B55" s="615" t="str" cm="1">
        <f t="array" ref="B55">'Groups Stage'!E56</f>
        <v>Grupo G</v>
      </c>
      <c r="C55" s="616" cm="1">
        <f t="array" ref="C55">'Groups Stage'!F56</f>
        <v>0</v>
      </c>
      <c r="D55" s="617" cm="1">
        <f t="array" ref="D55">'Groups Stage'!G56</f>
        <v>0</v>
      </c>
      <c r="E55" s="618" cm="1">
        <f t="array" ref="E55">'Groups Stage'!H56</f>
        <v>0</v>
      </c>
      <c r="F55" s="620"/>
      <c r="G55" s="606"/>
      <c r="H55" s="437"/>
      <c r="I55" s="144" t="str" cm="1">
        <f t="array" ref="I55">IF(OR(ISBLANK(C55),ISBLANK(D55)),"",IF(C55&gt;D55,B55,IF(D55&gt;C55,E55,"")))</f>
        <v/>
      </c>
      <c r="J55" s="144" t="str" cm="1">
        <f t="array" ref="J55">IF(OR(ISBLANK(C55),ISBLANK(D55)),"",IF(C55=D55,B55,""))</f>
        <v>Grupo G</v>
      </c>
      <c r="K55" s="619" cm="1">
        <f t="array" ref="K55">IF(OR(ISBLANK(C55),ISBLANK(D55)),"",IF(C55=D55,E55,""))</f>
        <v>0</v>
      </c>
      <c r="L55" s="144" t="str" cm="1">
        <f t="array" ref="L55">IF(OR(ISBLANK(C55),ISBLANK(D55)),"",IF(C55&lt;D55,B55,IF(D55&lt;C55,E55,"")))</f>
        <v/>
      </c>
      <c r="M55" s="172"/>
    </row>
    <row r="56" spans="1:13" ht="14.25" customHeight="1">
      <c r="A56" s="584" t="str" cm="1">
        <f t="array" ref="A56">'Groups Stage'!A57</f>
        <v>GG1</v>
      </c>
      <c r="B56" s="585" t="str" cm="1">
        <f t="array" ref="B56">'Groups Stage'!E57</f>
        <v>Iran</v>
      </c>
      <c r="C56" s="586" cm="1">
        <f t="array" ref="C56">'Groups Stage'!F57</f>
        <v>1</v>
      </c>
      <c r="D56" s="587" cm="1">
        <f t="array" ref="D56">'Groups Stage'!G57</f>
        <v>1</v>
      </c>
      <c r="E56" s="588" t="str" cm="1">
        <f t="array" ref="E56">'Groups Stage'!H57</f>
        <v>Nueva Zelanda</v>
      </c>
      <c r="F56" s="620"/>
      <c r="G56" s="606"/>
      <c r="H56" s="437"/>
      <c r="I56" s="138" t="str" cm="1">
        <f t="array" ref="I56">IF(OR(ISBLANK(C56),ISBLANK(D56)),"",IF(C56&gt;D56,B56,IF(D56&gt;C56,E56,"")))</f>
        <v/>
      </c>
      <c r="J56" s="138" t="str" cm="1">
        <f t="array" ref="J56">IF(OR(ISBLANK(C56),ISBLANK(D56)),"",IF(C56=D56,B56,""))</f>
        <v>Iran</v>
      </c>
      <c r="K56" s="138" t="str" cm="1">
        <f t="array" ref="K56">IF(OR(ISBLANK(C56),ISBLANK(D56)),"",IF(C56=D56,E56,""))</f>
        <v>Nueva Zelanda</v>
      </c>
      <c r="L56" s="138" t="str" cm="1">
        <f t="array" ref="L56">IF(OR(ISBLANK(C56),ISBLANK(D56)),"",IF(C56&lt;D56,B56,IF(D56&lt;C56,E56,"")))</f>
        <v/>
      </c>
      <c r="M56" s="172"/>
    </row>
    <row r="57" spans="1:13" ht="14.25" customHeight="1">
      <c r="A57" s="589" t="str" cm="1">
        <f t="array" ref="A57">'Groups Stage'!A58</f>
        <v>GG2</v>
      </c>
      <c r="B57" s="590" t="str" cm="1">
        <f t="array" ref="B57">'Groups Stage'!E58</f>
        <v>Belgica</v>
      </c>
      <c r="C57" s="591" cm="1">
        <f t="array" ref="C57">'Groups Stage'!F58</f>
        <v>2</v>
      </c>
      <c r="D57" s="592" cm="1">
        <f t="array" ref="D57">'Groups Stage'!G58</f>
        <v>0</v>
      </c>
      <c r="E57" s="593" t="str" cm="1">
        <f t="array" ref="E57">'Groups Stage'!H58</f>
        <v>Egipto</v>
      </c>
      <c r="F57" s="620"/>
      <c r="G57" s="606"/>
      <c r="H57" s="437"/>
      <c r="I57" s="74" t="str" cm="1">
        <f t="array" ref="I57">IF(OR(ISBLANK(C57),ISBLANK(D57)),"",IF(C57&gt;D57,B57,IF(D57&gt;C57,E57,"")))</f>
        <v>Belgica</v>
      </c>
      <c r="J57" s="74" t="str" cm="1">
        <f t="array" ref="J57">IF(OR(ISBLANK(C57),ISBLANK(D57)),"",IF(C57=D57,B57,""))</f>
        <v/>
      </c>
      <c r="K57" s="74" t="str" cm="1">
        <f t="array" ref="K57">IF(OR(ISBLANK(C57),ISBLANK(D57)),"",IF(C57=D57,E57,""))</f>
        <v/>
      </c>
      <c r="L57" s="74" t="str" cm="1">
        <f t="array" ref="L57">IF(OR(ISBLANK(C57),ISBLANK(D57)),"",IF(C57&lt;D57,B57,IF(D57&lt;C57,E57,"")))</f>
        <v>Egipto</v>
      </c>
      <c r="M57" s="172"/>
    </row>
    <row r="58" spans="1:13" ht="14.25" customHeight="1">
      <c r="A58" s="589" t="str" cm="1">
        <f t="array" ref="A58">'Groups Stage'!A59</f>
        <v>GG3</v>
      </c>
      <c r="B58" s="590" t="str" cm="1">
        <f t="array" ref="B58">'Groups Stage'!E59</f>
        <v>Belgica</v>
      </c>
      <c r="C58" s="591" cm="1">
        <f t="array" ref="C58">'Groups Stage'!F59</f>
        <v>3</v>
      </c>
      <c r="D58" s="592" cm="1">
        <f t="array" ref="D58">'Groups Stage'!G59</f>
        <v>1</v>
      </c>
      <c r="E58" s="593" t="str" cm="1">
        <f t="array" ref="E58">'Groups Stage'!H59</f>
        <v>Iran</v>
      </c>
      <c r="F58" s="620"/>
      <c r="G58" s="606"/>
      <c r="H58" s="437"/>
      <c r="I58" s="74" t="str" cm="1">
        <f t="array" ref="I58">IF(OR(ISBLANK(C58),ISBLANK(D58)),"",IF(C58&gt;D58,B58,IF(D58&gt;C58,E58,"")))</f>
        <v>Belgica</v>
      </c>
      <c r="J58" s="74" t="str" cm="1">
        <f t="array" ref="J58">IF(OR(ISBLANK(C58),ISBLANK(D58)),"",IF(C58=D58,B58,""))</f>
        <v/>
      </c>
      <c r="K58" s="74" t="str" cm="1">
        <f t="array" ref="K58">IF(OR(ISBLANK(C58),ISBLANK(D58)),"",IF(C58=D58,E58,""))</f>
        <v/>
      </c>
      <c r="L58" s="74" t="str" cm="1">
        <f t="array" ref="L58">IF(OR(ISBLANK(C58),ISBLANK(D58)),"",IF(C58&lt;D58,B58,IF(D58&lt;C58,E58,"")))</f>
        <v>Iran</v>
      </c>
      <c r="M58" s="172"/>
    </row>
    <row r="59" spans="1:13" ht="14.25" customHeight="1">
      <c r="A59" s="589" t="str" cm="1">
        <f t="array" ref="A59">'Groups Stage'!A60</f>
        <v>GG4</v>
      </c>
      <c r="B59" s="590" t="str" cm="1">
        <f t="array" ref="B59">'Groups Stage'!E60</f>
        <v>Nueva Zelanda</v>
      </c>
      <c r="C59" s="591" cm="1">
        <f t="array" ref="C59">'Groups Stage'!F60</f>
        <v>1</v>
      </c>
      <c r="D59" s="592" cm="1">
        <f t="array" ref="D59">'Groups Stage'!G60</f>
        <v>2</v>
      </c>
      <c r="E59" s="593" t="str" cm="1">
        <f t="array" ref="E59">'Groups Stage'!H60</f>
        <v>Egipto</v>
      </c>
      <c r="F59" s="620"/>
      <c r="G59" s="606"/>
      <c r="H59" s="437"/>
      <c r="I59" s="74" t="str" cm="1">
        <f t="array" ref="I59">IF(OR(ISBLANK(C59),ISBLANK(D59)),"",IF(C59&gt;D59,B59,IF(D59&gt;C59,E59,"")))</f>
        <v>Egipto</v>
      </c>
      <c r="J59" s="74" t="str" cm="1">
        <f t="array" ref="J59">IF(OR(ISBLANK(C59),ISBLANK(D59)),"",IF(C59=D59,B59,""))</f>
        <v/>
      </c>
      <c r="K59" s="74" t="str" cm="1">
        <f t="array" ref="K59">IF(OR(ISBLANK(C59),ISBLANK(D59)),"",IF(C59=D59,E59,""))</f>
        <v/>
      </c>
      <c r="L59" s="74" t="str" cm="1">
        <f t="array" ref="L59">IF(OR(ISBLANK(C59),ISBLANK(D59)),"",IF(C59&lt;D59,B59,IF(D59&lt;C59,E59,"")))</f>
        <v>Nueva Zelanda</v>
      </c>
      <c r="M59" s="172"/>
    </row>
    <row r="60" spans="1:13" ht="14.25" customHeight="1">
      <c r="A60" s="589" t="str" cm="1">
        <f t="array" ref="A60">'Groups Stage'!A61</f>
        <v>GG5</v>
      </c>
      <c r="B60" s="590" t="str" cm="1">
        <f t="array" ref="B60">'Groups Stage'!E61</f>
        <v>Nueva Zelanda</v>
      </c>
      <c r="C60" s="591" cm="1">
        <f t="array" ref="C60">'Groups Stage'!F61</f>
        <v>0</v>
      </c>
      <c r="D60" s="592" cm="1">
        <f t="array" ref="D60">'Groups Stage'!G61</f>
        <v>2</v>
      </c>
      <c r="E60" s="593" t="str" cm="1">
        <f t="array" ref="E60">'Groups Stage'!H61</f>
        <v>Belgica</v>
      </c>
      <c r="F60" s="620"/>
      <c r="G60" s="606"/>
      <c r="H60" s="437"/>
      <c r="I60" s="74" t="str" cm="1">
        <f t="array" ref="I60">IF(OR(ISBLANK(C60),ISBLANK(D60)),"",IF(C60&gt;D60,B60,IF(D60&gt;C60,E60,"")))</f>
        <v>Belgica</v>
      </c>
      <c r="J60" s="74" t="str" cm="1">
        <f t="array" ref="J60">IF(OR(ISBLANK(C60),ISBLANK(D60)),"",IF(C60=D60,B60,""))</f>
        <v/>
      </c>
      <c r="K60" s="74" t="str" cm="1">
        <f t="array" ref="K60">IF(OR(ISBLANK(C60),ISBLANK(D60)),"",IF(C60=D60,E60,""))</f>
        <v/>
      </c>
      <c r="L60" s="74" t="str" cm="1">
        <f t="array" ref="L60">IF(OR(ISBLANK(C60),ISBLANK(D60)),"",IF(C60&lt;D60,B60,IF(D60&lt;C60,E60,"")))</f>
        <v>Nueva Zelanda</v>
      </c>
      <c r="M60" s="172"/>
    </row>
    <row r="61" spans="1:13" ht="14.25" customHeight="1">
      <c r="A61" s="594" t="str" cm="1">
        <f t="array" ref="A61">'Groups Stage'!A62</f>
        <v>GG6</v>
      </c>
      <c r="B61" s="595" t="str" cm="1">
        <f t="array" ref="B61">'Groups Stage'!E62</f>
        <v>Egipto</v>
      </c>
      <c r="C61" s="596" cm="1">
        <f t="array" ref="C61">'Groups Stage'!F62</f>
        <v>2</v>
      </c>
      <c r="D61" s="597" cm="1">
        <f t="array" ref="D61">'Groups Stage'!G62</f>
        <v>1</v>
      </c>
      <c r="E61" s="598" t="str" cm="1">
        <f t="array" ref="E61">'Groups Stage'!H62</f>
        <v>Iran</v>
      </c>
      <c r="F61" s="620"/>
      <c r="G61" s="606"/>
      <c r="H61" s="437"/>
      <c r="I61" s="78" t="str" cm="1">
        <f t="array" ref="I61">IF(OR(ISBLANK(C61),ISBLANK(D61)),"",IF(C61&gt;D61,B61,IF(D61&gt;C61,E61,"")))</f>
        <v>Egipto</v>
      </c>
      <c r="J61" s="78" t="str" cm="1">
        <f t="array" ref="J61">IF(OR(ISBLANK(C61),ISBLANK(D61)),"",IF(C61=D61,B61,""))</f>
        <v/>
      </c>
      <c r="K61" s="78" t="str" cm="1">
        <f t="array" ref="K61">IF(OR(ISBLANK(C61),ISBLANK(D61)),"",IF(C61=D61,E61,""))</f>
        <v/>
      </c>
      <c r="L61" s="78" t="str" cm="1">
        <f t="array" ref="L61">IF(OR(ISBLANK(C61),ISBLANK(D61)),"",IF(C61&lt;D61,B61,IF(D61&lt;C61,E61,"")))</f>
        <v>Iran</v>
      </c>
      <c r="M61" s="172"/>
    </row>
    <row r="62" spans="1:13" ht="14.25" customHeight="1">
      <c r="A62" s="601" cm="1">
        <f t="array" ref="A62">'Groups Stage'!A63</f>
        <v>0</v>
      </c>
      <c r="B62" s="602" cm="1">
        <f t="array" ref="B62">'Groups Stage'!E63</f>
        <v>0</v>
      </c>
      <c r="C62" s="601" cm="1">
        <f t="array" ref="C62">'Groups Stage'!F63</f>
        <v>0</v>
      </c>
      <c r="D62" s="603" cm="1">
        <f t="array" ref="D62">'Groups Stage'!G63</f>
        <v>0</v>
      </c>
      <c r="E62" s="604" cm="1">
        <f t="array" ref="E62">'Groups Stage'!H63</f>
        <v>0</v>
      </c>
      <c r="F62" s="620"/>
      <c r="G62" s="606"/>
      <c r="H62" s="437"/>
      <c r="I62" s="138" t="str" cm="1">
        <f t="array" ref="I62">IF(OR(ISBLANK(C62),ISBLANK(D62)),"",IF(C62&gt;D62,B62,IF(D62&gt;C62,E62,"")))</f>
        <v/>
      </c>
      <c r="J62" s="152" cm="1">
        <f t="array" ref="J62">IF(OR(ISBLANK(C62),ISBLANK(D62)),"",IF(C62=D62,B62,""))</f>
        <v>0</v>
      </c>
      <c r="K62" s="152" cm="1">
        <f t="array" ref="K62">IF(OR(ISBLANK(C62),ISBLANK(D62)),"",IF(C62=D62,E62,""))</f>
        <v>0</v>
      </c>
      <c r="L62" s="138" t="str" cm="1">
        <f t="array" ref="L62">IF(OR(ISBLANK(C62),ISBLANK(D62)),"",IF(C62&lt;D62,B62,IF(D62&lt;C62,E62,"")))</f>
        <v/>
      </c>
      <c r="M62" s="172"/>
    </row>
    <row r="63" spans="1:13" ht="14.25" customHeight="1">
      <c r="A63" s="607" cm="1">
        <f t="array" ref="A63">'Groups Stage'!A64</f>
        <v>0</v>
      </c>
      <c r="B63" s="608" cm="1">
        <f t="array" ref="B63">'Groups Stage'!E64</f>
        <v>0</v>
      </c>
      <c r="C63" s="607" cm="1">
        <f t="array" ref="C63">'Groups Stage'!F64</f>
        <v>0</v>
      </c>
      <c r="D63" s="609" cm="1">
        <f t="array" ref="D63">'Groups Stage'!G64</f>
        <v>0</v>
      </c>
      <c r="E63" s="610" cm="1">
        <f t="array" ref="E63">'Groups Stage'!H64</f>
        <v>0</v>
      </c>
      <c r="F63" s="620"/>
      <c r="G63" s="606"/>
      <c r="H63" s="437"/>
      <c r="I63" s="78" t="str" cm="1">
        <f t="array" ref="I63">IF(OR(ISBLANK(C63),ISBLANK(D63)),"",IF(C63&gt;D63,B63,IF(D63&gt;C63,E63,"")))</f>
        <v/>
      </c>
      <c r="J63" s="613" cm="1">
        <f t="array" ref="J63">IF(OR(ISBLANK(C63),ISBLANK(D63)),"",IF(C63=D63,B63,""))</f>
        <v>0</v>
      </c>
      <c r="K63" s="613" cm="1">
        <f t="array" ref="K63">IF(OR(ISBLANK(C63),ISBLANK(D63)),"",IF(C63=D63,E63,""))</f>
        <v>0</v>
      </c>
      <c r="L63" s="78" t="str" cm="1">
        <f t="array" ref="L63">IF(OR(ISBLANK(C63),ISBLANK(D63)),"",IF(C63&lt;D63,B63,IF(D63&lt;C63,E63,"")))</f>
        <v/>
      </c>
      <c r="M63" s="172"/>
    </row>
    <row r="64" spans="1:13" ht="14.25" customHeight="1">
      <c r="A64" s="614" t="str" cm="1">
        <f t="array" ref="A64">'Groups Stage'!A65</f>
        <v>Partido</v>
      </c>
      <c r="B64" s="615" t="str" cm="1">
        <f t="array" ref="B64">'Groups Stage'!E65</f>
        <v>Grupo H</v>
      </c>
      <c r="C64" s="616" cm="1">
        <f t="array" ref="C64">'Groups Stage'!F65</f>
        <v>0</v>
      </c>
      <c r="D64" s="617" cm="1">
        <f t="array" ref="D64">'Groups Stage'!G65</f>
        <v>0</v>
      </c>
      <c r="E64" s="618" cm="1">
        <f t="array" ref="E64">'Groups Stage'!H65</f>
        <v>0</v>
      </c>
      <c r="F64" s="620"/>
      <c r="G64" s="606"/>
      <c r="H64" s="437"/>
      <c r="I64" s="144" t="str" cm="1">
        <f t="array" ref="I64">IF(OR(ISBLANK(C64),ISBLANK(D64)),"",IF(C64&gt;D64,B64,IF(D64&gt;C64,E64,"")))</f>
        <v/>
      </c>
      <c r="J64" s="144" t="str" cm="1">
        <f t="array" ref="J64">IF(OR(ISBLANK(C64),ISBLANK(D64)),"",IF(C64=D64,B64,""))</f>
        <v>Grupo H</v>
      </c>
      <c r="K64" s="619" cm="1">
        <f t="array" ref="K64">IF(OR(ISBLANK(C64),ISBLANK(D64)),"",IF(C64=D64,E64,""))</f>
        <v>0</v>
      </c>
      <c r="L64" s="144" t="str" cm="1">
        <f t="array" ref="L64">IF(OR(ISBLANK(C64),ISBLANK(D64)),"",IF(C64&lt;D64,B64,IF(D64&lt;C64,E64,"")))</f>
        <v/>
      </c>
      <c r="M64" s="172"/>
    </row>
    <row r="65" spans="1:13" ht="14.25" customHeight="1">
      <c r="A65" s="584" t="str" cm="1">
        <f t="array" ref="A65">'Groups Stage'!A66</f>
        <v>GH1</v>
      </c>
      <c r="B65" s="585" t="str" cm="1">
        <f t="array" ref="B65">'Groups Stage'!E66</f>
        <v>España</v>
      </c>
      <c r="C65" s="586" cm="1">
        <f t="array" ref="C65">'Groups Stage'!F66</f>
        <v>4</v>
      </c>
      <c r="D65" s="587" cm="1">
        <f t="array" ref="D65">'Groups Stage'!G66</f>
        <v>0</v>
      </c>
      <c r="E65" s="588" t="str" cm="1">
        <f t="array" ref="E65">'Groups Stage'!H66</f>
        <v>Cabo Verde</v>
      </c>
      <c r="F65" s="620"/>
      <c r="G65" s="606"/>
      <c r="H65" s="437"/>
      <c r="I65" s="138" t="str" cm="1">
        <f t="array" ref="I65">IF(OR(ISBLANK(C65),ISBLANK(D65)),"",IF(C65&gt;D65,B65,IF(D65&gt;C65,E65,"")))</f>
        <v>España</v>
      </c>
      <c r="J65" s="138" t="str" cm="1">
        <f t="array" ref="J65">IF(OR(ISBLANK(C65),ISBLANK(D65)),"",IF(C65=D65,B65,""))</f>
        <v/>
      </c>
      <c r="K65" s="138" t="str" cm="1">
        <f t="array" ref="K65">IF(OR(ISBLANK(C65),ISBLANK(D65)),"",IF(C65=D65,E65,""))</f>
        <v/>
      </c>
      <c r="L65" s="138" t="str" cm="1">
        <f t="array" ref="L65">IF(OR(ISBLANK(C65),ISBLANK(D65)),"",IF(C65&lt;D65,B65,IF(D65&lt;C65,E65,"")))</f>
        <v>Cabo Verde</v>
      </c>
      <c r="M65" s="172"/>
    </row>
    <row r="66" spans="1:13" ht="14.25" customHeight="1">
      <c r="A66" s="589" t="str" cm="1">
        <f t="array" ref="A66">'Groups Stage'!A67</f>
        <v>GH2</v>
      </c>
      <c r="B66" s="590" t="str" cm="1">
        <f t="array" ref="B66">'Groups Stage'!E67</f>
        <v>Arabia Saudita</v>
      </c>
      <c r="C66" s="591" cm="1">
        <f t="array" ref="C66">'Groups Stage'!F67</f>
        <v>1</v>
      </c>
      <c r="D66" s="592" cm="1">
        <f t="array" ref="D66">'Groups Stage'!G67</f>
        <v>2</v>
      </c>
      <c r="E66" s="593" t="str" cm="1">
        <f t="array" ref="E66">'Groups Stage'!H67</f>
        <v>Uruguay</v>
      </c>
      <c r="F66" s="620"/>
      <c r="G66" s="606"/>
      <c r="H66" s="437"/>
      <c r="I66" s="74" t="str" cm="1">
        <f t="array" ref="I66">IF(OR(ISBLANK(C66),ISBLANK(D66)),"",IF(C66&gt;D66,B66,IF(D66&gt;C66,E66,"")))</f>
        <v>Uruguay</v>
      </c>
      <c r="J66" s="74" t="str" cm="1">
        <f t="array" ref="J66">IF(OR(ISBLANK(C66),ISBLANK(D66)),"",IF(C66=D66,B66,""))</f>
        <v/>
      </c>
      <c r="K66" s="74" t="str" cm="1">
        <f t="array" ref="K66">IF(OR(ISBLANK(C66),ISBLANK(D66)),"",IF(C66=D66,E66,""))</f>
        <v/>
      </c>
      <c r="L66" s="74" t="str" cm="1">
        <f t="array" ref="L66">IF(OR(ISBLANK(C66),ISBLANK(D66)),"",IF(C66&lt;D66,B66,IF(D66&lt;C66,E66,"")))</f>
        <v>Arabia Saudita</v>
      </c>
      <c r="M66" s="172"/>
    </row>
    <row r="67" spans="1:13" ht="14.25" customHeight="1">
      <c r="A67" s="589" t="str" cm="1">
        <f t="array" ref="A67">'Groups Stage'!A68</f>
        <v>GH3</v>
      </c>
      <c r="B67" s="590" t="str" cm="1">
        <f t="array" ref="B67">'Groups Stage'!E68</f>
        <v>España</v>
      </c>
      <c r="C67" s="591" cm="1">
        <f t="array" ref="C67">'Groups Stage'!F68</f>
        <v>2</v>
      </c>
      <c r="D67" s="592" cm="1">
        <f t="array" ref="D67">'Groups Stage'!G68</f>
        <v>0</v>
      </c>
      <c r="E67" s="593" t="str" cm="1">
        <f t="array" ref="E67">'Groups Stage'!H68</f>
        <v>Arabia Saudita</v>
      </c>
      <c r="F67" s="620"/>
      <c r="G67" s="606"/>
      <c r="H67" s="437"/>
      <c r="I67" s="74" t="str" cm="1">
        <f t="array" ref="I67">IF(OR(ISBLANK(C67),ISBLANK(D67)),"",IF(C67&gt;D67,B67,IF(D67&gt;C67,E67,"")))</f>
        <v>España</v>
      </c>
      <c r="J67" s="74" t="str" cm="1">
        <f t="array" ref="J67">IF(OR(ISBLANK(C67),ISBLANK(D67)),"",IF(C67=D67,B67,""))</f>
        <v/>
      </c>
      <c r="K67" s="74" t="str" cm="1">
        <f t="array" ref="K67">IF(OR(ISBLANK(C67),ISBLANK(D67)),"",IF(C67=D67,E67,""))</f>
        <v/>
      </c>
      <c r="L67" s="74" t="str" cm="1">
        <f t="array" ref="L67">IF(OR(ISBLANK(C67),ISBLANK(D67)),"",IF(C67&lt;D67,B67,IF(D67&lt;C67,E67,"")))</f>
        <v>Arabia Saudita</v>
      </c>
      <c r="M67" s="172"/>
    </row>
    <row r="68" spans="1:13" ht="14.25" customHeight="1">
      <c r="A68" s="589" t="str" cm="1">
        <f t="array" ref="A68">'Groups Stage'!A69</f>
        <v>GH4</v>
      </c>
      <c r="B68" s="590" t="str" cm="1">
        <f t="array" ref="B68">'Groups Stage'!E69</f>
        <v>Uruguay</v>
      </c>
      <c r="C68" s="591" cm="1">
        <f t="array" ref="C68">'Groups Stage'!F69</f>
        <v>2</v>
      </c>
      <c r="D68" s="592" cm="1">
        <f t="array" ref="D68">'Groups Stage'!G69</f>
        <v>0</v>
      </c>
      <c r="E68" s="593" t="str" cm="1">
        <f t="array" ref="E68">'Groups Stage'!H69</f>
        <v>Cabo Verde</v>
      </c>
      <c r="F68" s="620"/>
      <c r="G68" s="606"/>
      <c r="H68" s="437"/>
      <c r="I68" s="74" t="str" cm="1">
        <f t="array" ref="I68">IF(OR(ISBLANK(C68),ISBLANK(D68)),"",IF(C68&gt;D68,B68,IF(D68&gt;C68,E68,"")))</f>
        <v>Uruguay</v>
      </c>
      <c r="J68" s="74" t="str" cm="1">
        <f t="array" ref="J68">IF(OR(ISBLANK(C68),ISBLANK(D68)),"",IF(C68=D68,B68,""))</f>
        <v/>
      </c>
      <c r="K68" s="74" t="str" cm="1">
        <f t="array" ref="K68">IF(OR(ISBLANK(C68),ISBLANK(D68)),"",IF(C68=D68,E68,""))</f>
        <v/>
      </c>
      <c r="L68" s="74" t="str" cm="1">
        <f t="array" ref="L68">IF(OR(ISBLANK(C68),ISBLANK(D68)),"",IF(C68&lt;D68,B68,IF(D68&lt;C68,E68,"")))</f>
        <v>Cabo Verde</v>
      </c>
      <c r="M68" s="172"/>
    </row>
    <row r="69" spans="1:13" ht="14.25" customHeight="1">
      <c r="A69" s="589" t="str" cm="1">
        <f t="array" ref="A69">'Groups Stage'!A70</f>
        <v>GH5</v>
      </c>
      <c r="B69" s="590" t="str" cm="1">
        <f t="array" ref="B69">'Groups Stage'!E70</f>
        <v>Uruguay</v>
      </c>
      <c r="C69" s="591" cm="1">
        <f t="array" ref="C69">'Groups Stage'!F70</f>
        <v>1</v>
      </c>
      <c r="D69" s="592" cm="1">
        <f t="array" ref="D69">'Groups Stage'!G70</f>
        <v>1</v>
      </c>
      <c r="E69" s="593" t="str" cm="1">
        <f t="array" ref="E69">'Groups Stage'!H70</f>
        <v>España</v>
      </c>
      <c r="F69" s="620"/>
      <c r="G69" s="606"/>
      <c r="H69" s="437"/>
      <c r="I69" s="74" t="str" cm="1">
        <f t="array" ref="I69">IF(OR(ISBLANK(C69),ISBLANK(D69)),"",IF(C69&gt;D69,B69,IF(D69&gt;C69,E69,"")))</f>
        <v/>
      </c>
      <c r="J69" s="74" t="str" cm="1">
        <f t="array" ref="J69">IF(OR(ISBLANK(C69),ISBLANK(D69)),"",IF(C69=D69,B69,""))</f>
        <v>Uruguay</v>
      </c>
      <c r="K69" s="74" t="str" cm="1">
        <f t="array" ref="K69">IF(OR(ISBLANK(C69),ISBLANK(D69)),"",IF(C69=D69,E69,""))</f>
        <v>España</v>
      </c>
      <c r="L69" s="74" t="str" cm="1">
        <f t="array" ref="L69">IF(OR(ISBLANK(C69),ISBLANK(D69)),"",IF(C69&lt;D69,B69,IF(D69&lt;C69,E69,"")))</f>
        <v/>
      </c>
      <c r="M69" s="172"/>
    </row>
    <row r="70" spans="1:13" ht="14.25" customHeight="1">
      <c r="A70" s="594" t="str" cm="1">
        <f t="array" ref="A70">'Groups Stage'!A71</f>
        <v>GH6</v>
      </c>
      <c r="B70" s="595" t="str" cm="1">
        <f t="array" ref="B70">'Groups Stage'!E71</f>
        <v>Cabo Verde</v>
      </c>
      <c r="C70" s="596" cm="1">
        <f t="array" ref="C70">'Groups Stage'!F71</f>
        <v>0</v>
      </c>
      <c r="D70" s="597" cm="1">
        <f t="array" ref="D70">'Groups Stage'!G71</f>
        <v>2</v>
      </c>
      <c r="E70" s="598" t="str" cm="1">
        <f t="array" ref="E70">'Groups Stage'!H71</f>
        <v>Arabia Saudita</v>
      </c>
      <c r="F70" s="620"/>
      <c r="G70" s="606"/>
      <c r="H70" s="437"/>
      <c r="I70" s="78" t="str" cm="1">
        <f t="array" ref="I70">IF(OR(ISBLANK(C70),ISBLANK(D70)),"",IF(C70&gt;D70,B70,IF(D70&gt;C70,E70,"")))</f>
        <v>Arabia Saudita</v>
      </c>
      <c r="J70" s="78" t="str" cm="1">
        <f t="array" ref="J70">IF(OR(ISBLANK(C70),ISBLANK(D70)),"",IF(C70=D70,B70,""))</f>
        <v/>
      </c>
      <c r="K70" s="78" t="str" cm="1">
        <f t="array" ref="K70">IF(OR(ISBLANK(C70),ISBLANK(D70)),"",IF(C70=D70,E70,""))</f>
        <v/>
      </c>
      <c r="L70" s="78" t="str" cm="1">
        <f t="array" ref="L70">IF(OR(ISBLANK(C70),ISBLANK(D70)),"",IF(C70&lt;D70,B70,IF(D70&lt;C70,E70,"")))</f>
        <v>Cabo Verde</v>
      </c>
      <c r="M70" s="172"/>
    </row>
    <row r="71" spans="1:13" ht="14.25" customHeight="1">
      <c r="A71" s="601" cm="1">
        <f t="array" ref="A71">'Groups Stage'!A72</f>
        <v>0</v>
      </c>
      <c r="B71" s="602" cm="1">
        <f t="array" ref="B71">'Groups Stage'!E72</f>
        <v>0</v>
      </c>
      <c r="C71" s="601" cm="1">
        <f t="array" ref="C71">'Groups Stage'!F72</f>
        <v>0</v>
      </c>
      <c r="D71" s="603" cm="1">
        <f t="array" ref="D71">'Groups Stage'!G72</f>
        <v>0</v>
      </c>
      <c r="E71" s="604" cm="1">
        <f t="array" ref="E71">'Groups Stage'!H72</f>
        <v>0</v>
      </c>
      <c r="F71" s="620"/>
      <c r="G71" s="606"/>
      <c r="H71" s="437"/>
      <c r="I71" s="138" t="str" cm="1">
        <f t="array" ref="I71">IF(OR(ISBLANK(C71),ISBLANK(D71)),"",IF(C71&gt;D71,B71,IF(D71&gt;C71,E71,"")))</f>
        <v/>
      </c>
      <c r="J71" s="152" cm="1">
        <f t="array" ref="J71">IF(OR(ISBLANK(C71),ISBLANK(D71)),"",IF(C71=D71,B71,""))</f>
        <v>0</v>
      </c>
      <c r="K71" s="152" cm="1">
        <f t="array" ref="K71">IF(OR(ISBLANK(C71),ISBLANK(D71)),"",IF(C71=D71,E71,""))</f>
        <v>0</v>
      </c>
      <c r="L71" s="138" t="str" cm="1">
        <f t="array" ref="L71">IF(OR(ISBLANK(C71),ISBLANK(D71)),"",IF(C71&lt;D71,B71,IF(D71&lt;C71,E71,"")))</f>
        <v/>
      </c>
      <c r="M71" s="172"/>
    </row>
    <row r="72" spans="1:13" ht="14.25" customHeight="1">
      <c r="A72" s="607" cm="1">
        <f t="array" ref="A72">'Groups Stage'!A73</f>
        <v>0</v>
      </c>
      <c r="B72" s="608" cm="1">
        <f t="array" ref="B72">'Groups Stage'!E73</f>
        <v>0</v>
      </c>
      <c r="C72" s="607" cm="1">
        <f t="array" ref="C72">'Groups Stage'!F73</f>
        <v>0</v>
      </c>
      <c r="D72" s="609" cm="1">
        <f t="array" ref="D72">'Groups Stage'!G73</f>
        <v>0</v>
      </c>
      <c r="E72" s="610" cm="1">
        <f t="array" ref="E72">'Groups Stage'!H73</f>
        <v>0</v>
      </c>
      <c r="F72" s="620"/>
      <c r="G72" s="606"/>
      <c r="H72" s="437"/>
      <c r="I72" s="78" t="str" cm="1">
        <f t="array" ref="I72">IF(OR(ISBLANK(C72),ISBLANK(D72)),"",IF(C72&gt;D72,B72,IF(D72&gt;C72,E72,"")))</f>
        <v/>
      </c>
      <c r="J72" s="613" cm="1">
        <f t="array" ref="J72">IF(OR(ISBLANK(C72),ISBLANK(D72)),"",IF(C72=D72,B72,""))</f>
        <v>0</v>
      </c>
      <c r="K72" s="613" cm="1">
        <f t="array" ref="K72">IF(OR(ISBLANK(C72),ISBLANK(D72)),"",IF(C72=D72,E72,""))</f>
        <v>0</v>
      </c>
      <c r="L72" s="78" t="str" cm="1">
        <f t="array" ref="L72">IF(OR(ISBLANK(C72),ISBLANK(D72)),"",IF(C72&lt;D72,B72,IF(D72&lt;C72,E72,"")))</f>
        <v/>
      </c>
      <c r="M72" s="172"/>
    </row>
    <row r="73" spans="1:13" ht="14.25" customHeight="1">
      <c r="A73" s="614" t="str" cm="1">
        <f t="array" ref="A73">'Groups Stage'!A74</f>
        <v>Partido</v>
      </c>
      <c r="B73" s="615" t="str" cm="1">
        <f t="array" ref="B73">'Groups Stage'!E74</f>
        <v>Grupo I</v>
      </c>
      <c r="C73" s="616" cm="1">
        <f t="array" ref="C73">'Groups Stage'!F74</f>
        <v>0</v>
      </c>
      <c r="D73" s="617" cm="1">
        <f t="array" ref="D73">'Groups Stage'!G74</f>
        <v>0</v>
      </c>
      <c r="E73" s="618" cm="1">
        <f t="array" ref="E73">'Groups Stage'!H74</f>
        <v>0</v>
      </c>
      <c r="F73" s="620"/>
      <c r="G73" s="606"/>
      <c r="H73" s="437"/>
      <c r="I73" s="144" t="str" cm="1">
        <f t="array" ref="I73">IF(OR(ISBLANK(C73),ISBLANK(D73)),"",IF(C73&gt;D73,B73,IF(D73&gt;C73,E73,"")))</f>
        <v/>
      </c>
      <c r="J73" s="144" t="str" cm="1">
        <f t="array" ref="J73">IF(OR(ISBLANK(C73),ISBLANK(D73)),"",IF(C73=D73,B73,""))</f>
        <v>Grupo I</v>
      </c>
      <c r="K73" s="619" cm="1">
        <f t="array" ref="K73">IF(OR(ISBLANK(C73),ISBLANK(D73)),"",IF(C73=D73,E73,""))</f>
        <v>0</v>
      </c>
      <c r="L73" s="144" t="str" cm="1">
        <f t="array" ref="L73">IF(OR(ISBLANK(C73),ISBLANK(D73)),"",IF(C73&lt;D73,B73,IF(D73&lt;C73,E73,"")))</f>
        <v/>
      </c>
      <c r="M73" s="172"/>
    </row>
    <row r="74" spans="1:13" ht="14.25" customHeight="1">
      <c r="A74" s="584" t="str" cm="1">
        <f t="array" ref="A74">'Groups Stage'!A75</f>
        <v>GI1</v>
      </c>
      <c r="B74" s="585" t="str" cm="1">
        <f t="array" ref="B74">'Groups Stage'!E75</f>
        <v>Francia</v>
      </c>
      <c r="C74" s="586" cm="1">
        <f t="array" ref="C74">'Groups Stage'!F75</f>
        <v>2</v>
      </c>
      <c r="D74" s="587" cm="1">
        <f t="array" ref="D74">'Groups Stage'!G75</f>
        <v>1</v>
      </c>
      <c r="E74" s="588" t="str" cm="1">
        <f t="array" ref="E74">'Groups Stage'!H75</f>
        <v>Senegal</v>
      </c>
      <c r="F74" s="620"/>
      <c r="G74" s="606"/>
      <c r="H74" s="437"/>
      <c r="I74" s="138" t="str" cm="1">
        <f t="array" ref="I74">IF(OR(ISBLANK(C74),ISBLANK(D74)),"",IF(C74&gt;D74,B74,IF(D74&gt;C74,E74,"")))</f>
        <v>Francia</v>
      </c>
      <c r="J74" s="138" t="str" cm="1">
        <f t="array" ref="J74">IF(OR(ISBLANK(C74),ISBLANK(D74)),"",IF(C74=D74,B74,""))</f>
        <v/>
      </c>
      <c r="K74" s="138" t="str" cm="1">
        <f t="array" ref="K74">IF(OR(ISBLANK(C74),ISBLANK(D74)),"",IF(C74=D74,E74,""))</f>
        <v/>
      </c>
      <c r="L74" s="138" t="str" cm="1">
        <f t="array" ref="L74">IF(OR(ISBLANK(C74),ISBLANK(D74)),"",IF(C74&lt;D74,B74,IF(D74&lt;C74,E74,"")))</f>
        <v>Senegal</v>
      </c>
      <c r="M74" s="172"/>
    </row>
    <row r="75" spans="1:13" ht="14.25" customHeight="1">
      <c r="A75" s="589" t="str" cm="1">
        <f t="array" ref="A75">'Groups Stage'!A76</f>
        <v>GI2</v>
      </c>
      <c r="B75" s="590" t="str" cm="1">
        <f t="array" ref="B75">'Groups Stage'!E76</f>
        <v>Irak</v>
      </c>
      <c r="C75" s="591" cm="1">
        <f t="array" ref="C75">'Groups Stage'!F76</f>
        <v>0</v>
      </c>
      <c r="D75" s="592" cm="1">
        <f t="array" ref="D75">'Groups Stage'!G76</f>
        <v>2</v>
      </c>
      <c r="E75" s="593" t="str" cm="1">
        <f t="array" ref="E75">'Groups Stage'!H76</f>
        <v>Noruega</v>
      </c>
      <c r="F75" s="620"/>
      <c r="G75" s="606"/>
      <c r="H75" s="437"/>
      <c r="I75" s="74" t="str" cm="1">
        <f t="array" ref="I75">IF(OR(ISBLANK(C75),ISBLANK(D75)),"",IF(C75&gt;D75,B75,IF(D75&gt;C75,E75,"")))</f>
        <v>Noruega</v>
      </c>
      <c r="J75" s="74" t="str" cm="1">
        <f t="array" ref="J75">IF(OR(ISBLANK(C75),ISBLANK(D75)),"",IF(C75=D75,B75,""))</f>
        <v/>
      </c>
      <c r="K75" s="74" t="str" cm="1">
        <f t="array" ref="K75">IF(OR(ISBLANK(C75),ISBLANK(D75)),"",IF(C75=D75,E75,""))</f>
        <v/>
      </c>
      <c r="L75" s="74" t="str" cm="1">
        <f t="array" ref="L75">IF(OR(ISBLANK(C75),ISBLANK(D75)),"",IF(C75&lt;D75,B75,IF(D75&lt;C75,E75,"")))</f>
        <v>Irak</v>
      </c>
      <c r="M75" s="172"/>
    </row>
    <row r="76" spans="1:13" ht="14.25" customHeight="1">
      <c r="A76" s="589" t="str" cm="1">
        <f t="array" ref="A76">'Groups Stage'!A77</f>
        <v>GI3</v>
      </c>
      <c r="B76" s="590" t="str" cm="1">
        <f t="array" ref="B76">'Groups Stage'!E77</f>
        <v>Francia</v>
      </c>
      <c r="C76" s="591" cm="1">
        <f t="array" ref="C76">'Groups Stage'!F77</f>
        <v>3</v>
      </c>
      <c r="D76" s="592" cm="1">
        <f t="array" ref="D76">'Groups Stage'!G77</f>
        <v>0</v>
      </c>
      <c r="E76" s="593" t="str" cm="1">
        <f t="array" ref="E76">'Groups Stage'!H77</f>
        <v>Irak</v>
      </c>
      <c r="F76" s="620"/>
      <c r="G76" s="606"/>
      <c r="H76" s="437"/>
      <c r="I76" s="74" t="str" cm="1">
        <f t="array" ref="I76">IF(OR(ISBLANK(C76),ISBLANK(D76)),"",IF(C76&gt;D76,B76,IF(D76&gt;C76,E76,"")))</f>
        <v>Francia</v>
      </c>
      <c r="J76" s="74" t="str" cm="1">
        <f t="array" ref="J76">IF(OR(ISBLANK(C76),ISBLANK(D76)),"",IF(C76=D76,B76,""))</f>
        <v/>
      </c>
      <c r="K76" s="74" t="str" cm="1">
        <f t="array" ref="K76">IF(OR(ISBLANK(C76),ISBLANK(D76)),"",IF(C76=D76,E76,""))</f>
        <v/>
      </c>
      <c r="L76" s="74" t="str" cm="1">
        <f t="array" ref="L76">IF(OR(ISBLANK(C76),ISBLANK(D76)),"",IF(C76&lt;D76,B76,IF(D76&lt;C76,E76,"")))</f>
        <v>Irak</v>
      </c>
      <c r="M76" s="172"/>
    </row>
    <row r="77" spans="1:13" ht="14.25" customHeight="1">
      <c r="A77" s="589" t="str" cm="1">
        <f t="array" ref="A77">'Groups Stage'!A78</f>
        <v>GI4</v>
      </c>
      <c r="B77" s="590" t="str" cm="1">
        <f t="array" ref="B77">'Groups Stage'!E78</f>
        <v>Noruega</v>
      </c>
      <c r="C77" s="591" cm="1">
        <f t="array" ref="C77">'Groups Stage'!F78</f>
        <v>2</v>
      </c>
      <c r="D77" s="592" cm="1">
        <f t="array" ref="D77">'Groups Stage'!G78</f>
        <v>2</v>
      </c>
      <c r="E77" s="593" t="str" cm="1">
        <f t="array" ref="E77">'Groups Stage'!H78</f>
        <v>Senegal</v>
      </c>
      <c r="F77" s="620"/>
      <c r="G77" s="606"/>
      <c r="H77" s="437"/>
      <c r="I77" s="74" t="str" cm="1">
        <f t="array" ref="I77">IF(OR(ISBLANK(C77),ISBLANK(D77)),"",IF(C77&gt;D77,B77,IF(D77&gt;C77,E77,"")))</f>
        <v/>
      </c>
      <c r="J77" s="74" t="str" cm="1">
        <f t="array" ref="J77">IF(OR(ISBLANK(C77),ISBLANK(D77)),"",IF(C77=D77,B77,""))</f>
        <v>Noruega</v>
      </c>
      <c r="K77" s="74" t="str" cm="1">
        <f t="array" ref="K77">IF(OR(ISBLANK(C77),ISBLANK(D77)),"",IF(C77=D77,E77,""))</f>
        <v>Senegal</v>
      </c>
      <c r="L77" s="74" t="str" cm="1">
        <f t="array" ref="L77">IF(OR(ISBLANK(C77),ISBLANK(D77)),"",IF(C77&lt;D77,B77,IF(D77&lt;C77,E77,"")))</f>
        <v/>
      </c>
      <c r="M77" s="172"/>
    </row>
    <row r="78" spans="1:13" ht="14.25" customHeight="1">
      <c r="A78" s="589" t="str" cm="1">
        <f t="array" ref="A78">'Groups Stage'!A79</f>
        <v>GI5</v>
      </c>
      <c r="B78" s="590" t="str" cm="1">
        <f t="array" ref="B78">'Groups Stage'!E79</f>
        <v>Noruega</v>
      </c>
      <c r="C78" s="591" cm="1">
        <f t="array" ref="C78">'Groups Stage'!F79</f>
        <v>1</v>
      </c>
      <c r="D78" s="592" cm="1">
        <f t="array" ref="D78">'Groups Stage'!G79</f>
        <v>2</v>
      </c>
      <c r="E78" s="593" t="str" cm="1">
        <f t="array" ref="E78">'Groups Stage'!H79</f>
        <v>Francia</v>
      </c>
      <c r="F78" s="620"/>
      <c r="G78" s="606"/>
      <c r="H78" s="437"/>
      <c r="I78" s="74" t="str" cm="1">
        <f t="array" ref="I78">IF(OR(ISBLANK(C78),ISBLANK(D78)),"",IF(C78&gt;D78,B78,IF(D78&gt;C78,E78,"")))</f>
        <v>Francia</v>
      </c>
      <c r="J78" s="74" t="str" cm="1">
        <f t="array" ref="J78">IF(OR(ISBLANK(C78),ISBLANK(D78)),"",IF(C78=D78,B78,""))</f>
        <v/>
      </c>
      <c r="K78" s="74" t="str" cm="1">
        <f t="array" ref="K78">IF(OR(ISBLANK(C78),ISBLANK(D78)),"",IF(C78=D78,E78,""))</f>
        <v/>
      </c>
      <c r="L78" s="74" t="str" cm="1">
        <f t="array" ref="L78">IF(OR(ISBLANK(C78),ISBLANK(D78)),"",IF(C78&lt;D78,B78,IF(D78&lt;C78,E78,"")))</f>
        <v>Noruega</v>
      </c>
      <c r="M78" s="172"/>
    </row>
    <row r="79" spans="1:13" ht="14.25" customHeight="1">
      <c r="A79" s="594" t="str" cm="1">
        <f t="array" ref="A79">'Groups Stage'!A80</f>
        <v>GI6</v>
      </c>
      <c r="B79" s="595" t="str" cm="1">
        <f t="array" ref="B79">'Groups Stage'!E80</f>
        <v>Senegal</v>
      </c>
      <c r="C79" s="596" cm="1">
        <f t="array" ref="C79">'Groups Stage'!F80</f>
        <v>2</v>
      </c>
      <c r="D79" s="597" cm="1">
        <f t="array" ref="D79">'Groups Stage'!G80</f>
        <v>0</v>
      </c>
      <c r="E79" s="598" t="str" cm="1">
        <f t="array" ref="E79">'Groups Stage'!H80</f>
        <v>Irak</v>
      </c>
      <c r="F79" s="620"/>
      <c r="G79" s="606"/>
      <c r="H79" s="437"/>
      <c r="I79" s="78" t="str" cm="1">
        <f t="array" ref="I79">IF(OR(ISBLANK(C79),ISBLANK(D79)),"",IF(C79&gt;D79,B79,IF(D79&gt;C79,E79,"")))</f>
        <v>Senegal</v>
      </c>
      <c r="J79" s="78" t="str" cm="1">
        <f t="array" ref="J79">IF(OR(ISBLANK(C79),ISBLANK(D79)),"",IF(C79=D79,B79,""))</f>
        <v/>
      </c>
      <c r="K79" s="78" t="str" cm="1">
        <f t="array" ref="K79">IF(OR(ISBLANK(C79),ISBLANK(D79)),"",IF(C79=D79,E79,""))</f>
        <v/>
      </c>
      <c r="L79" s="78" t="str" cm="1">
        <f t="array" ref="L79">IF(OR(ISBLANK(C79),ISBLANK(D79)),"",IF(C79&lt;D79,B79,IF(D79&lt;C79,E79,"")))</f>
        <v>Irak</v>
      </c>
      <c r="M79" s="172"/>
    </row>
    <row r="80" spans="1:13" ht="14.25" customHeight="1">
      <c r="A80" s="601" cm="1">
        <f t="array" ref="A80">'Groups Stage'!A81</f>
        <v>0</v>
      </c>
      <c r="B80" s="602" cm="1">
        <f t="array" ref="B80">'Groups Stage'!E81</f>
        <v>0</v>
      </c>
      <c r="C80" s="601" cm="1">
        <f t="array" ref="C80">'Groups Stage'!F81</f>
        <v>0</v>
      </c>
      <c r="D80" s="603" cm="1">
        <f t="array" ref="D80">'Groups Stage'!G81</f>
        <v>0</v>
      </c>
      <c r="E80" s="604" cm="1">
        <f t="array" ref="E80">'Groups Stage'!H81</f>
        <v>0</v>
      </c>
      <c r="F80" s="620"/>
      <c r="G80" s="606"/>
      <c r="H80" s="437"/>
      <c r="I80" s="138" t="str" cm="1">
        <f t="array" ref="I80">IF(OR(ISBLANK(C80),ISBLANK(D80)),"",IF(C80&gt;D80,B80,IF(D80&gt;C80,E80,"")))</f>
        <v/>
      </c>
      <c r="J80" s="152" cm="1">
        <f t="array" ref="J80">IF(OR(ISBLANK(C80),ISBLANK(D80)),"",IF(C80=D80,B80,""))</f>
        <v>0</v>
      </c>
      <c r="K80" s="152" cm="1">
        <f t="array" ref="K80">IF(OR(ISBLANK(C80),ISBLANK(D80)),"",IF(C80=D80,E80,""))</f>
        <v>0</v>
      </c>
      <c r="L80" s="138" t="str" cm="1">
        <f t="array" ref="L80">IF(OR(ISBLANK(C80),ISBLANK(D80)),"",IF(C80&lt;D80,B80,IF(D80&lt;C80,E80,"")))</f>
        <v/>
      </c>
      <c r="M80" s="172"/>
    </row>
    <row r="81" spans="1:13" ht="14.25" customHeight="1">
      <c r="A81" s="607" cm="1">
        <f t="array" ref="A81">'Groups Stage'!A82</f>
        <v>0</v>
      </c>
      <c r="B81" s="608" cm="1">
        <f t="array" ref="B81">'Groups Stage'!E82</f>
        <v>0</v>
      </c>
      <c r="C81" s="607" cm="1">
        <f t="array" ref="C81">'Groups Stage'!F82</f>
        <v>0</v>
      </c>
      <c r="D81" s="609" cm="1">
        <f t="array" ref="D81">'Groups Stage'!G82</f>
        <v>0</v>
      </c>
      <c r="E81" s="610" cm="1">
        <f t="array" ref="E81">'Groups Stage'!H82</f>
        <v>0</v>
      </c>
      <c r="F81" s="620"/>
      <c r="G81" s="606"/>
      <c r="H81" s="437"/>
      <c r="I81" s="78" t="str" cm="1">
        <f t="array" ref="I81">IF(OR(ISBLANK(C81),ISBLANK(D81)),"",IF(C81&gt;D81,B81,IF(D81&gt;C81,E81,"")))</f>
        <v/>
      </c>
      <c r="J81" s="613" cm="1">
        <f t="array" ref="J81">IF(OR(ISBLANK(C81),ISBLANK(D81)),"",IF(C81=D81,B81,""))</f>
        <v>0</v>
      </c>
      <c r="K81" s="613" cm="1">
        <f t="array" ref="K81">IF(OR(ISBLANK(C81),ISBLANK(D81)),"",IF(C81=D81,E81,""))</f>
        <v>0</v>
      </c>
      <c r="L81" s="78" t="str" cm="1">
        <f t="array" ref="L81">IF(OR(ISBLANK(C81),ISBLANK(D81)),"",IF(C81&lt;D81,B81,IF(D81&lt;C81,E81,"")))</f>
        <v/>
      </c>
      <c r="M81" s="172"/>
    </row>
    <row r="82" spans="1:13" ht="14.25" customHeight="1">
      <c r="A82" s="614" t="str" cm="1">
        <f t="array" ref="A82">'Groups Stage'!A83</f>
        <v>Partido</v>
      </c>
      <c r="B82" s="615" t="str" cm="1">
        <f t="array" ref="B82">'Groups Stage'!E83</f>
        <v>Grupo J</v>
      </c>
      <c r="C82" s="616" cm="1">
        <f t="array" ref="C82">'Groups Stage'!F83</f>
        <v>0</v>
      </c>
      <c r="D82" s="617" cm="1">
        <f t="array" ref="D82">'Groups Stage'!G83</f>
        <v>0</v>
      </c>
      <c r="E82" s="618" cm="1">
        <f t="array" ref="E82">'Groups Stage'!H83</f>
        <v>0</v>
      </c>
      <c r="F82" s="620"/>
      <c r="G82" s="606"/>
      <c r="H82" s="437"/>
      <c r="I82" s="144" t="str" cm="1">
        <f t="array" ref="I82">IF(OR(ISBLANK(C82),ISBLANK(D82)),"",IF(C82&gt;D82,B82,IF(D82&gt;C82,E82,"")))</f>
        <v/>
      </c>
      <c r="J82" s="144" t="str" cm="1">
        <f t="array" ref="J82">IF(OR(ISBLANK(C82),ISBLANK(D82)),"",IF(C82=D82,B82,""))</f>
        <v>Grupo J</v>
      </c>
      <c r="K82" s="619" cm="1">
        <f t="array" ref="K82">IF(OR(ISBLANK(C82),ISBLANK(D82)),"",IF(C82=D82,E82,""))</f>
        <v>0</v>
      </c>
      <c r="L82" s="144" t="str" cm="1">
        <f t="array" ref="L82">IF(OR(ISBLANK(C82),ISBLANK(D82)),"",IF(C82&lt;D82,B82,IF(D82&lt;C82,E82,"")))</f>
        <v/>
      </c>
      <c r="M82" s="172"/>
    </row>
    <row r="83" spans="1:13" ht="14.25" customHeight="1">
      <c r="A83" s="584" t="str" cm="1">
        <f t="array" ref="A83">'Groups Stage'!A84</f>
        <v>GJ1</v>
      </c>
      <c r="B83" s="585" t="str" cm="1">
        <f t="array" ref="B83">'Groups Stage'!E84</f>
        <v>Argentina</v>
      </c>
      <c r="C83" s="586" cm="1">
        <f t="array" ref="C83">'Groups Stage'!F84</f>
        <v>2</v>
      </c>
      <c r="D83" s="587" cm="1">
        <f t="array" ref="D83">'Groups Stage'!G84</f>
        <v>0</v>
      </c>
      <c r="E83" s="588" t="str" cm="1">
        <f t="array" ref="E83">'Groups Stage'!H84</f>
        <v>Argelia</v>
      </c>
      <c r="F83" s="620"/>
      <c r="G83" s="606"/>
      <c r="H83" s="437"/>
      <c r="I83" s="138" t="str" cm="1">
        <f t="array" ref="I83">IF(OR(ISBLANK(C83),ISBLANK(D83)),"",IF(C83&gt;D83,B83,IF(D83&gt;C83,E83,"")))</f>
        <v>Argentina</v>
      </c>
      <c r="J83" s="138" t="str" cm="1">
        <f t="array" ref="J83">IF(OR(ISBLANK(C83),ISBLANK(D83)),"",IF(C83=D83,B83,""))</f>
        <v/>
      </c>
      <c r="K83" s="138" t="str" cm="1">
        <f t="array" ref="K83">IF(OR(ISBLANK(C83),ISBLANK(D83)),"",IF(C83=D83,E83,""))</f>
        <v/>
      </c>
      <c r="L83" s="138" t="str" cm="1">
        <f t="array" ref="L83">IF(OR(ISBLANK(C83),ISBLANK(D83)),"",IF(C83&lt;D83,B83,IF(D83&lt;C83,E83,"")))</f>
        <v>Argelia</v>
      </c>
      <c r="M83" s="172"/>
    </row>
    <row r="84" spans="1:13" ht="14.25" customHeight="1">
      <c r="A84" s="589" t="str" cm="1">
        <f t="array" ref="A84">'Groups Stage'!A85</f>
        <v>GJ2</v>
      </c>
      <c r="B84" s="590" t="str" cm="1">
        <f t="array" ref="B84">'Groups Stage'!E85</f>
        <v>Austria</v>
      </c>
      <c r="C84" s="591" cm="1">
        <f t="array" ref="C84">'Groups Stage'!F85</f>
        <v>2</v>
      </c>
      <c r="D84" s="592" cm="1">
        <f t="array" ref="D84">'Groups Stage'!G85</f>
        <v>1</v>
      </c>
      <c r="E84" s="593" t="str" cm="1">
        <f t="array" ref="E84">'Groups Stage'!H85</f>
        <v>Jordania</v>
      </c>
      <c r="F84" s="620"/>
      <c r="G84" s="606"/>
      <c r="H84" s="437"/>
      <c r="I84" s="74" t="str" cm="1">
        <f t="array" ref="I84">IF(OR(ISBLANK(C84),ISBLANK(D84)),"",IF(C84&gt;D84,B84,IF(D84&gt;C84,E84,"")))</f>
        <v>Austria</v>
      </c>
      <c r="J84" s="74" t="str" cm="1">
        <f t="array" ref="J84">IF(OR(ISBLANK(C84),ISBLANK(D84)),"",IF(C84=D84,B84,""))</f>
        <v/>
      </c>
      <c r="K84" s="74" t="str" cm="1">
        <f t="array" ref="K84">IF(OR(ISBLANK(C84),ISBLANK(D84)),"",IF(C84=D84,E84,""))</f>
        <v/>
      </c>
      <c r="L84" s="74" t="str" cm="1">
        <f t="array" ref="L84">IF(OR(ISBLANK(C84),ISBLANK(D84)),"",IF(C84&lt;D84,B84,IF(D84&lt;C84,E84,"")))</f>
        <v>Jordania</v>
      </c>
      <c r="M84" s="172"/>
    </row>
    <row r="85" spans="1:13" ht="14.25" customHeight="1">
      <c r="A85" s="589" t="str" cm="1">
        <f t="array" ref="A85">'Groups Stage'!A86</f>
        <v>GJ3</v>
      </c>
      <c r="B85" s="590" t="str" cm="1">
        <f t="array" ref="B85">'Groups Stage'!E86</f>
        <v>Argentina</v>
      </c>
      <c r="C85" s="591" cm="1">
        <f t="array" ref="C85">'Groups Stage'!F86</f>
        <v>2</v>
      </c>
      <c r="D85" s="592" cm="1">
        <f t="array" ref="D85">'Groups Stage'!G86</f>
        <v>1</v>
      </c>
      <c r="E85" s="593" t="str" cm="1">
        <f t="array" ref="E85">'Groups Stage'!H86</f>
        <v>Austria</v>
      </c>
      <c r="F85" s="620"/>
      <c r="G85" s="606"/>
      <c r="H85" s="437"/>
      <c r="I85" s="74" t="str" cm="1">
        <f t="array" ref="I85">IF(OR(ISBLANK(C85),ISBLANK(D85)),"",IF(C85&gt;D85,B85,IF(D85&gt;C85,E85,"")))</f>
        <v>Argentina</v>
      </c>
      <c r="J85" s="74" t="str" cm="1">
        <f t="array" ref="J85">IF(OR(ISBLANK(C85),ISBLANK(D85)),"",IF(C85=D85,B85,""))</f>
        <v/>
      </c>
      <c r="K85" s="74" t="str" cm="1">
        <f t="array" ref="K85">IF(OR(ISBLANK(C85),ISBLANK(D85)),"",IF(C85=D85,E85,""))</f>
        <v/>
      </c>
      <c r="L85" s="74" t="str" cm="1">
        <f t="array" ref="L85">IF(OR(ISBLANK(C85),ISBLANK(D85)),"",IF(C85&lt;D85,B85,IF(D85&lt;C85,E85,"")))</f>
        <v>Austria</v>
      </c>
      <c r="M85" s="172"/>
    </row>
    <row r="86" spans="1:13" ht="14.25" customHeight="1">
      <c r="A86" s="589" t="str" cm="1">
        <f t="array" ref="A86">'Groups Stage'!A87</f>
        <v>GJ4</v>
      </c>
      <c r="B86" s="590" t="str" cm="1">
        <f t="array" ref="B86">'Groups Stage'!E87</f>
        <v>Jordania</v>
      </c>
      <c r="C86" s="591" cm="1">
        <f t="array" ref="C86">'Groups Stage'!F87</f>
        <v>0</v>
      </c>
      <c r="D86" s="592" cm="1">
        <f t="array" ref="D86">'Groups Stage'!G87</f>
        <v>1</v>
      </c>
      <c r="E86" s="593" t="str" cm="1">
        <f t="array" ref="E86">'Groups Stage'!H87</f>
        <v>Argelia</v>
      </c>
      <c r="F86" s="620"/>
      <c r="G86" s="606"/>
      <c r="H86" s="437"/>
      <c r="I86" s="74" t="str" cm="1">
        <f t="array" ref="I86">IF(OR(ISBLANK(C86),ISBLANK(D86)),"",IF(C86&gt;D86,B86,IF(D86&gt;C86,E86,"")))</f>
        <v>Argelia</v>
      </c>
      <c r="J86" s="74" t="str" cm="1">
        <f t="array" ref="J86">IF(OR(ISBLANK(C86),ISBLANK(D86)),"",IF(C86=D86,B86,""))</f>
        <v/>
      </c>
      <c r="K86" s="74" t="str" cm="1">
        <f t="array" ref="K86">IF(OR(ISBLANK(C86),ISBLANK(D86)),"",IF(C86=D86,E86,""))</f>
        <v/>
      </c>
      <c r="L86" s="74" t="str" cm="1">
        <f t="array" ref="L86">IF(OR(ISBLANK(C86),ISBLANK(D86)),"",IF(C86&lt;D86,B86,IF(D86&lt;C86,E86,"")))</f>
        <v>Jordania</v>
      </c>
      <c r="M86" s="172"/>
    </row>
    <row r="87" spans="1:13" ht="14.25" customHeight="1">
      <c r="A87" s="589" t="str" cm="1">
        <f t="array" ref="A87">'Groups Stage'!A88</f>
        <v>GJ5</v>
      </c>
      <c r="B87" s="590" t="str" cm="1">
        <f t="array" ref="B87">'Groups Stage'!E88</f>
        <v>Jordania</v>
      </c>
      <c r="C87" s="591" cm="1">
        <f t="array" ref="C87">'Groups Stage'!F88</f>
        <v>1</v>
      </c>
      <c r="D87" s="592" cm="1">
        <f t="array" ref="D87">'Groups Stage'!G88</f>
        <v>3</v>
      </c>
      <c r="E87" s="593" t="str" cm="1">
        <f t="array" ref="E87">'Groups Stage'!H88</f>
        <v>Argentina</v>
      </c>
      <c r="F87" s="620"/>
      <c r="G87" s="606"/>
      <c r="H87" s="437"/>
      <c r="I87" s="74" t="str" cm="1">
        <f t="array" ref="I87">IF(OR(ISBLANK(C87),ISBLANK(D87)),"",IF(C87&gt;D87,B87,IF(D87&gt;C87,E87,"")))</f>
        <v>Argentina</v>
      </c>
      <c r="J87" s="74" t="str" cm="1">
        <f t="array" ref="J87">IF(OR(ISBLANK(C87),ISBLANK(D87)),"",IF(C87=D87,B87,""))</f>
        <v/>
      </c>
      <c r="K87" s="74" t="str" cm="1">
        <f t="array" ref="K87">IF(OR(ISBLANK(C87),ISBLANK(D87)),"",IF(C87=D87,E87,""))</f>
        <v/>
      </c>
      <c r="L87" s="74" t="str" cm="1">
        <f t="array" ref="L87">IF(OR(ISBLANK(C87),ISBLANK(D87)),"",IF(C87&lt;D87,B87,IF(D87&lt;C87,E87,"")))</f>
        <v>Jordania</v>
      </c>
      <c r="M87" s="172"/>
    </row>
    <row r="88" spans="1:13" ht="14.25" customHeight="1">
      <c r="A88" s="594" t="str" cm="1">
        <f t="array" ref="A88">'Groups Stage'!A89</f>
        <v>GJ6</v>
      </c>
      <c r="B88" s="595" t="str" cm="1">
        <f t="array" ref="B88">'Groups Stage'!E89</f>
        <v>Argelia</v>
      </c>
      <c r="C88" s="596" cm="1">
        <f t="array" ref="C88">'Groups Stage'!F89</f>
        <v>0</v>
      </c>
      <c r="D88" s="597" cm="1">
        <f t="array" ref="D88">'Groups Stage'!G89</f>
        <v>0</v>
      </c>
      <c r="E88" s="598" t="str" cm="1">
        <f t="array" ref="E88">'Groups Stage'!H89</f>
        <v>Austria</v>
      </c>
      <c r="F88" s="620"/>
      <c r="G88" s="606"/>
      <c r="H88" s="437"/>
      <c r="I88" s="78" t="str" cm="1">
        <f t="array" ref="I88">IF(OR(ISBLANK(C88),ISBLANK(D88)),"",IF(C88&gt;D88,B88,IF(D88&gt;C88,E88,"")))</f>
        <v/>
      </c>
      <c r="J88" s="78" t="str" cm="1">
        <f t="array" ref="J88">IF(OR(ISBLANK(C88),ISBLANK(D88)),"",IF(C88=D88,B88,""))</f>
        <v>Argelia</v>
      </c>
      <c r="K88" s="78" t="str" cm="1">
        <f t="array" ref="K88">IF(OR(ISBLANK(C88),ISBLANK(D88)),"",IF(C88=D88,E88,""))</f>
        <v>Austria</v>
      </c>
      <c r="L88" s="78" t="str" cm="1">
        <f t="array" ref="L88">IF(OR(ISBLANK(C88),ISBLANK(D88)),"",IF(C88&lt;D88,B88,IF(D88&lt;C88,E88,"")))</f>
        <v/>
      </c>
      <c r="M88" s="172"/>
    </row>
    <row r="89" spans="1:13" ht="14.25" customHeight="1">
      <c r="A89" s="601" cm="1">
        <f t="array" ref="A89">'Groups Stage'!A90</f>
        <v>0</v>
      </c>
      <c r="B89" s="602" cm="1">
        <f t="array" ref="B89">'Groups Stage'!E90</f>
        <v>0</v>
      </c>
      <c r="C89" s="601" cm="1">
        <f t="array" ref="C89">'Groups Stage'!F90</f>
        <v>0</v>
      </c>
      <c r="D89" s="603" cm="1">
        <f t="array" ref="D89">'Groups Stage'!G90</f>
        <v>0</v>
      </c>
      <c r="E89" s="604" cm="1">
        <f t="array" ref="E89">'Groups Stage'!H90</f>
        <v>0</v>
      </c>
      <c r="F89" s="620"/>
      <c r="G89" s="606"/>
      <c r="H89" s="437"/>
      <c r="I89" s="138" t="str" cm="1">
        <f t="array" ref="I89">IF(OR(ISBLANK(C89),ISBLANK(D89)),"",IF(C89&gt;D89,B89,IF(D89&gt;C89,E89,"")))</f>
        <v/>
      </c>
      <c r="J89" s="152" cm="1">
        <f t="array" ref="J89">IF(OR(ISBLANK(C89),ISBLANK(D89)),"",IF(C89=D89,B89,""))</f>
        <v>0</v>
      </c>
      <c r="K89" s="152" cm="1">
        <f t="array" ref="K89">IF(OR(ISBLANK(C89),ISBLANK(D89)),"",IF(C89=D89,E89,""))</f>
        <v>0</v>
      </c>
      <c r="L89" s="138" t="str" cm="1">
        <f t="array" ref="L89">IF(OR(ISBLANK(C89),ISBLANK(D89)),"",IF(C89&lt;D89,B89,IF(D89&lt;C89,E89,"")))</f>
        <v/>
      </c>
      <c r="M89" s="172"/>
    </row>
    <row r="90" spans="1:13" ht="14.25" customHeight="1">
      <c r="A90" s="607" cm="1">
        <f t="array" ref="A90">'Groups Stage'!A91</f>
        <v>0</v>
      </c>
      <c r="B90" s="608" cm="1">
        <f t="array" ref="B90">'Groups Stage'!E91</f>
        <v>0</v>
      </c>
      <c r="C90" s="607" cm="1">
        <f t="array" ref="C90">'Groups Stage'!F91</f>
        <v>0</v>
      </c>
      <c r="D90" s="609" cm="1">
        <f t="array" ref="D90">'Groups Stage'!G91</f>
        <v>0</v>
      </c>
      <c r="E90" s="610" cm="1">
        <f t="array" ref="E90">'Groups Stage'!H91</f>
        <v>0</v>
      </c>
      <c r="F90" s="620"/>
      <c r="G90" s="606"/>
      <c r="H90" s="437"/>
      <c r="I90" s="78" t="str" cm="1">
        <f t="array" ref="I90">IF(OR(ISBLANK(C90),ISBLANK(D90)),"",IF(C90&gt;D90,B90,IF(D90&gt;C90,E90,"")))</f>
        <v/>
      </c>
      <c r="J90" s="613" cm="1">
        <f t="array" ref="J90">IF(OR(ISBLANK(C90),ISBLANK(D90)),"",IF(C90=D90,B90,""))</f>
        <v>0</v>
      </c>
      <c r="K90" s="613" cm="1">
        <f t="array" ref="K90">IF(OR(ISBLANK(C90),ISBLANK(D90)),"",IF(C90=D90,E90,""))</f>
        <v>0</v>
      </c>
      <c r="L90" s="78" t="str" cm="1">
        <f t="array" ref="L90">IF(OR(ISBLANK(C90),ISBLANK(D90)),"",IF(C90&lt;D90,B90,IF(D90&lt;C90,E90,"")))</f>
        <v/>
      </c>
      <c r="M90" s="172"/>
    </row>
    <row r="91" spans="1:13" ht="14.25" customHeight="1">
      <c r="A91" s="614" t="str" cm="1">
        <f t="array" ref="A91">'Groups Stage'!A92</f>
        <v>Partido</v>
      </c>
      <c r="B91" s="615" t="str" cm="1">
        <f t="array" ref="B91">'Groups Stage'!E92</f>
        <v>Grupo K</v>
      </c>
      <c r="C91" s="616" cm="1">
        <f t="array" ref="C91">'Groups Stage'!F92</f>
        <v>0</v>
      </c>
      <c r="D91" s="617" cm="1">
        <f t="array" ref="D91">'Groups Stage'!G92</f>
        <v>0</v>
      </c>
      <c r="E91" s="618" cm="1">
        <f t="array" ref="E91">'Groups Stage'!H92</f>
        <v>0</v>
      </c>
      <c r="F91" s="620"/>
      <c r="G91" s="606"/>
      <c r="H91" s="437"/>
      <c r="I91" s="144" t="str" cm="1">
        <f t="array" ref="I91">IF(OR(ISBLANK(C91),ISBLANK(D91)),"",IF(C91&gt;D91,B91,IF(D91&gt;C91,E91,"")))</f>
        <v/>
      </c>
      <c r="J91" s="144" t="str" cm="1">
        <f t="array" ref="J91">IF(OR(ISBLANK(C91),ISBLANK(D91)),"",IF(C91=D91,B91,""))</f>
        <v>Grupo K</v>
      </c>
      <c r="K91" s="619" cm="1">
        <f t="array" ref="K91">IF(OR(ISBLANK(C91),ISBLANK(D91)),"",IF(C91=D91,E91,""))</f>
        <v>0</v>
      </c>
      <c r="L91" s="144" t="str" cm="1">
        <f t="array" ref="L91">IF(OR(ISBLANK(C91),ISBLANK(D91)),"",IF(C91&lt;D91,B91,IF(D91&lt;C91,E91,"")))</f>
        <v/>
      </c>
      <c r="M91" s="172"/>
    </row>
    <row r="92" spans="1:13" ht="14.25" customHeight="1">
      <c r="A92" s="584" t="str" cm="1">
        <f t="array" ref="A92">'Groups Stage'!A93</f>
        <v>GK1</v>
      </c>
      <c r="B92" s="585" t="str" cm="1">
        <f t="array" ref="B92">'Groups Stage'!E93</f>
        <v>Portugal</v>
      </c>
      <c r="C92" s="586" cm="1">
        <f t="array" ref="C92">'Groups Stage'!F93</f>
        <v>3</v>
      </c>
      <c r="D92" s="587" cm="1">
        <f t="array" ref="D92">'Groups Stage'!G93</f>
        <v>0</v>
      </c>
      <c r="E92" s="588" t="str" cm="1">
        <f t="array" ref="E92">'Groups Stage'!H93</f>
        <v>Congo</v>
      </c>
      <c r="F92" s="620"/>
      <c r="G92" s="606"/>
      <c r="H92" s="437"/>
      <c r="I92" s="138" t="str" cm="1">
        <f t="array" ref="I92">IF(OR(ISBLANK(C92),ISBLANK(D92)),"",IF(C92&gt;D92,B92,IF(D92&gt;C92,E92,"")))</f>
        <v>Portugal</v>
      </c>
      <c r="J92" s="138" t="str" cm="1">
        <f t="array" ref="J92">IF(OR(ISBLANK(C92),ISBLANK(D92)),"",IF(C92=D92,B92,""))</f>
        <v/>
      </c>
      <c r="K92" s="138" t="str" cm="1">
        <f t="array" ref="K92">IF(OR(ISBLANK(C92),ISBLANK(D92)),"",IF(C92=D92,E92,""))</f>
        <v/>
      </c>
      <c r="L92" s="138" t="str" cm="1">
        <f t="array" ref="L92">IF(OR(ISBLANK(C92),ISBLANK(D92)),"",IF(C92&lt;D92,B92,IF(D92&lt;C92,E92,"")))</f>
        <v>Congo</v>
      </c>
      <c r="M92" s="172"/>
    </row>
    <row r="93" spans="1:13" ht="14.25" customHeight="1">
      <c r="A93" s="589" t="str" cm="1">
        <f t="array" ref="A93">'Groups Stage'!A94</f>
        <v>GK2</v>
      </c>
      <c r="B93" s="590" t="str" cm="1">
        <f t="array" ref="B93">'Groups Stage'!E94</f>
        <v>Uzbekistan</v>
      </c>
      <c r="C93" s="591" cm="1">
        <f t="array" ref="C93">'Groups Stage'!F94</f>
        <v>0</v>
      </c>
      <c r="D93" s="592" cm="1">
        <f t="array" ref="D93">'Groups Stage'!G94</f>
        <v>2</v>
      </c>
      <c r="E93" s="593" t="str" cm="1">
        <f t="array" ref="E93">'Groups Stage'!H94</f>
        <v>Colombia</v>
      </c>
      <c r="F93" s="620"/>
      <c r="G93" s="606"/>
      <c r="H93" s="437"/>
      <c r="I93" s="74" t="str" cm="1">
        <f t="array" ref="I93">IF(OR(ISBLANK(C93),ISBLANK(D93)),"",IF(C93&gt;D93,B93,IF(D93&gt;C93,E93,"")))</f>
        <v>Colombia</v>
      </c>
      <c r="J93" s="74" t="str" cm="1">
        <f t="array" ref="J93">IF(OR(ISBLANK(C93),ISBLANK(D93)),"",IF(C93=D93,B93,""))</f>
        <v/>
      </c>
      <c r="K93" s="74" t="str" cm="1">
        <f t="array" ref="K93">IF(OR(ISBLANK(C93),ISBLANK(D93)),"",IF(C93=D93,E93,""))</f>
        <v/>
      </c>
      <c r="L93" s="74" t="str" cm="1">
        <f t="array" ref="L93">IF(OR(ISBLANK(C93),ISBLANK(D93)),"",IF(C93&lt;D93,B93,IF(D93&lt;C93,E93,"")))</f>
        <v>Uzbekistan</v>
      </c>
      <c r="M93" s="172"/>
    </row>
    <row r="94" spans="1:13" ht="14.25" customHeight="1">
      <c r="A94" s="589" t="str" cm="1">
        <f t="array" ref="A94">'Groups Stage'!A95</f>
        <v>GK3</v>
      </c>
      <c r="B94" s="590" t="str" cm="1">
        <f t="array" ref="B94">'Groups Stage'!E95</f>
        <v>Portugal</v>
      </c>
      <c r="C94" s="591" cm="1">
        <f t="array" ref="C94">'Groups Stage'!F95</f>
        <v>3</v>
      </c>
      <c r="D94" s="592" cm="1">
        <f t="array" ref="D94">'Groups Stage'!G95</f>
        <v>0</v>
      </c>
      <c r="E94" s="593" t="str" cm="1">
        <f t="array" ref="E94">'Groups Stage'!H95</f>
        <v>Uzbekistan</v>
      </c>
      <c r="F94" s="620"/>
      <c r="G94" s="606"/>
      <c r="H94" s="437"/>
      <c r="I94" s="74" t="str" cm="1">
        <f t="array" ref="I94">IF(OR(ISBLANK(C94),ISBLANK(D94)),"",IF(C94&gt;D94,B94,IF(D94&gt;C94,E94,"")))</f>
        <v>Portugal</v>
      </c>
      <c r="J94" s="74" t="str" cm="1">
        <f t="array" ref="J94">IF(OR(ISBLANK(C94),ISBLANK(D94)),"",IF(C94=D94,B94,""))</f>
        <v/>
      </c>
      <c r="K94" s="74" t="str" cm="1">
        <f t="array" ref="K94">IF(OR(ISBLANK(C94),ISBLANK(D94)),"",IF(C94=D94,E94,""))</f>
        <v/>
      </c>
      <c r="L94" s="74" t="str" cm="1">
        <f t="array" ref="L94">IF(OR(ISBLANK(C94),ISBLANK(D94)),"",IF(C94&lt;D94,B94,IF(D94&lt;C94,E94,"")))</f>
        <v>Uzbekistan</v>
      </c>
      <c r="M94" s="172"/>
    </row>
    <row r="95" spans="1:13" ht="14.25" customHeight="1">
      <c r="A95" s="589" t="str" cm="1">
        <f t="array" ref="A95">'Groups Stage'!A96</f>
        <v>GK4</v>
      </c>
      <c r="B95" s="590" t="str" cm="1">
        <f t="array" ref="B95">'Groups Stage'!E96</f>
        <v>Colombia</v>
      </c>
      <c r="C95" s="591" cm="1">
        <f t="array" ref="C95">'Groups Stage'!F96</f>
        <v>3</v>
      </c>
      <c r="D95" s="592" cm="1">
        <f t="array" ref="D95">'Groups Stage'!G96</f>
        <v>1</v>
      </c>
      <c r="E95" s="593" t="str" cm="1">
        <f t="array" ref="E95">'Groups Stage'!H96</f>
        <v>Congo</v>
      </c>
      <c r="F95" s="620"/>
      <c r="G95" s="606"/>
      <c r="H95" s="437"/>
      <c r="I95" s="74" t="str" cm="1">
        <f t="array" ref="I95">IF(OR(ISBLANK(C95),ISBLANK(D95)),"",IF(C95&gt;D95,B95,IF(D95&gt;C95,E95,"")))</f>
        <v>Colombia</v>
      </c>
      <c r="J95" s="74" t="str" cm="1">
        <f t="array" ref="J95">IF(OR(ISBLANK(C95),ISBLANK(D95)),"",IF(C95=D95,B95,""))</f>
        <v/>
      </c>
      <c r="K95" s="74" t="str" cm="1">
        <f t="array" ref="K95">IF(OR(ISBLANK(C95),ISBLANK(D95)),"",IF(C95=D95,E95,""))</f>
        <v/>
      </c>
      <c r="L95" s="74" t="str" cm="1">
        <f t="array" ref="L95">IF(OR(ISBLANK(C95),ISBLANK(D95)),"",IF(C95&lt;D95,B95,IF(D95&lt;C95,E95,"")))</f>
        <v>Congo</v>
      </c>
      <c r="M95" s="172"/>
    </row>
    <row r="96" spans="1:13" ht="14.25" customHeight="1">
      <c r="A96" s="589" t="str" cm="1">
        <f t="array" ref="A96">'Groups Stage'!A97</f>
        <v>GK5</v>
      </c>
      <c r="B96" s="590" t="str" cm="1">
        <f t="array" ref="B96">'Groups Stage'!E97</f>
        <v>Colombia</v>
      </c>
      <c r="C96" s="591" cm="1">
        <f t="array" ref="C96">'Groups Stage'!F97</f>
        <v>1</v>
      </c>
      <c r="D96" s="592" cm="1">
        <f t="array" ref="D96">'Groups Stage'!G97</f>
        <v>1</v>
      </c>
      <c r="E96" s="593" t="str" cm="1">
        <f t="array" ref="E96">'Groups Stage'!H97</f>
        <v>Portugal</v>
      </c>
      <c r="F96" s="620"/>
      <c r="G96" s="606"/>
      <c r="H96" s="437"/>
      <c r="I96" s="74" t="str" cm="1">
        <f t="array" ref="I96">IF(OR(ISBLANK(C96),ISBLANK(D96)),"",IF(C96&gt;D96,B96,IF(D96&gt;C96,E96,"")))</f>
        <v/>
      </c>
      <c r="J96" s="74" t="str" cm="1">
        <f t="array" ref="J96">IF(OR(ISBLANK(C96),ISBLANK(D96)),"",IF(C96=D96,B96,""))</f>
        <v>Colombia</v>
      </c>
      <c r="K96" s="74" t="str" cm="1">
        <f t="array" ref="K96">IF(OR(ISBLANK(C96),ISBLANK(D96)),"",IF(C96=D96,E96,""))</f>
        <v>Portugal</v>
      </c>
      <c r="L96" s="74" t="str" cm="1">
        <f t="array" ref="L96">IF(OR(ISBLANK(C96),ISBLANK(D96)),"",IF(C96&lt;D96,B96,IF(D96&lt;C96,E96,"")))</f>
        <v/>
      </c>
      <c r="M96" s="172"/>
    </row>
    <row r="97" spans="1:13" ht="14.25" customHeight="1">
      <c r="A97" s="594" t="str" cm="1">
        <f t="array" ref="A97">'Groups Stage'!A98</f>
        <v>GK6</v>
      </c>
      <c r="B97" s="595" t="str" cm="1">
        <f t="array" ref="B97">'Groups Stage'!E98</f>
        <v>Congo</v>
      </c>
      <c r="C97" s="596" cm="1">
        <f t="array" ref="C97">'Groups Stage'!F98</f>
        <v>1</v>
      </c>
      <c r="D97" s="597" cm="1">
        <f t="array" ref="D97">'Groups Stage'!G98</f>
        <v>1</v>
      </c>
      <c r="E97" s="598" t="str" cm="1">
        <f t="array" ref="E97">'Groups Stage'!H98</f>
        <v>Uzbekistan</v>
      </c>
      <c r="F97" s="620"/>
      <c r="G97" s="606"/>
      <c r="H97" s="437"/>
      <c r="I97" s="78" t="str" cm="1">
        <f t="array" ref="I97">IF(OR(ISBLANK(C97),ISBLANK(D97)),"",IF(C97&gt;D97,B97,IF(D97&gt;C97,E97,"")))</f>
        <v/>
      </c>
      <c r="J97" s="78" t="str" cm="1">
        <f t="array" ref="J97">IF(OR(ISBLANK(C97),ISBLANK(D97)),"",IF(C97=D97,B97,""))</f>
        <v>Congo</v>
      </c>
      <c r="K97" s="78" t="str" cm="1">
        <f t="array" ref="K97">IF(OR(ISBLANK(C97),ISBLANK(D97)),"",IF(C97=D97,E97,""))</f>
        <v>Uzbekistan</v>
      </c>
      <c r="L97" s="78" t="str" cm="1">
        <f t="array" ref="L97">IF(OR(ISBLANK(C97),ISBLANK(D97)),"",IF(C97&lt;D97,B97,IF(D97&lt;C97,E97,"")))</f>
        <v/>
      </c>
      <c r="M97" s="172"/>
    </row>
    <row r="98" spans="1:13" ht="14.25" customHeight="1">
      <c r="A98" s="601" cm="1">
        <f t="array" ref="A98">'Groups Stage'!A99</f>
        <v>0</v>
      </c>
      <c r="B98" s="602" cm="1">
        <f t="array" ref="B98">'Groups Stage'!E99</f>
        <v>0</v>
      </c>
      <c r="C98" s="601" cm="1">
        <f t="array" ref="C98">'Groups Stage'!F99</f>
        <v>0</v>
      </c>
      <c r="D98" s="603" cm="1">
        <f t="array" ref="D98">'Groups Stage'!G99</f>
        <v>0</v>
      </c>
      <c r="E98" s="604" cm="1">
        <f t="array" ref="E98">'Groups Stage'!H99</f>
        <v>0</v>
      </c>
      <c r="F98" s="620"/>
      <c r="G98" s="606"/>
      <c r="H98" s="437"/>
      <c r="I98" s="138" t="str" cm="1">
        <f t="array" ref="I98">IF(OR(ISBLANK(C98),ISBLANK(D98)),"",IF(C98&gt;D98,B98,IF(D98&gt;C98,E98,"")))</f>
        <v/>
      </c>
      <c r="J98" s="152" cm="1">
        <f t="array" ref="J98">IF(OR(ISBLANK(C98),ISBLANK(D98)),"",IF(C98=D98,B98,""))</f>
        <v>0</v>
      </c>
      <c r="K98" s="152" cm="1">
        <f t="array" ref="K98">IF(OR(ISBLANK(C98),ISBLANK(D98)),"",IF(C98=D98,E98,""))</f>
        <v>0</v>
      </c>
      <c r="L98" s="138" t="str" cm="1">
        <f t="array" ref="L98">IF(OR(ISBLANK(C98),ISBLANK(D98)),"",IF(C98&lt;D98,B98,IF(D98&lt;C98,E98,"")))</f>
        <v/>
      </c>
      <c r="M98" s="172"/>
    </row>
    <row r="99" spans="1:13" ht="14.25" customHeight="1">
      <c r="A99" s="607" cm="1">
        <f t="array" ref="A99">'Groups Stage'!A100</f>
        <v>0</v>
      </c>
      <c r="B99" s="608" cm="1">
        <f t="array" ref="B99">'Groups Stage'!E100</f>
        <v>0</v>
      </c>
      <c r="C99" s="607" cm="1">
        <f t="array" ref="C99">'Groups Stage'!F100</f>
        <v>0</v>
      </c>
      <c r="D99" s="609" cm="1">
        <f t="array" ref="D99">'Groups Stage'!G100</f>
        <v>0</v>
      </c>
      <c r="E99" s="610" cm="1">
        <f t="array" ref="E99">'Groups Stage'!H100</f>
        <v>0</v>
      </c>
      <c r="F99" s="620"/>
      <c r="G99" s="606"/>
      <c r="H99" s="437"/>
      <c r="I99" s="78" t="str" cm="1">
        <f t="array" ref="I99">IF(OR(ISBLANK(C99),ISBLANK(D99)),"",IF(C99&gt;D99,B99,IF(D99&gt;C99,E99,"")))</f>
        <v/>
      </c>
      <c r="J99" s="613" cm="1">
        <f t="array" ref="J99">IF(OR(ISBLANK(C99),ISBLANK(D99)),"",IF(C99=D99,B99,""))</f>
        <v>0</v>
      </c>
      <c r="K99" s="613" cm="1">
        <f t="array" ref="K99">IF(OR(ISBLANK(C99),ISBLANK(D99)),"",IF(C99=D99,E99,""))</f>
        <v>0</v>
      </c>
      <c r="L99" s="78" t="str" cm="1">
        <f t="array" ref="L99">IF(OR(ISBLANK(C99),ISBLANK(D99)),"",IF(C99&lt;D99,B99,IF(D99&lt;C99,E99,"")))</f>
        <v/>
      </c>
      <c r="M99" s="172"/>
    </row>
    <row r="100" spans="1:13" ht="14.25" customHeight="1">
      <c r="A100" s="614" t="str" cm="1">
        <f t="array" ref="A100">'Groups Stage'!A101</f>
        <v>Partido</v>
      </c>
      <c r="B100" s="615" t="str" cm="1">
        <f t="array" ref="B100">'Groups Stage'!E101</f>
        <v>Grupo L</v>
      </c>
      <c r="C100" s="616" cm="1">
        <f t="array" ref="C100">'Groups Stage'!F101</f>
        <v>0</v>
      </c>
      <c r="D100" s="617" cm="1">
        <f t="array" ref="D100">'Groups Stage'!G101</f>
        <v>0</v>
      </c>
      <c r="E100" s="618" cm="1">
        <f t="array" ref="E100">'Groups Stage'!H101</f>
        <v>0</v>
      </c>
      <c r="F100" s="620"/>
      <c r="G100" s="606"/>
      <c r="H100" s="437"/>
      <c r="I100" s="144" t="str" cm="1">
        <f t="array" ref="I100">IF(OR(ISBLANK(C100),ISBLANK(D100)),"",IF(C100&gt;D100,B100,IF(D100&gt;C100,E100,"")))</f>
        <v/>
      </c>
      <c r="J100" s="144" t="str" cm="1">
        <f t="array" ref="J100">IF(OR(ISBLANK(C100),ISBLANK(D100)),"",IF(C100=D100,B100,""))</f>
        <v>Grupo L</v>
      </c>
      <c r="K100" s="619" cm="1">
        <f t="array" ref="K100">IF(OR(ISBLANK(C100),ISBLANK(D100)),"",IF(C100=D100,E100,""))</f>
        <v>0</v>
      </c>
      <c r="L100" s="144" t="str" cm="1">
        <f t="array" ref="L100">IF(OR(ISBLANK(C100),ISBLANK(D100)),"",IF(C100&lt;D100,B100,IF(D100&lt;C100,E100,"")))</f>
        <v/>
      </c>
      <c r="M100" s="172"/>
    </row>
    <row r="101" spans="1:13" ht="14.25" customHeight="1">
      <c r="A101" s="584" t="str" cm="1">
        <f t="array" ref="A101">'Groups Stage'!A102</f>
        <v>GL1</v>
      </c>
      <c r="B101" s="585" t="str" cm="1">
        <f t="array" ref="B101">'Groups Stage'!E102</f>
        <v>Inglaterra</v>
      </c>
      <c r="C101" s="586" cm="1">
        <f t="array" ref="C101">'Groups Stage'!F102</f>
        <v>1</v>
      </c>
      <c r="D101" s="587" cm="1">
        <f t="array" ref="D101">'Groups Stage'!G102</f>
        <v>1</v>
      </c>
      <c r="E101" s="588" t="str" cm="1">
        <f t="array" ref="E101">'Groups Stage'!H102</f>
        <v>Croacia</v>
      </c>
      <c r="F101" s="620"/>
      <c r="G101" s="606"/>
      <c r="H101" s="437"/>
      <c r="I101" s="138" t="str" cm="1">
        <f t="array" ref="I101">IF(OR(ISBLANK(C101),ISBLANK(D101)),"",IF(C101&gt;D101,B101,IF(D101&gt;C101,E101,"")))</f>
        <v/>
      </c>
      <c r="J101" s="138" t="str" cm="1">
        <f t="array" ref="J101">IF(OR(ISBLANK(C101),ISBLANK(D101)),"",IF(C101=D101,B101,""))</f>
        <v>Inglaterra</v>
      </c>
      <c r="K101" s="138" t="str" cm="1">
        <f t="array" ref="K101">IF(OR(ISBLANK(C101),ISBLANK(D101)),"",IF(C101=D101,E101,""))</f>
        <v>Croacia</v>
      </c>
      <c r="L101" s="138" t="str" cm="1">
        <f t="array" ref="L101">IF(OR(ISBLANK(C101),ISBLANK(D101)),"",IF(C101&lt;D101,B101,IF(D101&lt;C101,E101,"")))</f>
        <v/>
      </c>
      <c r="M101" s="172"/>
    </row>
    <row r="102" spans="1:13" ht="14.25" customHeight="1">
      <c r="A102" s="589" t="str" cm="1">
        <f t="array" ref="A102">'Groups Stage'!A103</f>
        <v>GL2</v>
      </c>
      <c r="B102" s="590" t="str" cm="1">
        <f t="array" ref="B102">'Groups Stage'!E103</f>
        <v>Ghana</v>
      </c>
      <c r="C102" s="591" cm="1">
        <f t="array" ref="C102">'Groups Stage'!F103</f>
        <v>2</v>
      </c>
      <c r="D102" s="592" cm="1">
        <f t="array" ref="D102">'Groups Stage'!G103</f>
        <v>1</v>
      </c>
      <c r="E102" s="593" t="str" cm="1">
        <f t="array" ref="E102">'Groups Stage'!H103</f>
        <v>Panama</v>
      </c>
      <c r="F102" s="620"/>
      <c r="G102" s="606"/>
      <c r="H102" s="437"/>
      <c r="I102" s="74" t="str" cm="1">
        <f t="array" ref="I102">IF(OR(ISBLANK(C102),ISBLANK(D102)),"",IF(C102&gt;D102,B102,IF(D102&gt;C102,E102,"")))</f>
        <v>Ghana</v>
      </c>
      <c r="J102" s="74" t="str" cm="1">
        <f t="array" ref="J102">IF(OR(ISBLANK(C102),ISBLANK(D102)),"",IF(C102=D102,B102,""))</f>
        <v/>
      </c>
      <c r="K102" s="74" t="str" cm="1">
        <f t="array" ref="K102">IF(OR(ISBLANK(C102),ISBLANK(D102)),"",IF(C102=D102,E102,""))</f>
        <v/>
      </c>
      <c r="L102" s="74" t="str" cm="1">
        <f t="array" ref="L102">IF(OR(ISBLANK(C102),ISBLANK(D102)),"",IF(C102&lt;D102,B102,IF(D102&lt;C102,E102,"")))</f>
        <v>Panama</v>
      </c>
      <c r="M102" s="172"/>
    </row>
    <row r="103" spans="1:13" ht="14.25" customHeight="1">
      <c r="A103" s="589" t="str" cm="1">
        <f t="array" ref="A103">'Groups Stage'!A104</f>
        <v>GL3</v>
      </c>
      <c r="B103" s="590" t="str" cm="1">
        <f t="array" ref="B103">'Groups Stage'!E104</f>
        <v>Inglaterra</v>
      </c>
      <c r="C103" s="591" cm="1">
        <f t="array" ref="C103">'Groups Stage'!F104</f>
        <v>2</v>
      </c>
      <c r="D103" s="592" cm="1">
        <f t="array" ref="D103">'Groups Stage'!G104</f>
        <v>1</v>
      </c>
      <c r="E103" s="593" t="str" cm="1">
        <f t="array" ref="E103">'Groups Stage'!H104</f>
        <v>Ghana</v>
      </c>
      <c r="F103" s="620"/>
      <c r="G103" s="606"/>
      <c r="H103" s="437"/>
      <c r="I103" s="74" t="str" cm="1">
        <f t="array" ref="I103">IF(OR(ISBLANK(C103),ISBLANK(D103)),"",IF(C103&gt;D103,B103,IF(D103&gt;C103,E103,"")))</f>
        <v>Inglaterra</v>
      </c>
      <c r="J103" s="74" t="str" cm="1">
        <f t="array" ref="J103">IF(OR(ISBLANK(C103),ISBLANK(D103)),"",IF(C103=D103,B103,""))</f>
        <v/>
      </c>
      <c r="K103" s="74" t="str" cm="1">
        <f t="array" ref="K103">IF(OR(ISBLANK(C103),ISBLANK(D103)),"",IF(C103=D103,E103,""))</f>
        <v/>
      </c>
      <c r="L103" s="74" t="str" cm="1">
        <f t="array" ref="L103">IF(OR(ISBLANK(C103),ISBLANK(D103)),"",IF(C103&lt;D103,B103,IF(D103&lt;C103,E103,"")))</f>
        <v>Ghana</v>
      </c>
      <c r="M103" s="172"/>
    </row>
    <row r="104" spans="1:13" ht="14.25" customHeight="1">
      <c r="A104" s="589" t="str" cm="1">
        <f t="array" ref="A104">'Groups Stage'!A105</f>
        <v>GL4</v>
      </c>
      <c r="B104" s="590" t="str" cm="1">
        <f t="array" ref="B104">'Groups Stage'!E105</f>
        <v>Panama</v>
      </c>
      <c r="C104" s="591" cm="1">
        <f t="array" ref="C104">'Groups Stage'!F105</f>
        <v>0</v>
      </c>
      <c r="D104" s="592" cm="1">
        <f t="array" ref="D104">'Groups Stage'!G105</f>
        <v>2</v>
      </c>
      <c r="E104" s="593" t="str" cm="1">
        <f t="array" ref="E104">'Groups Stage'!H105</f>
        <v>Croacia</v>
      </c>
      <c r="F104" s="620"/>
      <c r="G104" s="606"/>
      <c r="H104" s="437"/>
      <c r="I104" s="74" t="str" cm="1">
        <f t="array" ref="I104">IF(OR(ISBLANK(C104),ISBLANK(D104)),"",IF(C104&gt;D104,B104,IF(D104&gt;C104,E104,"")))</f>
        <v>Croacia</v>
      </c>
      <c r="J104" s="74" t="str" cm="1">
        <f t="array" ref="J104">IF(OR(ISBLANK(C104),ISBLANK(D104)),"",IF(C104=D104,B104,""))</f>
        <v/>
      </c>
      <c r="K104" s="74" t="str" cm="1">
        <f t="array" ref="K104">IF(OR(ISBLANK(C104),ISBLANK(D104)),"",IF(C104=D104,E104,""))</f>
        <v/>
      </c>
      <c r="L104" s="74" t="str" cm="1">
        <f t="array" ref="L104">IF(OR(ISBLANK(C104),ISBLANK(D104)),"",IF(C104&lt;D104,B104,IF(D104&lt;C104,E104,"")))</f>
        <v>Panama</v>
      </c>
      <c r="M104" s="172"/>
    </row>
    <row r="105" spans="1:13" ht="14.25" customHeight="1">
      <c r="A105" s="589" t="str" cm="1">
        <f t="array" ref="A105">'Groups Stage'!A106</f>
        <v>GL5</v>
      </c>
      <c r="B105" s="590" t="str" cm="1">
        <f t="array" ref="B105">'Groups Stage'!E106</f>
        <v>Panama</v>
      </c>
      <c r="C105" s="591" cm="1">
        <f t="array" ref="C105">'Groups Stage'!F106</f>
        <v>0</v>
      </c>
      <c r="D105" s="592" cm="1">
        <f t="array" ref="D105">'Groups Stage'!G106</f>
        <v>3</v>
      </c>
      <c r="E105" s="593" t="str" cm="1">
        <f t="array" ref="E105">'Groups Stage'!H106</f>
        <v>Inglaterra</v>
      </c>
      <c r="F105" s="620"/>
      <c r="G105" s="606"/>
      <c r="H105" s="437"/>
      <c r="I105" s="74" t="str" cm="1">
        <f t="array" ref="I105">IF(OR(ISBLANK(C105),ISBLANK(D105)),"",IF(C105&gt;D105,B105,IF(D105&gt;C105,E105,"")))</f>
        <v>Inglaterra</v>
      </c>
      <c r="J105" s="74" t="str" cm="1">
        <f t="array" ref="J105">IF(OR(ISBLANK(C105),ISBLANK(D105)),"",IF(C105=D105,B105,""))</f>
        <v/>
      </c>
      <c r="K105" s="74" t="str" cm="1">
        <f t="array" ref="K105">IF(OR(ISBLANK(C105),ISBLANK(D105)),"",IF(C105=D105,E105,""))</f>
        <v/>
      </c>
      <c r="L105" s="74" t="str" cm="1">
        <f t="array" ref="L105">IF(OR(ISBLANK(C105),ISBLANK(D105)),"",IF(C105&lt;D105,B105,IF(D105&lt;C105,E105,"")))</f>
        <v>Panama</v>
      </c>
      <c r="M105" s="172"/>
    </row>
    <row r="106" spans="1:13" ht="14.25" customHeight="1">
      <c r="A106" s="594" t="str" cm="1">
        <f t="array" ref="A106">'Groups Stage'!A107</f>
        <v>GL6</v>
      </c>
      <c r="B106" s="595" t="str" cm="1">
        <f t="array" ref="B106">'Groups Stage'!E107</f>
        <v>Croacia</v>
      </c>
      <c r="C106" s="596" cm="1">
        <f t="array" ref="C106">'Groups Stage'!F107</f>
        <v>1</v>
      </c>
      <c r="D106" s="597" cm="1">
        <f t="array" ref="D106">'Groups Stage'!G107</f>
        <v>1</v>
      </c>
      <c r="E106" s="598" t="str" cm="1">
        <f t="array" ref="E106">'Groups Stage'!H107</f>
        <v>Ghana</v>
      </c>
      <c r="F106" s="620"/>
      <c r="G106" s="606"/>
      <c r="H106" s="437"/>
      <c r="I106" s="78" t="str" cm="1">
        <f t="array" ref="I106">IF(OR(ISBLANK(C106),ISBLANK(D106)),"",IF(C106&gt;D106,B106,IF(D106&gt;C106,E106,"")))</f>
        <v/>
      </c>
      <c r="J106" s="78" t="str" cm="1">
        <f t="array" ref="J106">IF(OR(ISBLANK(C106),ISBLANK(D106)),"",IF(C106=D106,B106,""))</f>
        <v>Croacia</v>
      </c>
      <c r="K106" s="78" t="str" cm="1">
        <f t="array" ref="K106">IF(OR(ISBLANK(C106),ISBLANK(D106)),"",IF(C106=D106,E106,""))</f>
        <v>Ghana</v>
      </c>
      <c r="L106" s="78" t="str" cm="1">
        <f t="array" ref="L106">IF(OR(ISBLANK(C106),ISBLANK(D106)),"",IF(C106&lt;D106,B106,IF(D106&lt;C106,E106,"")))</f>
        <v/>
      </c>
      <c r="M106" s="621"/>
    </row>
    <row r="107" spans="1:13" ht="14.25" customHeight="1">
      <c r="A107" s="622" t="s">
        <v>249</v>
      </c>
      <c r="B107" s="623" t="str" cm="1">
        <f t="array" ref="B107">_xlfn.XLOOKUP($A107,'Round of 32 &amp; Round of 16'!$A1:$A100,'Round of 32 &amp; Round of 16'!B1:B100,"-",0)</f>
        <v>Corea del Sur</v>
      </c>
      <c r="C107" s="624" cm="1">
        <f t="array" ref="C107">_xlfn.XLOOKUP($A107,'Round of 32 &amp; Round of 16'!$A1:$A100,'Round of 32 &amp; Round of 16'!C1:C100,"-",0)</f>
        <v>1</v>
      </c>
      <c r="D107" s="624" cm="1">
        <f t="array" ref="D107">_xlfn.XLOOKUP($A107,'Round of 32 &amp; Round of 16'!$A1:$A100,'Round of 32 &amp; Round of 16'!D1:D100,"-",0)</f>
        <v>0</v>
      </c>
      <c r="E107" s="625" t="str" cm="1">
        <f t="array" ref="E107">_xlfn.XLOOKUP($A107,'Round of 32 &amp; Round of 16'!$A1:$A100,'Round of 32 &amp; Round of 16'!E1:E100,"-",0)</f>
        <v>Canada</v>
      </c>
      <c r="F107" s="620"/>
      <c r="G107" s="606"/>
      <c r="H107" s="437"/>
      <c r="I107" s="626" t="str" cm="1">
        <f t="array" ref="I107">IF(OR(ISBLANK(C107),ISBLANK(D107)),"",IF(C107&gt;D107,B107,IF(D107&gt;C107,E107,"")))</f>
        <v>Corea del Sur</v>
      </c>
      <c r="J107" s="626" t="str" cm="1">
        <f t="array" ref="J107">IF(OR(ISBLANK(C107),ISBLANK(D107)),"",IF(C107=D107,B107,""))</f>
        <v/>
      </c>
      <c r="K107" s="626" t="str" cm="1">
        <f t="array" ref="K107">IF(OR(ISBLANK(C107),ISBLANK(D107)),"",IF(C107=D107,E107,""))</f>
        <v/>
      </c>
      <c r="L107" s="626" t="str" cm="1">
        <f t="array" ref="L107">IF(OR(ISBLANK(C107),ISBLANK(D107)),"",IF(C107&lt;D107,B107,IF(D107&lt;C107,E107,"")))</f>
        <v>Canada</v>
      </c>
      <c r="M107" s="627"/>
    </row>
    <row r="108" spans="1:13" ht="14.25" customHeight="1">
      <c r="A108" s="628" t="s">
        <v>255</v>
      </c>
      <c r="B108" s="629" t="str" cm="1">
        <f t="array" ref="B108">_xlfn.XLOOKUP($A108,'Round of 32 &amp; Round of 16'!$A1:$A100,'Round of 32 &amp; Round of 16'!B1:B100,"-",0)</f>
        <v>Alemania</v>
      </c>
      <c r="C108" s="630" cm="1">
        <f t="array" ref="C108">_xlfn.XLOOKUP($A108,'Round of 32 &amp; Round of 16'!$A1:$A100,'Round of 32 &amp; Round of 16'!C1:C100,"-",0)</f>
        <v>2</v>
      </c>
      <c r="D108" s="630" cm="1">
        <f t="array" ref="D108">_xlfn.XLOOKUP($A108,'Round of 32 &amp; Round of 16'!$A1:$A100,'Round of 32 &amp; Round of 16'!D1:D100,"-",0)</f>
        <v>1</v>
      </c>
      <c r="E108" s="631" t="str" cm="1">
        <f t="array" ref="E108">_xlfn.XLOOKUP($A108,'Round of 32 &amp; Round of 16'!$A1:$A100,'Round of 32 &amp; Round of 16'!E1:E100,"-",0)</f>
        <v>Turquia</v>
      </c>
      <c r="F108" s="620"/>
      <c r="G108" s="606"/>
      <c r="H108" s="437"/>
      <c r="I108" s="632" t="str" cm="1">
        <f t="array" ref="I108">IF(OR(ISBLANK(C108),ISBLANK(D108)),"",IF(C108&gt;D108,B108,IF(D108&gt;C108,E108,"")))</f>
        <v>Alemania</v>
      </c>
      <c r="J108" s="632" t="str" cm="1">
        <f t="array" ref="J108">IF(OR(ISBLANK(C108),ISBLANK(D108)),"",IF(C108=D108,B108,""))</f>
        <v/>
      </c>
      <c r="K108" s="632" t="str" cm="1">
        <f t="array" ref="K108">IF(OR(ISBLANK(C108),ISBLANK(D108)),"",IF(C108=D108,E108,""))</f>
        <v/>
      </c>
      <c r="L108" s="632" t="str" cm="1">
        <f t="array" ref="L108">IF(OR(ISBLANK(C108),ISBLANK(D108)),"",IF(C108&lt;D108,B108,IF(D108&lt;C108,E108,"")))</f>
        <v>Turquia</v>
      </c>
      <c r="M108" s="633"/>
    </row>
    <row r="109" spans="1:13" ht="14.25" customHeight="1">
      <c r="A109" s="628" t="s">
        <v>260</v>
      </c>
      <c r="B109" s="629" t="str" cm="1">
        <f t="array" ref="B109">_xlfn.XLOOKUP($A109,'Round of 32 &amp; Round of 16'!$A1:$A100,'Round of 32 &amp; Round of 16'!B1:B100,"-",0)</f>
        <v>Paises Bajos</v>
      </c>
      <c r="C109" s="630" cm="1">
        <f t="array" ref="C109">_xlfn.XLOOKUP($A109,'Round of 32 &amp; Round of 16'!$A1:$A100,'Round of 32 &amp; Round of 16'!C1:C100,"-",0)</f>
        <v>1</v>
      </c>
      <c r="D109" s="630" cm="1">
        <f t="array" ref="D109">_xlfn.XLOOKUP($A109,'Round of 32 &amp; Round of 16'!$A1:$A100,'Round of 32 &amp; Round of 16'!D1:D100,"-",0)</f>
        <v>2</v>
      </c>
      <c r="E109" s="631" t="str" cm="1">
        <f t="array" ref="E109">_xlfn.XLOOKUP($A109,'Round of 32 &amp; Round of 16'!$A1:$A100,'Round of 32 &amp; Round of 16'!E1:E100,"-",0)</f>
        <v>Marruecos</v>
      </c>
      <c r="F109" s="620"/>
      <c r="G109" s="606"/>
      <c r="H109" s="437"/>
      <c r="I109" s="632" t="str" cm="1">
        <f t="array" ref="I109">IF(OR(ISBLANK(C109),ISBLANK(D109)),"",IF(C109&gt;D109,B109,IF(D109&gt;C109,E109,"")))</f>
        <v>Marruecos</v>
      </c>
      <c r="J109" s="632" t="str" cm="1">
        <f t="array" ref="J109">IF(OR(ISBLANK(C109),ISBLANK(D109)),"",IF(C109=D109,B109,""))</f>
        <v/>
      </c>
      <c r="K109" s="632" t="str" cm="1">
        <f t="array" ref="K109">IF(OR(ISBLANK(C109),ISBLANK(D109)),"",IF(C109=D109,E109,""))</f>
        <v/>
      </c>
      <c r="L109" s="632" t="str" cm="1">
        <f t="array" ref="L109">IF(OR(ISBLANK(C109),ISBLANK(D109)),"",IF(C109&lt;D109,B109,IF(D109&lt;C109,E109,"")))</f>
        <v>Paises Bajos</v>
      </c>
      <c r="M109" s="633"/>
    </row>
    <row r="110" spans="1:13" ht="14.25" customHeight="1">
      <c r="A110" s="628" t="s">
        <v>265</v>
      </c>
      <c r="B110" s="629" t="str" cm="1">
        <f t="array" ref="B110">_xlfn.XLOOKUP($A110,'Round of 32 &amp; Round of 16'!$A1:$A100,'Round of 32 &amp; Round of 16'!B1:B100,"-",0)</f>
        <v>Brasil</v>
      </c>
      <c r="C110" s="630" cm="1">
        <f t="array" ref="C110">_xlfn.XLOOKUP($A110,'Round of 32 &amp; Round of 16'!$A1:$A100,'Round of 32 &amp; Round of 16'!C1:C100,"-",0)</f>
        <v>2</v>
      </c>
      <c r="D110" s="630" cm="1">
        <f t="array" ref="D110">_xlfn.XLOOKUP($A110,'Round of 32 &amp; Round of 16'!$A1:$A100,'Round of 32 &amp; Round of 16'!D1:D100,"-",0)</f>
        <v>0</v>
      </c>
      <c r="E110" s="631" t="str" cm="1">
        <f t="array" ref="E110">_xlfn.XLOOKUP($A110,'Round of 32 &amp; Round of 16'!$A1:$A100,'Round of 32 &amp; Round of 16'!E1:E100,"-",0)</f>
        <v>Japon</v>
      </c>
      <c r="F110" s="620"/>
      <c r="G110" s="606"/>
      <c r="H110" s="437"/>
      <c r="I110" s="632" t="str" cm="1">
        <f t="array" ref="I110">IF(OR(ISBLANK(C110),ISBLANK(D110)),"",IF(C110&gt;D110,B110,IF(D110&gt;C110,E110,"")))</f>
        <v>Brasil</v>
      </c>
      <c r="J110" s="632" t="str" cm="1">
        <f t="array" ref="J110">IF(OR(ISBLANK(C110),ISBLANK(D110)),"",IF(C110=D110,B110,""))</f>
        <v/>
      </c>
      <c r="K110" s="632" t="str" cm="1">
        <f t="array" ref="K110">IF(OR(ISBLANK(C110),ISBLANK(D110)),"",IF(C110=D110,E110,""))</f>
        <v/>
      </c>
      <c r="L110" s="632" t="str" cm="1">
        <f t="array" ref="L110">IF(OR(ISBLANK(C110),ISBLANK(D110)),"",IF(C110&lt;D110,B110,IF(D110&lt;C110,E110,"")))</f>
        <v>Japon</v>
      </c>
      <c r="M110" s="633"/>
    </row>
    <row r="111" spans="1:13" ht="14.25" customHeight="1">
      <c r="A111" s="628" t="s">
        <v>273</v>
      </c>
      <c r="B111" s="629" t="str" cm="1">
        <f t="array" ref="B111">_xlfn.XLOOKUP($A111,'Round of 32 &amp; Round of 16'!$A1:$A100,'Round of 32 &amp; Round of 16'!B1:B100,"-",0)</f>
        <v>Francia</v>
      </c>
      <c r="C111" s="630" cm="1">
        <f t="array" ref="C111">_xlfn.XLOOKUP($A111,'Round of 32 &amp; Round of 16'!$A1:$A100,'Round of 32 &amp; Round of 16'!C1:C100,"-",0)</f>
        <v>3</v>
      </c>
      <c r="D111" s="630" cm="1">
        <f t="array" ref="D111">_xlfn.XLOOKUP($A111,'Round of 32 &amp; Round of 16'!$A1:$A100,'Round of 32 &amp; Round of 16'!D1:D100,"-",0)</f>
        <v>1</v>
      </c>
      <c r="E111" s="631" t="str" cm="1">
        <f t="array" ref="E111">_xlfn.XLOOKUP($A111,'Round of 32 &amp; Round of 16'!$A1:$A100,'Round of 32 &amp; Round of 16'!E1:E100,"-",0)</f>
        <v>Suecia</v>
      </c>
      <c r="F111" s="620"/>
      <c r="G111" s="606"/>
      <c r="H111" s="437"/>
      <c r="I111" s="632" t="str" cm="1">
        <f t="array" ref="I111">IF(OR(ISBLANK(C111),ISBLANK(D111)),"",IF(C111&gt;D111,B111,IF(D111&gt;C111,E111,"")))</f>
        <v>Francia</v>
      </c>
      <c r="J111" s="632" t="str" cm="1">
        <f t="array" ref="J111">IF(OR(ISBLANK(C111),ISBLANK(D111)),"",IF(C111=D111,B111,""))</f>
        <v/>
      </c>
      <c r="K111" s="632" t="str" cm="1">
        <f t="array" ref="K111">IF(OR(ISBLANK(C111),ISBLANK(D111)),"",IF(C111=D111,E111,""))</f>
        <v/>
      </c>
      <c r="L111" s="632" t="str" cm="1">
        <f t="array" ref="L111">IF(OR(ISBLANK(C111),ISBLANK(D111)),"",IF(C111&lt;D111,B111,IF(D111&lt;C111,E111,"")))</f>
        <v>Suecia</v>
      </c>
      <c r="M111" s="633"/>
    </row>
    <row r="112" spans="1:13" ht="14.25" customHeight="1">
      <c r="A112" s="628" t="s">
        <v>277</v>
      </c>
      <c r="B112" s="629" t="str" cm="1">
        <f t="array" ref="B112">_xlfn.XLOOKUP($A112,'Round of 32 &amp; Round of 16'!$A1:$A100,'Round of 32 &amp; Round of 16'!B1:B100,"-",0)</f>
        <v>Ecuador</v>
      </c>
      <c r="C112" s="630" cm="1">
        <f t="array" ref="C112">_xlfn.XLOOKUP($A112,'Round of 32 &amp; Round of 16'!$A1:$A100,'Round of 32 &amp; Round of 16'!C1:C100,"-",0)</f>
        <v>2</v>
      </c>
      <c r="D112" s="630" cm="1">
        <f t="array" ref="D112">_xlfn.XLOOKUP($A112,'Round of 32 &amp; Round of 16'!$A1:$A100,'Round of 32 &amp; Round of 16'!D1:D100,"-",0)</f>
        <v>1</v>
      </c>
      <c r="E112" s="631" t="str" cm="1">
        <f t="array" ref="E112">_xlfn.XLOOKUP($A112,'Round of 32 &amp; Round of 16'!$A1:$A100,'Round of 32 &amp; Round of 16'!E1:E100,"-",0)</f>
        <v>Noruega</v>
      </c>
      <c r="F112" s="620"/>
      <c r="G112" s="606"/>
      <c r="H112" s="437"/>
      <c r="I112" s="632" t="str" cm="1">
        <f t="array" ref="I112">IF(OR(ISBLANK(C112),ISBLANK(D112)),"",IF(C112&gt;D112,B112,IF(D112&gt;C112,E112,"")))</f>
        <v>Ecuador</v>
      </c>
      <c r="J112" s="632" t="str" cm="1">
        <f t="array" ref="J112">IF(OR(ISBLANK(C112),ISBLANK(D112)),"",IF(C112=D112,B112,""))</f>
        <v/>
      </c>
      <c r="K112" s="632" t="str" cm="1">
        <f t="array" ref="K112">IF(OR(ISBLANK(C112),ISBLANK(D112)),"",IF(C112=D112,E112,""))</f>
        <v/>
      </c>
      <c r="L112" s="632" t="str" cm="1">
        <f t="array" ref="L112">IF(OR(ISBLANK(C112),ISBLANK(D112)),"",IF(C112&lt;D112,B112,IF(D112&lt;C112,E112,"")))</f>
        <v>Noruega</v>
      </c>
      <c r="M112" s="633"/>
    </row>
    <row r="113" spans="1:13" ht="14.25" customHeight="1">
      <c r="A113" s="628" t="s">
        <v>284</v>
      </c>
      <c r="B113" s="629" t="str" cm="1">
        <f t="array" ref="B113">_xlfn.XLOOKUP($A113,'Round of 32 &amp; Round of 16'!$A1:$A100,'Round of 32 &amp; Round of 16'!B1:B100,"-",0)</f>
        <v>Mexico</v>
      </c>
      <c r="C113" s="630" cm="1">
        <f t="array" ref="C113">_xlfn.XLOOKUP($A113,'Round of 32 &amp; Round of 16'!$A1:$A100,'Round of 32 &amp; Round of 16'!C1:C100,"-",0)</f>
        <v>2</v>
      </c>
      <c r="D113" s="630" cm="1">
        <f t="array" ref="D113">_xlfn.XLOOKUP($A113,'Round of 32 &amp; Round of 16'!$A1:$A100,'Round of 32 &amp; Round of 16'!D1:D100,"-",0)</f>
        <v>1</v>
      </c>
      <c r="E113" s="631" t="str" cm="1">
        <f t="array" ref="E113">_xlfn.XLOOKUP($A113,'Round of 32 &amp; Round of 16'!$A1:$A100,'Round of 32 &amp; Round of 16'!E1:E100,"-",0)</f>
        <v>Escocia</v>
      </c>
      <c r="F113" s="620"/>
      <c r="G113" s="606"/>
      <c r="H113" s="437"/>
      <c r="I113" s="632" t="str" cm="1">
        <f t="array" ref="I113">IF(OR(ISBLANK(C113),ISBLANK(D113)),"",IF(C113&gt;D113,B113,IF(D113&gt;C113,E113,"")))</f>
        <v>Mexico</v>
      </c>
      <c r="J113" s="632" t="str" cm="1">
        <f t="array" ref="J113">IF(OR(ISBLANK(C113),ISBLANK(D113)),"",IF(C113=D113,B113,""))</f>
        <v/>
      </c>
      <c r="K113" s="632" t="str" cm="1">
        <f t="array" ref="K113">IF(OR(ISBLANK(C113),ISBLANK(D113)),"",IF(C113=D113,E113,""))</f>
        <v/>
      </c>
      <c r="L113" s="632" t="str" cm="1">
        <f t="array" ref="L113">IF(OR(ISBLANK(C113),ISBLANK(D113)),"",IF(C113&lt;D113,B113,IF(D113&lt;C113,E113,"")))</f>
        <v>Escocia</v>
      </c>
      <c r="M113" s="633"/>
    </row>
    <row r="114" spans="1:13" ht="14.25" customHeight="1">
      <c r="A114" s="634" t="s">
        <v>288</v>
      </c>
      <c r="B114" s="635" t="str" cm="1">
        <f t="array" ref="B114">_xlfn.XLOOKUP($A114,'Round of 32 &amp; Round of 16'!$A1:$A100,'Round of 32 &amp; Round of 16'!B1:B100,"-",0)</f>
        <v>Inglaterra</v>
      </c>
      <c r="C114" s="636" cm="1">
        <f t="array" ref="C114">_xlfn.XLOOKUP($A114,'Round of 32 &amp; Round of 16'!$A1:$A100,'Round of 32 &amp; Round of 16'!C1:C100,"-",0)</f>
        <v>2</v>
      </c>
      <c r="D114" s="636" cm="1">
        <f t="array" ref="D114">_xlfn.XLOOKUP($A114,'Round of 32 &amp; Round of 16'!$A1:$A100,'Round of 32 &amp; Round of 16'!D1:D100,"-",0)</f>
        <v>1</v>
      </c>
      <c r="E114" s="637" t="str" cm="1">
        <f t="array" ref="E114">_xlfn.XLOOKUP($A114,'Round of 32 &amp; Round of 16'!$A1:$A100,'Round of 32 &amp; Round of 16'!E1:E100,"-",0)</f>
        <v>Senegal</v>
      </c>
      <c r="F114" s="620"/>
      <c r="G114" s="606"/>
      <c r="H114" s="437"/>
      <c r="I114" s="638" t="str" cm="1">
        <f t="array" ref="I114">IF(OR(ISBLANK(C114),ISBLANK(D114)),"",IF(C114&gt;D114,B114,IF(D114&gt;C114,E114,"")))</f>
        <v>Inglaterra</v>
      </c>
      <c r="J114" s="638" t="str" cm="1">
        <f t="array" ref="J114">IF(OR(ISBLANK(C114),ISBLANK(D114)),"",IF(C114=D114,B114,""))</f>
        <v/>
      </c>
      <c r="K114" s="638" t="str" cm="1">
        <f t="array" ref="K114">IF(OR(ISBLANK(C114),ISBLANK(D114)),"",IF(C114=D114,E114,""))</f>
        <v/>
      </c>
      <c r="L114" s="638" t="str" cm="1">
        <f t="array" ref="L114">IF(OR(ISBLANK(C114),ISBLANK(D114)),"",IF(C114&lt;D114,B114,IF(D114&lt;C114,E114,"")))</f>
        <v>Senegal</v>
      </c>
      <c r="M114" s="639"/>
    </row>
    <row r="115" spans="1:13" ht="14.25" customHeight="1">
      <c r="A115" s="622" t="s">
        <v>250</v>
      </c>
      <c r="B115" s="623" t="str" cm="1">
        <f t="array" ref="B115">_xlfn.XLOOKUP($A115,'Round of 32 &amp; Round of 16'!$G1:$G100,'Round of 32 &amp; Round of 16'!H1:H100,"-",0)</f>
        <v>Estados Unidos</v>
      </c>
      <c r="C115" s="624" cm="1">
        <f t="array" ref="C115">_xlfn.XLOOKUP($A115,'Round of 32 &amp; Round of 16'!$G1:$G100,'Round of 32 &amp; Round of 16'!I1:I100,"-",0)</f>
        <v>1</v>
      </c>
      <c r="D115" s="624" cm="1">
        <f t="array" ref="D115">_xlfn.XLOOKUP($A115,'Round of 32 &amp; Round of 16'!$G1:$G100,'Round of 32 &amp; Round of 16'!J1:J100,"-",0)</f>
        <v>0</v>
      </c>
      <c r="E115" s="625" t="str" cm="1">
        <f t="array" ref="E115">_xlfn.XLOOKUP($A115,'Round of 32 &amp; Round of 16'!$G1:$G100,'Round of 32 &amp; Round of 16'!K1:K100,"-",0)</f>
        <v>Costa de Marfil</v>
      </c>
      <c r="F115" s="620"/>
      <c r="G115" s="606"/>
      <c r="H115" s="437"/>
      <c r="I115" s="626" t="str" cm="1">
        <f t="array" ref="I115">IF(OR(ISBLANK(C115),ISBLANK(D115)),"",IF(C115&gt;D115,B115,IF(D115&gt;C115,E115,"")))</f>
        <v>Estados Unidos</v>
      </c>
      <c r="J115" s="626" t="str" cm="1">
        <f t="array" ref="J115">IF(OR(ISBLANK(C115),ISBLANK(D115)),"",IF(C115=D115,B115,""))</f>
        <v/>
      </c>
      <c r="K115" s="626" t="str" cm="1">
        <f t="array" ref="K115">IF(OR(ISBLANK(C115),ISBLANK(D115)),"",IF(C115=D115,E115,""))</f>
        <v/>
      </c>
      <c r="L115" s="626" t="str" cm="1">
        <f t="array" ref="L115">IF(OR(ISBLANK(C115),ISBLANK(D115)),"",IF(C115&lt;D115,B115,IF(D115&lt;C115,E115,"")))</f>
        <v>Costa de Marfil</v>
      </c>
      <c r="M115" s="627"/>
    </row>
    <row r="116" spans="1:13" ht="14.25" customHeight="1">
      <c r="A116" s="628" t="s">
        <v>256</v>
      </c>
      <c r="B116" s="629" t="str" cm="1">
        <f t="array" ref="B116">_xlfn.XLOOKUP($A116,'Round of 32 &amp; Round of 16'!$G1:$G100,'Round of 32 &amp; Round of 16'!H1:H100,"-",0)</f>
        <v>Belgica</v>
      </c>
      <c r="C116" s="630" cm="1">
        <f t="array" ref="C116">_xlfn.XLOOKUP($A116,'Round of 32 &amp; Round of 16'!$G1:$G100,'Round of 32 &amp; Round of 16'!I1:I100,"-",0)</f>
        <v>2</v>
      </c>
      <c r="D116" s="630" cm="1">
        <f t="array" ref="D116">_xlfn.XLOOKUP($A116,'Round of 32 &amp; Round of 16'!$G1:$G100,'Round of 32 &amp; Round of 16'!J1:J100,"-",0)</f>
        <v>1</v>
      </c>
      <c r="E116" s="631" t="str" cm="1">
        <f t="array" ref="E116">_xlfn.XLOOKUP($A116,'Round of 32 &amp; Round of 16'!$G1:$G100,'Round of 32 &amp; Round of 16'!K1:K100,"-",0)</f>
        <v>Repubilca Checa</v>
      </c>
      <c r="F116" s="620"/>
      <c r="G116" s="606"/>
      <c r="H116" s="437"/>
      <c r="I116" s="632" t="str" cm="1">
        <f t="array" ref="I116">IF(OR(ISBLANK(C116),ISBLANK(D116)),"",IF(C116&gt;D116,B116,IF(D116&gt;C116,E116,"")))</f>
        <v>Belgica</v>
      </c>
      <c r="J116" s="632" t="str" cm="1">
        <f t="array" ref="J116">IF(OR(ISBLANK(C116),ISBLANK(D116)),"",IF(C116=D116,B116,""))</f>
        <v/>
      </c>
      <c r="K116" s="632" t="str" cm="1">
        <f t="array" ref="K116">IF(OR(ISBLANK(C116),ISBLANK(D116)),"",IF(C116=D116,E116,""))</f>
        <v/>
      </c>
      <c r="L116" s="632" t="str" cm="1">
        <f t="array" ref="L116">IF(OR(ISBLANK(C116),ISBLANK(D116)),"",IF(C116&lt;D116,B116,IF(D116&lt;C116,E116,"")))</f>
        <v>Repubilca Checa</v>
      </c>
      <c r="M116" s="633"/>
    </row>
    <row r="117" spans="1:13" ht="14.25" customHeight="1">
      <c r="A117" s="628" t="s">
        <v>261</v>
      </c>
      <c r="B117" s="629" t="str" cm="1">
        <f t="array" ref="B117">_xlfn.XLOOKUP($A117,'Round of 32 &amp; Round of 16'!$G1:$G100,'Round of 32 &amp; Round of 16'!H1:H100,"-",0)</f>
        <v>Colombia</v>
      </c>
      <c r="C117" s="630" cm="1">
        <f t="array" ref="C117">_xlfn.XLOOKUP($A117,'Round of 32 &amp; Round of 16'!$G1:$G100,'Round of 32 &amp; Round of 16'!I1:I100,"-",0)</f>
        <v>1</v>
      </c>
      <c r="D117" s="630" cm="1">
        <f t="array" ref="D117">_xlfn.XLOOKUP($A117,'Round of 32 &amp; Round of 16'!$G1:$G100,'Round of 32 &amp; Round of 16'!J1:J100,"-",0)</f>
        <v>2</v>
      </c>
      <c r="E117" s="631" t="str" cm="1">
        <f t="array" ref="E117">_xlfn.XLOOKUP($A117,'Round of 32 &amp; Round of 16'!$G1:$G100,'Round of 32 &amp; Round of 16'!K1:K100,"-",0)</f>
        <v>Croacia</v>
      </c>
      <c r="F117" s="620"/>
      <c r="G117" s="606"/>
      <c r="H117" s="437"/>
      <c r="I117" s="632" t="str" cm="1">
        <f t="array" ref="I117">IF(OR(ISBLANK(C117),ISBLANK(D117)),"",IF(C117&gt;D117,B117,IF(D117&gt;C117,E117,"")))</f>
        <v>Croacia</v>
      </c>
      <c r="J117" s="632" t="str" cm="1">
        <f t="array" ref="J117">IF(OR(ISBLANK(C117),ISBLANK(D117)),"",IF(C117=D117,B117,""))</f>
        <v/>
      </c>
      <c r="K117" s="632" t="str" cm="1">
        <f t="array" ref="K117">IF(OR(ISBLANK(C117),ISBLANK(D117)),"",IF(C117=D117,E117,""))</f>
        <v/>
      </c>
      <c r="L117" s="632" t="str" cm="1">
        <f t="array" ref="L117">IF(OR(ISBLANK(C117),ISBLANK(D117)),"",IF(C117&lt;D117,B117,IF(D117&lt;C117,E117,"")))</f>
        <v>Colombia</v>
      </c>
      <c r="M117" s="633"/>
    </row>
    <row r="118" spans="1:13" ht="14.25" customHeight="1">
      <c r="A118" s="628" t="s">
        <v>266</v>
      </c>
      <c r="B118" s="629" t="str" cm="1">
        <f t="array" ref="B118">_xlfn.XLOOKUP($A118,'Round of 32 &amp; Round of 16'!$G1:$G100,'Round of 32 &amp; Round of 16'!H1:H100,"-",0)</f>
        <v>España</v>
      </c>
      <c r="C118" s="630" cm="1">
        <f t="array" ref="C118">_xlfn.XLOOKUP($A118,'Round of 32 &amp; Round of 16'!$G1:$G100,'Round of 32 &amp; Round of 16'!I1:I100,"-",0)</f>
        <v>2</v>
      </c>
      <c r="D118" s="630" cm="1">
        <f t="array" ref="D118">_xlfn.XLOOKUP($A118,'Round of 32 &amp; Round of 16'!$G1:$G100,'Round of 32 &amp; Round of 16'!J1:J100,"-",0)</f>
        <v>0</v>
      </c>
      <c r="E118" s="631" t="str" cm="1">
        <f t="array" ref="E118">_xlfn.XLOOKUP($A118,'Round of 32 &amp; Round of 16'!$G1:$G100,'Round of 32 &amp; Round of 16'!K1:K100,"-",0)</f>
        <v>Austria</v>
      </c>
      <c r="F118" s="620"/>
      <c r="G118" s="606"/>
      <c r="H118" s="437"/>
      <c r="I118" s="632" t="str" cm="1">
        <f t="array" ref="I118">IF(OR(ISBLANK(C118),ISBLANK(D118)),"",IF(C118&gt;D118,B118,IF(D118&gt;C118,E118,"")))</f>
        <v>España</v>
      </c>
      <c r="J118" s="632" t="str" cm="1">
        <f t="array" ref="J118">IF(OR(ISBLANK(C118),ISBLANK(D118)),"",IF(C118=D118,B118,""))</f>
        <v/>
      </c>
      <c r="K118" s="632" t="str" cm="1">
        <f t="array" ref="K118">IF(OR(ISBLANK(C118),ISBLANK(D118)),"",IF(C118=D118,E118,""))</f>
        <v/>
      </c>
      <c r="L118" s="632" t="str" cm="1">
        <f t="array" ref="L118">IF(OR(ISBLANK(C118),ISBLANK(D118)),"",IF(C118&lt;D118,B118,IF(D118&lt;C118,E118,"")))</f>
        <v>Austria</v>
      </c>
      <c r="M118" s="633"/>
    </row>
    <row r="119" spans="1:13" ht="14.25" customHeight="1">
      <c r="A119" s="628" t="s">
        <v>274</v>
      </c>
      <c r="B119" s="629" t="str" cm="1">
        <f t="array" ref="B119">_xlfn.XLOOKUP($A119,'Round of 32 &amp; Round of 16'!$G1:$G100,'Round of 32 &amp; Round of 16'!H1:H100,"-",0)</f>
        <v>Suiza</v>
      </c>
      <c r="C119" s="630" cm="1">
        <f t="array" ref="C119">_xlfn.XLOOKUP($A119,'Round of 32 &amp; Round of 16'!$G1:$G100,'Round of 32 &amp; Round of 16'!I1:I100,"-",0)</f>
        <v>1</v>
      </c>
      <c r="D119" s="630" cm="1">
        <f t="array" ref="D119">_xlfn.XLOOKUP($A119,'Round of 32 &amp; Round of 16'!$G1:$G100,'Round of 32 &amp; Round of 16'!J1:J100,"-",0)</f>
        <v>0</v>
      </c>
      <c r="E119" s="631" t="str" cm="1">
        <f t="array" ref="E119">_xlfn.XLOOKUP($A119,'Round of 32 &amp; Round of 16'!$G1:$G100,'Round of 32 &amp; Round of 16'!K1:K100,"-",0)</f>
        <v>Argelia</v>
      </c>
      <c r="F119" s="620"/>
      <c r="G119" s="606"/>
      <c r="H119" s="437"/>
      <c r="I119" s="632" t="str" cm="1">
        <f t="array" ref="I119">IF(OR(ISBLANK(C119),ISBLANK(D119)),"",IF(C119&gt;D119,B119,IF(D119&gt;C119,E119,"")))</f>
        <v>Suiza</v>
      </c>
      <c r="J119" s="632" t="str" cm="1">
        <f t="array" ref="J119">IF(OR(ISBLANK(C119),ISBLANK(D119)),"",IF(C119=D119,B119,""))</f>
        <v/>
      </c>
      <c r="K119" s="632" t="str" cm="1">
        <f t="array" ref="K119">IF(OR(ISBLANK(C119),ISBLANK(D119)),"",IF(C119=D119,E119,""))</f>
        <v/>
      </c>
      <c r="L119" s="632" t="str" cm="1">
        <f t="array" ref="L119">IF(OR(ISBLANK(C119),ISBLANK(D119)),"",IF(C119&lt;D119,B119,IF(D119&lt;C119,E119,"")))</f>
        <v>Argelia</v>
      </c>
      <c r="M119" s="633"/>
    </row>
    <row r="120" spans="1:13" ht="14.25" customHeight="1">
      <c r="A120" s="628" t="s">
        <v>278</v>
      </c>
      <c r="B120" s="629" t="str" cm="1">
        <f t="array" ref="B120">_xlfn.XLOOKUP($A120,'Round of 32 &amp; Round of 16'!$G1:$G100,'Round of 32 &amp; Round of 16'!H1:H100,"-",0)</f>
        <v>Argentina</v>
      </c>
      <c r="C120" s="630" cm="1">
        <f t="array" ref="C120">_xlfn.XLOOKUP($A120,'Round of 32 &amp; Round of 16'!$G1:$G100,'Round of 32 &amp; Round of 16'!I1:I100,"-",0)</f>
        <v>1</v>
      </c>
      <c r="D120" s="630" cm="1">
        <f t="array" ref="D120">_xlfn.XLOOKUP($A120,'Round of 32 &amp; Round of 16'!$G1:$G100,'Round of 32 &amp; Round of 16'!J1:J100,"-",0)</f>
        <v>0</v>
      </c>
      <c r="E120" s="631" t="str" cm="1">
        <f t="array" ref="E120">_xlfn.XLOOKUP($A120,'Round of 32 &amp; Round of 16'!$G1:$G100,'Round of 32 &amp; Round of 16'!K1:K100,"-",0)</f>
        <v>Uruguay</v>
      </c>
      <c r="F120" s="620"/>
      <c r="G120" s="606"/>
      <c r="H120" s="437"/>
      <c r="I120" s="632" t="str" cm="1">
        <f t="array" ref="I120">IF(OR(ISBLANK(C120),ISBLANK(D120)),"",IF(C120&gt;D120,B120,IF(D120&gt;C120,E120,"")))</f>
        <v>Argentina</v>
      </c>
      <c r="J120" s="632" t="str" cm="1">
        <f t="array" ref="J120">IF(OR(ISBLANK(C120),ISBLANK(D120)),"",IF(C120=D120,B120,""))</f>
        <v/>
      </c>
      <c r="K120" s="632" t="str" cm="1">
        <f t="array" ref="K120">IF(OR(ISBLANK(C120),ISBLANK(D120)),"",IF(C120=D120,E120,""))</f>
        <v/>
      </c>
      <c r="L120" s="632" t="str" cm="1">
        <f t="array" ref="L120">IF(OR(ISBLANK(C120),ISBLANK(D120)),"",IF(C120&lt;D120,B120,IF(D120&lt;C120,E120,"")))</f>
        <v>Uruguay</v>
      </c>
      <c r="M120" s="633"/>
    </row>
    <row r="121" spans="1:13" ht="14.25" customHeight="1">
      <c r="A121" s="628" t="s">
        <v>285</v>
      </c>
      <c r="B121" s="629" t="str" cm="1">
        <f t="array" ref="B121">_xlfn.XLOOKUP($A121,'Round of 32 &amp; Round of 16'!$G1:$G100,'Round of 32 &amp; Round of 16'!H1:H100,"-",0)</f>
        <v>Portugal</v>
      </c>
      <c r="C121" s="630" cm="1">
        <f t="array" ref="C121">_xlfn.XLOOKUP($A121,'Round of 32 &amp; Round of 16'!$G1:$G100,'Round of 32 &amp; Round of 16'!I1:I100,"-",0)</f>
        <v>2</v>
      </c>
      <c r="D121" s="630" cm="1">
        <f t="array" ref="D121">_xlfn.XLOOKUP($A121,'Round of 32 &amp; Round of 16'!$G1:$G100,'Round of 32 &amp; Round of 16'!J1:J100,"-",0)</f>
        <v>1</v>
      </c>
      <c r="E121" s="631" t="str" cm="1">
        <f t="array" ref="E121">_xlfn.XLOOKUP($A121,'Round of 32 &amp; Round of 16'!$G1:$G100,'Round of 32 &amp; Round of 16'!K1:K100,"-",0)</f>
        <v>Ghana</v>
      </c>
      <c r="F121" s="620"/>
      <c r="G121" s="606"/>
      <c r="H121" s="437"/>
      <c r="I121" s="632" t="str" cm="1">
        <f t="array" ref="I121">IF(OR(ISBLANK(C121),ISBLANK(D121)),"",IF(C121&gt;D121,B121,IF(D121&gt;C121,E121,"")))</f>
        <v>Portugal</v>
      </c>
      <c r="J121" s="632" t="str" cm="1">
        <f t="array" ref="J121">IF(OR(ISBLANK(C121),ISBLANK(D121)),"",IF(C121=D121,B121,""))</f>
        <v/>
      </c>
      <c r="K121" s="632" t="str" cm="1">
        <f t="array" ref="K121">IF(OR(ISBLANK(C121),ISBLANK(D121)),"",IF(C121=D121,E121,""))</f>
        <v/>
      </c>
      <c r="L121" s="632" t="str" cm="1">
        <f t="array" ref="L121">IF(OR(ISBLANK(C121),ISBLANK(D121)),"",IF(C121&lt;D121,B121,IF(D121&lt;C121,E121,"")))</f>
        <v>Ghana</v>
      </c>
      <c r="M121" s="633"/>
    </row>
    <row r="122" spans="1:13" ht="14.25" customHeight="1">
      <c r="A122" s="634" t="s">
        <v>289</v>
      </c>
      <c r="B122" s="635" t="str" cm="1">
        <f t="array" ref="B122">_xlfn.XLOOKUP($A122,'Round of 32 &amp; Round of 16'!$G1:$G100,'Round of 32 &amp; Round of 16'!H1:H100,"-",0)</f>
        <v>Paraguay</v>
      </c>
      <c r="C122" s="636" cm="1">
        <f t="array" ref="C122">_xlfn.XLOOKUP($A122,'Round of 32 &amp; Round of 16'!$G1:$G100,'Round of 32 &amp; Round of 16'!I1:I100,"-",0)</f>
        <v>2</v>
      </c>
      <c r="D122" s="636" cm="1">
        <f t="array" ref="D122">_xlfn.XLOOKUP($A122,'Round of 32 &amp; Round of 16'!$G1:$G100,'Round of 32 &amp; Round of 16'!J1:J100,"-",0)</f>
        <v>1</v>
      </c>
      <c r="E122" s="637" t="str" cm="1">
        <f t="array" ref="E122">_xlfn.XLOOKUP($A122,'Round of 32 &amp; Round of 16'!$G1:$G100,'Round of 32 &amp; Round of 16'!K1:K100,"-",0)</f>
        <v>Egipto</v>
      </c>
      <c r="F122" s="620"/>
      <c r="G122" s="606"/>
      <c r="H122" s="437"/>
      <c r="I122" s="638" t="str" cm="1">
        <f t="array" ref="I122">IF(OR(ISBLANK(C122),ISBLANK(D122)),"",IF(C122&gt;D122,B122,IF(D122&gt;C122,E122,"")))</f>
        <v>Paraguay</v>
      </c>
      <c r="J122" s="638" t="str" cm="1">
        <f t="array" ref="J122">IF(OR(ISBLANK(C122),ISBLANK(D122)),"",IF(C122=D122,B122,""))</f>
        <v/>
      </c>
      <c r="K122" s="638" t="str" cm="1">
        <f t="array" ref="K122">IF(OR(ISBLANK(C122),ISBLANK(D122)),"",IF(C122=D122,E122,""))</f>
        <v/>
      </c>
      <c r="L122" s="638" t="str" cm="1">
        <f t="array" ref="L122">IF(OR(ISBLANK(C122),ISBLANK(D122)),"",IF(C122&lt;D122,B122,IF(D122&lt;C122,E122,"")))</f>
        <v>Egipto</v>
      </c>
      <c r="M122" s="639"/>
    </row>
    <row r="123" spans="1:13" ht="14.25" customHeight="1">
      <c r="A123" s="640" t="s">
        <v>251</v>
      </c>
      <c r="B123" s="425" t="str" cm="1">
        <f t="array" ref="B123">_xlfn.XLOOKUP($A123,'Round of 32 &amp; Round of 16'!$O1:$O100,'Round of 32 &amp; Round of 16'!P1:P100,"-",0)</f>
        <v>Alemania</v>
      </c>
      <c r="C123" s="641" cm="1">
        <f t="array" ref="C123">_xlfn.XLOOKUP($A123,'Round of 32 &amp; Round of 16'!$O1:$O100,'Round of 32 &amp; Round of 16'!Q1:Q100,"-",0)</f>
        <v>1</v>
      </c>
      <c r="D123" s="641" cm="1">
        <f t="array" ref="D123">_xlfn.XLOOKUP($A123,'Round of 32 &amp; Round of 16'!$O1:$O100,'Round of 32 &amp; Round of 16'!R1:R100,"-",0)</f>
        <v>2</v>
      </c>
      <c r="E123" s="642" t="str" cm="1">
        <f t="array" ref="E123">_xlfn.XLOOKUP($A123,'Round of 32 &amp; Round of 16'!$O1:$O100,'Round of 32 &amp; Round of 16'!S1:S100,"-",0)</f>
        <v>Francia</v>
      </c>
      <c r="F123" s="620"/>
      <c r="G123" s="606"/>
      <c r="H123" s="437"/>
      <c r="I123" s="626" t="str" cm="1">
        <f t="array" ref="I123">IF(OR(ISBLANK(C123),ISBLANK(D123)),"",IF(C123&gt;D123,B123,IF(D123&gt;C123,E123,"")))</f>
        <v>Francia</v>
      </c>
      <c r="J123" s="626" t="str" cm="1">
        <f t="array" ref="J123">IF(OR(ISBLANK(C123),ISBLANK(D123)),"",IF(C123=D123,B123,""))</f>
        <v/>
      </c>
      <c r="K123" s="626" t="str" cm="1">
        <f t="array" ref="K123">IF(OR(ISBLANK(C123),ISBLANK(D123)),"",IF(C123=D123,E123,""))</f>
        <v/>
      </c>
      <c r="L123" s="626" t="str" cm="1">
        <f t="array" ref="L123">IF(OR(ISBLANK(C123),ISBLANK(D123)),"",IF(C123&lt;D123,B123,IF(D123&lt;C123,E123,"")))</f>
        <v>Alemania</v>
      </c>
      <c r="M123" s="627"/>
    </row>
    <row r="124" spans="1:13" ht="14.25" customHeight="1">
      <c r="A124" s="643" t="s">
        <v>262</v>
      </c>
      <c r="B124" s="282" t="str" cm="1">
        <f t="array" ref="B124">_xlfn.XLOOKUP($A124,'Round of 32 &amp; Round of 16'!$O1:$O100,'Round of 32 &amp; Round of 16'!P1:P100,"-",0)</f>
        <v>Corea del Sur</v>
      </c>
      <c r="C124" s="644" cm="1">
        <f t="array" ref="C124">_xlfn.XLOOKUP($A124,'Round of 32 &amp; Round of 16'!$O1:$O100,'Round of 32 &amp; Round of 16'!Q1:Q100,"-",0)</f>
        <v>1</v>
      </c>
      <c r="D124" s="644" cm="1">
        <f t="array" ref="D124">_xlfn.XLOOKUP($A124,'Round of 32 &amp; Round of 16'!$O1:$O100,'Round of 32 &amp; Round of 16'!R1:R100,"-",0)</f>
        <v>2</v>
      </c>
      <c r="E124" s="283" t="str" cm="1">
        <f t="array" ref="E124">_xlfn.XLOOKUP($A124,'Round of 32 &amp; Round of 16'!$O1:$O100,'Round of 32 &amp; Round of 16'!S1:S100,"-",0)</f>
        <v>Marruecos</v>
      </c>
      <c r="F124" s="620"/>
      <c r="G124" s="606"/>
      <c r="H124" s="437"/>
      <c r="I124" s="632" t="str" cm="1">
        <f t="array" ref="I124">IF(OR(ISBLANK(C124),ISBLANK(D124)),"",IF(C124&gt;D124,B124,IF(D124&gt;C124,E124,"")))</f>
        <v>Marruecos</v>
      </c>
      <c r="J124" s="632" t="str" cm="1">
        <f t="array" ref="J124">IF(OR(ISBLANK(C124),ISBLANK(D124)),"",IF(C124=D124,B124,""))</f>
        <v/>
      </c>
      <c r="K124" s="632" t="str" cm="1">
        <f t="array" ref="K124">IF(OR(ISBLANK(C124),ISBLANK(D124)),"",IF(C124=D124,E124,""))</f>
        <v/>
      </c>
      <c r="L124" s="632" t="str" cm="1">
        <f t="array" ref="L124">IF(OR(ISBLANK(C124),ISBLANK(D124)),"",IF(C124&lt;D124,B124,IF(D124&lt;C124,E124,"")))</f>
        <v>Corea del Sur</v>
      </c>
      <c r="M124" s="633"/>
    </row>
    <row r="125" spans="1:13" ht="14.25" customHeight="1">
      <c r="A125" s="643" t="s">
        <v>275</v>
      </c>
      <c r="B125" s="282" t="str" cm="1">
        <f t="array" ref="B125">_xlfn.XLOOKUP($A125,'Round of 32 &amp; Round of 16'!$O1:$O100,'Round of 32 &amp; Round of 16'!P1:P100,"-",0)</f>
        <v>Brasil</v>
      </c>
      <c r="C125" s="644" cm="1">
        <f t="array" ref="C125">_xlfn.XLOOKUP($A125,'Round of 32 &amp; Round of 16'!$O1:$O100,'Round of 32 &amp; Round of 16'!Q1:Q100,"-",0)</f>
        <v>2</v>
      </c>
      <c r="D125" s="644" cm="1">
        <f t="array" ref="D125">_xlfn.XLOOKUP($A125,'Round of 32 &amp; Round of 16'!$O1:$O100,'Round of 32 &amp; Round of 16'!R1:R100,"-",0)</f>
        <v>0</v>
      </c>
      <c r="E125" s="283" t="str" cm="1">
        <f t="array" ref="E125">_xlfn.XLOOKUP($A125,'Round of 32 &amp; Round of 16'!$O1:$O100,'Round of 32 &amp; Round of 16'!S1:S100,"-",0)</f>
        <v>Ecuador</v>
      </c>
      <c r="F125" s="620"/>
      <c r="G125" s="606"/>
      <c r="H125" s="437"/>
      <c r="I125" s="632" t="str" cm="1">
        <f t="array" ref="I125">IF(OR(ISBLANK(C125),ISBLANK(D125)),"",IF(C125&gt;D125,B125,IF(D125&gt;C125,E125,"")))</f>
        <v>Brasil</v>
      </c>
      <c r="J125" s="632" t="str" cm="1">
        <f t="array" ref="J125">IF(OR(ISBLANK(C125),ISBLANK(D125)),"",IF(C125=D125,B125,""))</f>
        <v/>
      </c>
      <c r="K125" s="632" t="str" cm="1">
        <f t="array" ref="K125">IF(OR(ISBLANK(C125),ISBLANK(D125)),"",IF(C125=D125,E125,""))</f>
        <v/>
      </c>
      <c r="L125" s="632" t="str" cm="1">
        <f t="array" ref="L125">IF(OR(ISBLANK(C125),ISBLANK(D125)),"",IF(C125&lt;D125,B125,IF(D125&lt;C125,E125,"")))</f>
        <v>Ecuador</v>
      </c>
      <c r="M125" s="633"/>
    </row>
    <row r="126" spans="1:13" ht="14.25" customHeight="1">
      <c r="A126" s="645" t="s">
        <v>286</v>
      </c>
      <c r="B126" s="395" t="str" cm="1">
        <f t="array" ref="B126">_xlfn.XLOOKUP($A126,'Round of 32 &amp; Round of 16'!$O1:$O100,'Round of 32 &amp; Round of 16'!P1:P100,"-",0)</f>
        <v>Mexico</v>
      </c>
      <c r="C126" s="646" cm="1">
        <f t="array" ref="C126">_xlfn.XLOOKUP($A126,'Round of 32 &amp; Round of 16'!$O1:$O100,'Round of 32 &amp; Round of 16'!Q1:Q100,"-",0)</f>
        <v>1</v>
      </c>
      <c r="D126" s="646" cm="1">
        <f t="array" ref="D126">_xlfn.XLOOKUP($A126,'Round of 32 &amp; Round of 16'!$O1:$O100,'Round of 32 &amp; Round of 16'!R1:R100,"-",0)</f>
        <v>2</v>
      </c>
      <c r="E126" s="647" t="str" cm="1">
        <f t="array" ref="E126">_xlfn.XLOOKUP($A126,'Round of 32 &amp; Round of 16'!$O1:$O100,'Round of 32 &amp; Round of 16'!S1:S100,"-",0)</f>
        <v>Inglaterra</v>
      </c>
      <c r="F126" s="620"/>
      <c r="G126" s="606"/>
      <c r="H126" s="437"/>
      <c r="I126" s="638" t="str" cm="1">
        <f t="array" ref="I126">IF(OR(ISBLANK(C126),ISBLANK(D126)),"",IF(C126&gt;D126,B126,IF(D126&gt;C126,E126,"")))</f>
        <v>Inglaterra</v>
      </c>
      <c r="J126" s="638" t="str" cm="1">
        <f t="array" ref="J126">IF(OR(ISBLANK(C126),ISBLANK(D126)),"",IF(C126=D126,B126,""))</f>
        <v/>
      </c>
      <c r="K126" s="638" t="str" cm="1">
        <f t="array" ref="K126">IF(OR(ISBLANK(C126),ISBLANK(D126)),"",IF(C126=D126,E126,""))</f>
        <v/>
      </c>
      <c r="L126" s="638" t="str" cm="1">
        <f t="array" ref="L126">IF(OR(ISBLANK(C126),ISBLANK(D126)),"",IF(C126&lt;D126,B126,IF(D126&lt;C126,E126,"")))</f>
        <v>Mexico</v>
      </c>
      <c r="M126" s="639"/>
    </row>
    <row r="127" spans="1:13" ht="14.25" customHeight="1">
      <c r="A127" s="640" t="s">
        <v>252</v>
      </c>
      <c r="B127" s="425" t="str" cm="1">
        <f t="array" ref="B127">_xlfn.XLOOKUP($A127,'Round of 32 &amp; Round of 16'!$U1:$U100,'Round of 32 &amp; Round of 16'!V1:V100,"-",0)</f>
        <v>Croacia</v>
      </c>
      <c r="C127" s="641" cm="1">
        <f t="array" ref="C127">_xlfn.XLOOKUP($A127,'Round of 32 &amp; Round of 16'!$U1:$U100,'Round of 32 &amp; Round of 16'!W1:W100,"-",0)</f>
        <v>0</v>
      </c>
      <c r="D127" s="641" cm="1">
        <f t="array" ref="D127">_xlfn.XLOOKUP($A127,'Round of 32 &amp; Round of 16'!$U1:$U100,'Round of 32 &amp; Round of 16'!X1:X100,"-",0)</f>
        <v>2</v>
      </c>
      <c r="E127" s="642" t="str" cm="1">
        <f t="array" ref="E127">_xlfn.XLOOKUP($A127,'Round of 32 &amp; Round of 16'!$U1:$U100,'Round of 32 &amp; Round of 16'!Y1:Y100,"-",0)</f>
        <v>España</v>
      </c>
      <c r="F127" s="620"/>
      <c r="G127" s="606"/>
      <c r="H127" s="437"/>
      <c r="I127" s="626" t="str" cm="1">
        <f t="array" ref="I127">IF(OR(ISBLANK(C127),ISBLANK(D127)),"",IF(C127&gt;D127,B127,IF(D127&gt;C127,E127,"")))</f>
        <v>España</v>
      </c>
      <c r="J127" s="626" t="str" cm="1">
        <f t="array" ref="J127">IF(OR(ISBLANK(C127),ISBLANK(D127)),"",IF(C127=D127,B127,""))</f>
        <v/>
      </c>
      <c r="K127" s="626" t="str" cm="1">
        <f t="array" ref="K127">IF(OR(ISBLANK(C127),ISBLANK(D127)),"",IF(C127=D127,E127,""))</f>
        <v/>
      </c>
      <c r="L127" s="626" t="str" cm="1">
        <f t="array" ref="L127">IF(OR(ISBLANK(C127),ISBLANK(D127)),"",IF(C127&lt;D127,B127,IF(D127&lt;C127,E127,"")))</f>
        <v>Croacia</v>
      </c>
      <c r="M127" s="627"/>
    </row>
    <row r="128" spans="1:13" ht="14.25" customHeight="1">
      <c r="A128" s="643" t="s">
        <v>263</v>
      </c>
      <c r="B128" s="282" t="str" cm="1">
        <f t="array" ref="B128">_xlfn.XLOOKUP($A128,'Round of 32 &amp; Round of 16'!$U1:$U100,'Round of 32 &amp; Round of 16'!V1:V100,"-",0)</f>
        <v>Estados Unidos</v>
      </c>
      <c r="C128" s="644" cm="1">
        <f t="array" ref="C128">_xlfn.XLOOKUP($A128,'Round of 32 &amp; Round of 16'!$U1:$U100,'Round of 32 &amp; Round of 16'!W1:W100,"-",0)</f>
        <v>1</v>
      </c>
      <c r="D128" s="644" cm="1">
        <f t="array" ref="D128">_xlfn.XLOOKUP($A128,'Round of 32 &amp; Round of 16'!$U1:$U100,'Round of 32 &amp; Round of 16'!X1:X100,"-",0)</f>
        <v>2</v>
      </c>
      <c r="E128" s="283" t="str" cm="1">
        <f t="array" ref="E128">_xlfn.XLOOKUP($A128,'Round of 32 &amp; Round of 16'!$U1:$U100,'Round of 32 &amp; Round of 16'!Y1:Y100,"-",0)</f>
        <v>Belgica</v>
      </c>
      <c r="F128" s="620"/>
      <c r="G128" s="606"/>
      <c r="H128" s="437"/>
      <c r="I128" s="632" t="str" cm="1">
        <f t="array" ref="I128">IF(OR(ISBLANK(C128),ISBLANK(D128)),"",IF(C128&gt;D128,B128,IF(D128&gt;C128,E128,"")))</f>
        <v>Belgica</v>
      </c>
      <c r="J128" s="632" t="str" cm="1">
        <f t="array" ref="J128">IF(OR(ISBLANK(C128),ISBLANK(D128)),"",IF(C128=D128,B128,""))</f>
        <v/>
      </c>
      <c r="K128" s="632" t="str" cm="1">
        <f t="array" ref="K128">IF(OR(ISBLANK(C128),ISBLANK(D128)),"",IF(C128=D128,E128,""))</f>
        <v/>
      </c>
      <c r="L128" s="632" t="str" cm="1">
        <f t="array" ref="L128">IF(OR(ISBLANK(C128),ISBLANK(D128)),"",IF(C128&lt;D128,B128,IF(D128&lt;C128,E128,"")))</f>
        <v>Estados Unidos</v>
      </c>
      <c r="M128" s="633"/>
    </row>
    <row r="129" spans="1:13" ht="14.25" customHeight="1">
      <c r="A129" s="643" t="s">
        <v>276</v>
      </c>
      <c r="B129" s="282" t="str" cm="1">
        <f t="array" ref="B129">_xlfn.XLOOKUP($A129,'Round of 32 &amp; Round of 16'!$U1:$U100,'Round of 32 &amp; Round of 16'!V1:V100,"-",0)</f>
        <v>Argentina</v>
      </c>
      <c r="C129" s="644" cm="1">
        <f t="array" ref="C129">_xlfn.XLOOKUP($A129,'Round of 32 &amp; Round of 16'!$U1:$U100,'Round of 32 &amp; Round of 16'!W1:W100,"-",0)</f>
        <v>2</v>
      </c>
      <c r="D129" s="644" cm="1">
        <f t="array" ref="D129">_xlfn.XLOOKUP($A129,'Round of 32 &amp; Round of 16'!$U1:$U100,'Round of 32 &amp; Round of 16'!X1:X100,"-",0)</f>
        <v>0</v>
      </c>
      <c r="E129" s="283" t="str" cm="1">
        <f t="array" ref="E129">_xlfn.XLOOKUP($A129,'Round of 32 &amp; Round of 16'!$U1:$U100,'Round of 32 &amp; Round of 16'!Y1:Y100,"-",0)</f>
        <v>Paraguay</v>
      </c>
      <c r="F129" s="620"/>
      <c r="G129" s="606"/>
      <c r="H129" s="437"/>
      <c r="I129" s="632" t="str" cm="1">
        <f t="array" ref="I129">IF(OR(ISBLANK(C129),ISBLANK(D129)),"",IF(C129&gt;D129,B129,IF(D129&gt;C129,E129,"")))</f>
        <v>Argentina</v>
      </c>
      <c r="J129" s="632" t="str" cm="1">
        <f t="array" ref="J129">IF(OR(ISBLANK(C129),ISBLANK(D129)),"",IF(C129=D129,B129,""))</f>
        <v/>
      </c>
      <c r="K129" s="632" t="str" cm="1">
        <f t="array" ref="K129">IF(OR(ISBLANK(C129),ISBLANK(D129)),"",IF(C129=D129,E129,""))</f>
        <v/>
      </c>
      <c r="L129" s="632" t="str" cm="1">
        <f t="array" ref="L129">IF(OR(ISBLANK(C129),ISBLANK(D129)),"",IF(C129&lt;D129,B129,IF(D129&lt;C129,E129,"")))</f>
        <v>Paraguay</v>
      </c>
      <c r="M129" s="633"/>
    </row>
    <row r="130" spans="1:13" ht="14.25" customHeight="1">
      <c r="A130" s="645" t="s">
        <v>287</v>
      </c>
      <c r="B130" s="395" t="str" cm="1">
        <f t="array" ref="B130">_xlfn.XLOOKUP($A130,'Round of 32 &amp; Round of 16'!$U1:$U100,'Round of 32 &amp; Round of 16'!V1:V100,"-",0)</f>
        <v>Suiza</v>
      </c>
      <c r="C130" s="646" cm="1">
        <f t="array" ref="C130">_xlfn.XLOOKUP($A130,'Round of 32 &amp; Round of 16'!$U1:$U100,'Round of 32 &amp; Round of 16'!W1:W100,"-",0)</f>
        <v>1</v>
      </c>
      <c r="D130" s="646" cm="1">
        <f t="array" ref="D130">_xlfn.XLOOKUP($A130,'Round of 32 &amp; Round of 16'!$U1:$U100,'Round of 32 &amp; Round of 16'!X1:X100,"-",0)</f>
        <v>2</v>
      </c>
      <c r="E130" s="647" t="str" cm="1">
        <f t="array" ref="E130">_xlfn.XLOOKUP($A130,'Round of 32 &amp; Round of 16'!$U1:$U100,'Round of 32 &amp; Round of 16'!Y1:Y100,"-",0)</f>
        <v>Portugal</v>
      </c>
      <c r="F130" s="620"/>
      <c r="G130" s="606"/>
      <c r="H130" s="437"/>
      <c r="I130" s="638" t="str" cm="1">
        <f t="array" ref="I130">IF(OR(ISBLANK(C130),ISBLANK(D130)),"",IF(C130&gt;D130,B130,IF(D130&gt;C130,E130,"")))</f>
        <v>Portugal</v>
      </c>
      <c r="J130" s="638" t="str" cm="1">
        <f t="array" ref="J130">IF(OR(ISBLANK(C130),ISBLANK(D130)),"",IF(C130=D130,B130,""))</f>
        <v/>
      </c>
      <c r="K130" s="638" t="str" cm="1">
        <f t="array" ref="K130">IF(OR(ISBLANK(C130),ISBLANK(D130)),"",IF(C130=D130,E130,""))</f>
        <v/>
      </c>
      <c r="L130" s="638" t="str" cm="1">
        <f t="array" ref="L130">IF(OR(ISBLANK(C130),ISBLANK(D130)),"",IF(C130&lt;D130,B130,IF(D130&lt;C130,E130,"")))</f>
        <v>Suiza</v>
      </c>
      <c r="M130" s="639"/>
    </row>
    <row r="131" spans="1:13" ht="14.25" customHeight="1">
      <c r="A131" s="648" t="s">
        <v>292</v>
      </c>
      <c r="B131" s="649" t="str" cm="1">
        <f t="array" ref="B131:E131">_xlfn.XLOOKUP($A131,'Quarter, Semis &amp; Final'!$A1:$A100,'Quarter, Semis &amp; Final'!B1:E100,"-",0)</f>
        <v>Francia</v>
      </c>
      <c r="C131" s="650">
        <v>2</v>
      </c>
      <c r="D131" s="650">
        <v>1</v>
      </c>
      <c r="E131" s="651" t="str">
        <v>Marruecos</v>
      </c>
      <c r="F131" s="620"/>
      <c r="G131" s="606"/>
      <c r="H131" s="437"/>
      <c r="I131" s="626" t="str" cm="1">
        <f t="array" ref="I131">IF(OR(ISBLANK(C131),ISBLANK(D131)),"",IF(C131&gt;D131,B131,IF(D131&gt;C131,E131,"")))</f>
        <v>Francia</v>
      </c>
      <c r="J131" s="626" t="str" cm="1">
        <f t="array" ref="J131">IF(OR(ISBLANK(C131),ISBLANK(D131)),"",IF(C131=D131,B131,""))</f>
        <v/>
      </c>
      <c r="K131" s="626" t="str" cm="1">
        <f t="array" ref="K131">IF(OR(ISBLANK(C131),ISBLANK(D131)),"",IF(C131=D131,E131,""))</f>
        <v/>
      </c>
      <c r="L131" s="626" t="str" cm="1">
        <f t="array" ref="L131">IF(OR(ISBLANK(C131),ISBLANK(D131)),"",IF(C131&lt;D131,B131,IF(D131&lt;C131,E131,"")))</f>
        <v>Marruecos</v>
      </c>
      <c r="M131" s="627"/>
    </row>
    <row r="132" spans="1:13" ht="14.25" customHeight="1">
      <c r="A132" s="652" t="s">
        <v>297</v>
      </c>
      <c r="B132" s="653" t="str" cm="1">
        <f t="array" ref="B132:E132">_xlfn.XLOOKUP($A132,'Quarter, Semis &amp; Final'!$A1:$A100,'Quarter, Semis &amp; Final'!B1:E100,"-",0)</f>
        <v>España</v>
      </c>
      <c r="C132" s="654">
        <v>1</v>
      </c>
      <c r="D132" s="654">
        <v>0</v>
      </c>
      <c r="E132" s="655" t="str">
        <v>Belgica</v>
      </c>
      <c r="F132" s="620"/>
      <c r="G132" s="606"/>
      <c r="H132" s="437"/>
      <c r="I132" s="632" t="str" cm="1">
        <f t="array" ref="I132">IF(OR(ISBLANK(C132),ISBLANK(D132)),"",IF(C132&gt;D132,B132,IF(D132&gt;C132,E132,"")))</f>
        <v>España</v>
      </c>
      <c r="J132" s="632" t="str" cm="1">
        <f t="array" ref="J132">IF(OR(ISBLANK(C132),ISBLANK(D132)),"",IF(C132=D132,B132,""))</f>
        <v/>
      </c>
      <c r="K132" s="632" t="str" cm="1">
        <f t="array" ref="K132">IF(OR(ISBLANK(C132),ISBLANK(D132)),"",IF(C132=D132,E132,""))</f>
        <v/>
      </c>
      <c r="L132" s="632" t="str" cm="1">
        <f t="array" ref="L132">IF(OR(ISBLANK(C132),ISBLANK(D132)),"",IF(C132&lt;D132,B132,IF(D132&lt;C132,E132,"")))</f>
        <v>Belgica</v>
      </c>
      <c r="M132" s="633"/>
    </row>
    <row r="133" spans="1:13" ht="14.25" customHeight="1">
      <c r="A133" s="652" t="s">
        <v>293</v>
      </c>
      <c r="B133" s="653" t="str" cm="1">
        <f t="array" ref="B133:E133">_xlfn.XLOOKUP($A133,'Quarter, Semis &amp; Final'!$G1:$G100,'Quarter, Semis &amp; Final'!H1:K100,"-",0)</f>
        <v>Brasil</v>
      </c>
      <c r="C133" s="654">
        <v>2</v>
      </c>
      <c r="D133" s="654">
        <v>1</v>
      </c>
      <c r="E133" s="655" t="str">
        <v>Inglaterra</v>
      </c>
      <c r="F133" s="620"/>
      <c r="G133" s="606"/>
      <c r="H133" s="437"/>
      <c r="I133" s="632" t="str" cm="1">
        <f t="array" ref="I133">IF(OR(ISBLANK(C133),ISBLANK(D133)),"",IF(C133&gt;D133,B133,IF(D133&gt;C133,E133,"")))</f>
        <v>Brasil</v>
      </c>
      <c r="J133" s="632" t="str" cm="1">
        <f t="array" ref="J133">IF(OR(ISBLANK(C133),ISBLANK(D133)),"",IF(C133=D133,B133,""))</f>
        <v/>
      </c>
      <c r="K133" s="632" t="str" cm="1">
        <f t="array" ref="K133">IF(OR(ISBLANK(C133),ISBLANK(D133)),"",IF(C133=D133,E133,""))</f>
        <v/>
      </c>
      <c r="L133" s="632" t="str" cm="1">
        <f t="array" ref="L133">IF(OR(ISBLANK(C133),ISBLANK(D133)),"",IF(C133&lt;D133,B133,IF(D133&lt;C133,E133,"")))</f>
        <v>Inglaterra</v>
      </c>
      <c r="M133" s="633"/>
    </row>
    <row r="134" spans="1:13" ht="14.25" customHeight="1">
      <c r="A134" s="652" t="s">
        <v>298</v>
      </c>
      <c r="B134" s="653" t="str" cm="1">
        <f t="array" ref="B134:E134">_xlfn.XLOOKUP($A134,'Quarter, Semis &amp; Final'!$G1:$G100,'Quarter, Semis &amp; Final'!H1:K100,"-",0)</f>
        <v>Argentina</v>
      </c>
      <c r="C134" s="654">
        <v>2</v>
      </c>
      <c r="D134" s="654">
        <v>1</v>
      </c>
      <c r="E134" s="655" t="str">
        <v>Portugal</v>
      </c>
      <c r="F134" s="620"/>
      <c r="G134" s="606"/>
      <c r="H134" s="437"/>
      <c r="I134" s="632" t="str" cm="1">
        <f t="array" ref="I134">IF(OR(ISBLANK(C134),ISBLANK(D134)),"",IF(C134&gt;D134,B134,IF(D134&gt;C134,E134,"")))</f>
        <v>Argentina</v>
      </c>
      <c r="J134" s="632" t="str" cm="1">
        <f t="array" ref="J134">IF(OR(ISBLANK(C134),ISBLANK(D134)),"",IF(C134=D134,B134,""))</f>
        <v/>
      </c>
      <c r="K134" s="632" t="str" cm="1">
        <f t="array" ref="K134">IF(OR(ISBLANK(C134),ISBLANK(D134)),"",IF(C134=D134,E134,""))</f>
        <v/>
      </c>
      <c r="L134" s="632" t="str" cm="1">
        <f t="array" ref="L134">IF(OR(ISBLANK(C134),ISBLANK(D134)),"",IF(C134&lt;D134,B134,IF(D134&lt;C134,E134,"")))</f>
        <v>Portugal</v>
      </c>
      <c r="M134" s="633"/>
    </row>
    <row r="135" spans="1:13" ht="14.25" customHeight="1">
      <c r="A135" s="656" t="s">
        <v>302</v>
      </c>
      <c r="B135" s="537" t="str" cm="1">
        <f t="array" ref="B135:E135">_xlfn.XLOOKUP($A135,'Quarter, Semis &amp; Final'!$A1:$A100,'Quarter, Semis &amp; Final'!B1:E100,"-",0)</f>
        <v>Francia</v>
      </c>
      <c r="C135" s="657">
        <v>1</v>
      </c>
      <c r="D135" s="657">
        <v>2</v>
      </c>
      <c r="E135" s="658" t="str">
        <v>España</v>
      </c>
      <c r="F135" s="620"/>
      <c r="G135" s="606"/>
      <c r="H135" s="437"/>
      <c r="I135" s="632" t="str" cm="1">
        <f t="array" ref="I135">IF(OR(ISBLANK(C135),ISBLANK(D135)),"",IF(C135&gt;D135,B135,IF(D135&gt;C135,E135,"")))</f>
        <v>España</v>
      </c>
      <c r="J135" s="632" t="str" cm="1">
        <f t="array" ref="J135">IF(OR(ISBLANK(C135),ISBLANK(D135)),"",IF(C135=D135,B135,""))</f>
        <v/>
      </c>
      <c r="K135" s="632" t="str" cm="1">
        <f t="array" ref="K135">IF(OR(ISBLANK(C135),ISBLANK(D135)),"",IF(C135=D135,E135,""))</f>
        <v/>
      </c>
      <c r="L135" s="632" t="str" cm="1">
        <f t="array" ref="L135">IF(OR(ISBLANK(C135),ISBLANK(D135)),"",IF(C135&lt;D135,B135,IF(D135&lt;C135,E135,"")))</f>
        <v>Francia</v>
      </c>
      <c r="M135" s="633"/>
    </row>
    <row r="136" spans="1:13" ht="14.25" customHeight="1">
      <c r="A136" s="656" t="s">
        <v>303</v>
      </c>
      <c r="B136" s="537" t="str" cm="1">
        <f t="array" ref="B136:E136">_xlfn.XLOOKUP($A136,'Quarter, Semis &amp; Final'!$G1:$G100,'Quarter, Semis &amp; Final'!H1:K100,"-",0)</f>
        <v>Brasil</v>
      </c>
      <c r="C136" s="657">
        <v>1</v>
      </c>
      <c r="D136" s="657">
        <v>2</v>
      </c>
      <c r="E136" s="658" t="str">
        <v>Argentina</v>
      </c>
      <c r="F136" s="620"/>
      <c r="G136" s="606"/>
      <c r="H136" s="437"/>
      <c r="I136" s="632" t="str" cm="1">
        <f t="array" ref="I136">IF(OR(ISBLANK(C136),ISBLANK(D136)),"",IF(C136&gt;D136,B136,IF(D136&gt;C136,E136,"")))</f>
        <v>Argentina</v>
      </c>
      <c r="J136" s="632" t="str" cm="1">
        <f t="array" ref="J136">IF(OR(ISBLANK(C136),ISBLANK(D136)),"",IF(C136=D136,B136,""))</f>
        <v/>
      </c>
      <c r="K136" s="632" t="str" cm="1">
        <f t="array" ref="K136">IF(OR(ISBLANK(C136),ISBLANK(D136)),"",IF(C136=D136,E136,""))</f>
        <v/>
      </c>
      <c r="L136" s="632" t="str" cm="1">
        <f t="array" ref="L136">IF(OR(ISBLANK(C136),ISBLANK(D136)),"",IF(C136&lt;D136,B136,IF(D136&lt;C136,E136,"")))</f>
        <v>Brasil</v>
      </c>
      <c r="M136" s="633"/>
    </row>
    <row r="137" spans="1:13" ht="14.25" customHeight="1">
      <c r="A137" s="659" t="s">
        <v>301</v>
      </c>
      <c r="B137" s="660" t="str" cm="1">
        <f t="array" ref="B137">'Quarter, Semis &amp; Final'!P13</f>
        <v>Francia</v>
      </c>
      <c r="C137" s="661" cm="1">
        <f t="array" ref="C137">'Quarter, Semis &amp; Final'!Q13</f>
        <v>2</v>
      </c>
      <c r="D137" s="661" cm="1">
        <f t="array" ref="D137">'Quarter, Semis &amp; Final'!R13</f>
        <v>1</v>
      </c>
      <c r="E137" s="662" t="str" cm="1">
        <f t="array" ref="E137">'Quarter, Semis &amp; Final'!S13</f>
        <v>Brasil</v>
      </c>
      <c r="F137" s="620"/>
      <c r="G137" s="606"/>
      <c r="H137" s="437"/>
      <c r="I137" s="632" t="str" cm="1">
        <f t="array" ref="I137">IF(OR(ISBLANK(C137),ISBLANK(D137)),"",IF(C137&gt;D137,B137,IF(D137&gt;C137,E137,"")))</f>
        <v>Francia</v>
      </c>
      <c r="J137" s="632" t="str" cm="1">
        <f t="array" ref="J137">IF(OR(ISBLANK(C137),ISBLANK(D137)),"",IF(C137=D137,B137,""))</f>
        <v/>
      </c>
      <c r="K137" s="632" t="str" cm="1">
        <f t="array" ref="K137">IF(OR(ISBLANK(C137),ISBLANK(D137)),"",IF(C137=D137,E137,""))</f>
        <v/>
      </c>
      <c r="L137" s="632" t="str" cm="1">
        <f t="array" ref="L137">IF(OR(ISBLANK(C137),ISBLANK(D137)),"",IF(C137&lt;D137,B137,IF(D137&lt;C137,E137,"")))</f>
        <v>Brasil</v>
      </c>
      <c r="M137" s="633"/>
    </row>
    <row r="138" spans="1:13" ht="14.25" customHeight="1">
      <c r="A138" s="663" t="s">
        <v>294</v>
      </c>
      <c r="B138" s="664" t="str" cm="1">
        <f t="array" ref="B138">'Quarter, Semis &amp; Final'!P4</f>
        <v>España</v>
      </c>
      <c r="C138" s="665" cm="1">
        <f t="array" ref="C138">'Quarter, Semis &amp; Final'!Q4</f>
        <v>1</v>
      </c>
      <c r="D138" s="666" cm="1">
        <f t="array" ref="D138">'Quarter, Semis &amp; Final'!R4</f>
        <v>0</v>
      </c>
      <c r="E138" s="667" t="str" cm="1">
        <f t="array" ref="E138">'Quarter, Semis &amp; Final'!S4</f>
        <v>Argentina</v>
      </c>
      <c r="F138" s="620"/>
      <c r="G138" s="606"/>
      <c r="H138" s="437"/>
      <c r="I138" s="638" t="str" cm="1">
        <f t="array" ref="I138">IF(OR(ISBLANK(C138),ISBLANK(D138)),"",IF(C138&gt;D138,B138,IF(D138&gt;C138,E138,"")))</f>
        <v>España</v>
      </c>
      <c r="J138" s="638" t="str" cm="1">
        <f t="array" ref="J138">IF(OR(ISBLANK(C138),ISBLANK(D138)),"",IF(C138=D138,B138,""))</f>
        <v/>
      </c>
      <c r="K138" s="638" t="str" cm="1">
        <f t="array" ref="K138">IF(OR(ISBLANK(C138),ISBLANK(D138)),"",IF(C138=D138,E138,""))</f>
        <v/>
      </c>
      <c r="L138" s="638" t="str" cm="1">
        <f t="array" ref="L138">IF(OR(ISBLANK(C138),ISBLANK(D138)),"",IF(C138&lt;D138,B138,IF(D138&lt;C138,E138,"")))</f>
        <v>Argentina</v>
      </c>
      <c r="M138" s="639"/>
    </row>
    <row r="139" spans="1:13" ht="14.25" customHeight="1">
      <c r="A139" s="584"/>
      <c r="B139" s="585"/>
      <c r="C139" s="584"/>
      <c r="D139" s="585"/>
      <c r="E139" s="588"/>
      <c r="F139" s="620"/>
      <c r="G139" s="606"/>
      <c r="H139" s="437"/>
      <c r="I139" s="138"/>
      <c r="J139" s="138"/>
      <c r="K139" s="138"/>
      <c r="L139" s="138"/>
      <c r="M139" s="175"/>
    </row>
    <row r="140" spans="1:13" ht="14.25" customHeight="1">
      <c r="A140" s="589"/>
      <c r="B140" s="590"/>
      <c r="C140" s="589"/>
      <c r="D140" s="590"/>
      <c r="E140" s="593"/>
      <c r="F140" s="620"/>
      <c r="G140" s="606"/>
      <c r="H140" s="437"/>
      <c r="I140" s="74"/>
      <c r="J140" s="74"/>
      <c r="K140" s="74"/>
      <c r="L140" s="74"/>
      <c r="M140" s="172"/>
    </row>
    <row r="141" spans="1:13" ht="14.25" customHeight="1">
      <c r="A141" s="589"/>
      <c r="B141" s="590"/>
      <c r="C141" s="589"/>
      <c r="D141" s="590"/>
      <c r="E141" s="593"/>
      <c r="F141" s="620"/>
      <c r="G141" s="606"/>
      <c r="H141" s="437"/>
      <c r="I141" s="74"/>
      <c r="J141" s="74"/>
      <c r="K141" s="74"/>
      <c r="L141" s="74"/>
      <c r="M141" s="172"/>
    </row>
    <row r="142" spans="1:13" ht="14.25" customHeight="1">
      <c r="A142" s="589"/>
      <c r="B142" s="590"/>
      <c r="C142" s="589"/>
      <c r="D142" s="590"/>
      <c r="E142" s="593"/>
      <c r="F142" s="620"/>
      <c r="G142" s="606"/>
      <c r="H142" s="437"/>
      <c r="I142" s="74"/>
      <c r="J142" s="74"/>
      <c r="K142" s="74"/>
      <c r="L142" s="74"/>
      <c r="M142" s="172"/>
    </row>
    <row r="143" spans="1:13" ht="14.25" customHeight="1">
      <c r="A143" s="589"/>
      <c r="B143" s="590"/>
      <c r="C143" s="589"/>
      <c r="D143" s="590"/>
      <c r="E143" s="593"/>
      <c r="F143" s="620"/>
      <c r="G143" s="606"/>
      <c r="H143" s="437"/>
      <c r="I143" s="74"/>
      <c r="J143" s="74"/>
      <c r="K143" s="74"/>
      <c r="L143" s="74"/>
      <c r="M143" s="172"/>
    </row>
    <row r="144" spans="1:13" ht="14.25" customHeight="1">
      <c r="A144" s="589"/>
      <c r="B144" s="590"/>
      <c r="C144" s="589"/>
      <c r="D144" s="590"/>
      <c r="E144" s="593"/>
      <c r="F144" s="620"/>
      <c r="G144" s="606"/>
      <c r="H144" s="437"/>
      <c r="I144" s="74"/>
      <c r="J144" s="74"/>
      <c r="K144" s="74"/>
      <c r="L144" s="74"/>
      <c r="M144" s="172"/>
    </row>
    <row r="145" spans="1:13" ht="14.25" customHeight="1">
      <c r="A145" s="589"/>
      <c r="B145" s="590"/>
      <c r="C145" s="589"/>
      <c r="D145" s="590"/>
      <c r="E145" s="593"/>
      <c r="F145" s="620"/>
      <c r="G145" s="606"/>
      <c r="H145" s="437"/>
      <c r="I145" s="74"/>
      <c r="J145" s="74"/>
      <c r="K145" s="74"/>
      <c r="L145" s="74"/>
      <c r="M145" s="172"/>
    </row>
    <row r="146" spans="1:13" ht="14.25" customHeight="1">
      <c r="A146" s="589"/>
      <c r="B146" s="590"/>
      <c r="C146" s="589"/>
      <c r="D146" s="590"/>
      <c r="E146" s="593"/>
      <c r="F146" s="620"/>
      <c r="G146" s="606"/>
      <c r="H146" s="437"/>
      <c r="I146" s="74"/>
      <c r="J146" s="74"/>
      <c r="K146" s="74"/>
      <c r="L146" s="74"/>
      <c r="M146" s="172"/>
    </row>
    <row r="147" spans="1:13" ht="14.25" customHeight="1">
      <c r="A147" s="589"/>
      <c r="B147" s="590"/>
      <c r="C147" s="589"/>
      <c r="D147" s="590"/>
      <c r="E147" s="593"/>
      <c r="F147" s="620"/>
      <c r="G147" s="606"/>
      <c r="H147" s="437"/>
      <c r="I147" s="74"/>
      <c r="J147" s="74"/>
      <c r="K147" s="74"/>
      <c r="L147" s="74"/>
      <c r="M147" s="172"/>
    </row>
    <row r="148" spans="1:13" ht="14.25" customHeight="1">
      <c r="A148" s="589"/>
      <c r="B148" s="590"/>
      <c r="C148" s="589"/>
      <c r="D148" s="590"/>
      <c r="E148" s="593"/>
      <c r="F148" s="620"/>
      <c r="G148" s="606"/>
      <c r="H148" s="437"/>
      <c r="I148" s="74"/>
      <c r="J148" s="74"/>
      <c r="K148" s="74"/>
      <c r="L148" s="74"/>
      <c r="M148" s="172"/>
    </row>
    <row r="149" spans="1:13" ht="14.25" customHeight="1">
      <c r="A149" s="589"/>
      <c r="B149" s="590"/>
      <c r="C149" s="589"/>
      <c r="D149" s="590"/>
      <c r="E149" s="593"/>
      <c r="F149" s="620"/>
      <c r="G149" s="606"/>
      <c r="H149" s="437"/>
      <c r="I149" s="74"/>
      <c r="J149" s="74"/>
      <c r="K149" s="74"/>
      <c r="L149" s="74"/>
      <c r="M149" s="172"/>
    </row>
    <row r="150" spans="1:13" ht="14.25" customHeight="1">
      <c r="A150" s="589"/>
      <c r="B150" s="590"/>
      <c r="C150" s="589"/>
      <c r="D150" s="590"/>
      <c r="E150" s="593"/>
      <c r="F150" s="620"/>
      <c r="G150" s="606"/>
      <c r="H150" s="437"/>
      <c r="I150" s="74"/>
      <c r="J150" s="74"/>
      <c r="K150" s="74"/>
      <c r="L150" s="74"/>
      <c r="M150" s="172"/>
    </row>
    <row r="151" spans="1:13" ht="14.25" customHeight="1">
      <c r="A151" s="589"/>
      <c r="B151" s="590"/>
      <c r="C151" s="589"/>
      <c r="D151" s="590"/>
      <c r="E151" s="593"/>
      <c r="F151" s="620"/>
      <c r="G151" s="606"/>
      <c r="H151" s="437"/>
      <c r="I151" s="74"/>
      <c r="J151" s="74"/>
      <c r="K151" s="74"/>
      <c r="L151" s="74"/>
      <c r="M151" s="172"/>
    </row>
    <row r="152" spans="1:13" ht="14.25" customHeight="1">
      <c r="A152" s="589"/>
      <c r="B152" s="590"/>
      <c r="C152" s="589"/>
      <c r="D152" s="590"/>
      <c r="E152" s="593"/>
      <c r="F152" s="620"/>
      <c r="G152" s="606"/>
      <c r="H152" s="437"/>
      <c r="I152" s="74"/>
      <c r="J152" s="74"/>
      <c r="K152" s="74"/>
      <c r="L152" s="74"/>
      <c r="M152" s="172"/>
    </row>
    <row r="153" spans="1:13" ht="14.25" customHeight="1">
      <c r="A153" s="589"/>
      <c r="B153" s="590"/>
      <c r="C153" s="589"/>
      <c r="D153" s="590"/>
      <c r="E153" s="593"/>
      <c r="F153" s="620"/>
      <c r="G153" s="606"/>
      <c r="H153" s="437"/>
      <c r="I153" s="74"/>
      <c r="J153" s="74"/>
      <c r="K153" s="74"/>
      <c r="L153" s="74"/>
      <c r="M153" s="172"/>
    </row>
    <row r="154" spans="1:13" ht="14.25" customHeight="1">
      <c r="A154" s="589"/>
      <c r="B154" s="590"/>
      <c r="C154" s="589"/>
      <c r="D154" s="590"/>
      <c r="E154" s="593"/>
      <c r="F154" s="620"/>
      <c r="G154" s="606"/>
      <c r="H154" s="437"/>
      <c r="I154" s="74"/>
      <c r="J154" s="74"/>
      <c r="K154" s="74"/>
      <c r="L154" s="74"/>
      <c r="M154" s="172"/>
    </row>
    <row r="155" spans="1:13" ht="14.25" customHeight="1">
      <c r="A155" s="589"/>
      <c r="B155" s="590"/>
      <c r="C155" s="589"/>
      <c r="D155" s="590"/>
      <c r="E155" s="593"/>
      <c r="F155" s="620"/>
      <c r="G155" s="606"/>
      <c r="H155" s="437"/>
      <c r="I155" s="74"/>
      <c r="J155" s="74"/>
      <c r="K155" s="74"/>
      <c r="L155" s="74"/>
      <c r="M155" s="172"/>
    </row>
    <row r="156" spans="1:13" ht="14.25" customHeight="1">
      <c r="A156" s="589"/>
      <c r="B156" s="590"/>
      <c r="C156" s="589"/>
      <c r="D156" s="590"/>
      <c r="E156" s="593"/>
      <c r="F156" s="620"/>
      <c r="G156" s="606"/>
      <c r="H156" s="437"/>
      <c r="I156" s="74"/>
      <c r="J156" s="74"/>
      <c r="K156" s="74"/>
      <c r="L156" s="74"/>
      <c r="M156" s="172"/>
    </row>
    <row r="157" spans="1:13" ht="14.25" customHeight="1">
      <c r="A157" s="589"/>
      <c r="B157" s="590"/>
      <c r="C157" s="589"/>
      <c r="D157" s="590"/>
      <c r="E157" s="593"/>
      <c r="F157" s="620"/>
      <c r="G157" s="606"/>
      <c r="H157" s="437"/>
      <c r="I157" s="74"/>
      <c r="J157" s="74"/>
      <c r="K157" s="74"/>
      <c r="L157" s="74"/>
      <c r="M157" s="172"/>
    </row>
    <row r="158" spans="1:13" ht="14.25" customHeight="1">
      <c r="A158" s="589"/>
      <c r="B158" s="590"/>
      <c r="C158" s="589"/>
      <c r="D158" s="590"/>
      <c r="E158" s="593"/>
      <c r="F158" s="620"/>
      <c r="G158" s="606"/>
      <c r="H158" s="437"/>
      <c r="I158" s="74"/>
      <c r="J158" s="74"/>
      <c r="K158" s="74"/>
      <c r="L158" s="74"/>
      <c r="M158" s="172"/>
    </row>
    <row r="159" spans="1:13" ht="14.25" customHeight="1">
      <c r="A159" s="589"/>
      <c r="B159" s="590"/>
      <c r="C159" s="589"/>
      <c r="D159" s="590"/>
      <c r="E159" s="593"/>
      <c r="F159" s="620"/>
      <c r="G159" s="606"/>
      <c r="H159" s="437"/>
      <c r="I159" s="74"/>
      <c r="J159" s="74"/>
      <c r="K159" s="74"/>
      <c r="L159" s="74"/>
      <c r="M159" s="172"/>
    </row>
    <row r="160" spans="1:13" ht="14.25" customHeight="1">
      <c r="A160" s="589"/>
      <c r="B160" s="590"/>
      <c r="C160" s="589"/>
      <c r="D160" s="590"/>
      <c r="E160" s="593"/>
      <c r="F160" s="620"/>
      <c r="G160" s="606"/>
      <c r="H160" s="437"/>
      <c r="I160" s="74"/>
      <c r="J160" s="74"/>
      <c r="K160" s="74"/>
      <c r="L160" s="74"/>
      <c r="M160" s="172"/>
    </row>
    <row r="161" spans="1:13" ht="14.25" customHeight="1">
      <c r="A161" s="589"/>
      <c r="B161" s="590"/>
      <c r="C161" s="589"/>
      <c r="D161" s="590"/>
      <c r="E161" s="593"/>
      <c r="F161" s="620"/>
      <c r="G161" s="606"/>
      <c r="H161" s="437"/>
      <c r="I161" s="74"/>
      <c r="J161" s="74"/>
      <c r="K161" s="74"/>
      <c r="L161" s="74"/>
      <c r="M161" s="172"/>
    </row>
    <row r="162" spans="1:13" ht="14.25" customHeight="1">
      <c r="A162" s="589"/>
      <c r="B162" s="590"/>
      <c r="C162" s="589"/>
      <c r="D162" s="590"/>
      <c r="E162" s="593"/>
      <c r="F162" s="620"/>
      <c r="G162" s="606"/>
      <c r="H162" s="437"/>
      <c r="I162" s="74"/>
      <c r="J162" s="74"/>
      <c r="K162" s="74"/>
      <c r="L162" s="74"/>
      <c r="M162" s="172"/>
    </row>
    <row r="163" spans="1:13" ht="14.25" customHeight="1">
      <c r="A163" s="589"/>
      <c r="B163" s="590"/>
      <c r="C163" s="589"/>
      <c r="D163" s="590"/>
      <c r="E163" s="593"/>
      <c r="F163" s="620"/>
      <c r="G163" s="606"/>
      <c r="H163" s="437"/>
      <c r="I163" s="74"/>
      <c r="J163" s="74"/>
      <c r="K163" s="74"/>
      <c r="L163" s="74"/>
      <c r="M163" s="172"/>
    </row>
    <row r="164" spans="1:13" ht="14.25" customHeight="1">
      <c r="A164" s="589"/>
      <c r="B164" s="590"/>
      <c r="C164" s="589"/>
      <c r="D164" s="590"/>
      <c r="E164" s="593"/>
      <c r="F164" s="620"/>
      <c r="G164" s="606"/>
      <c r="H164" s="437"/>
      <c r="I164" s="74"/>
      <c r="J164" s="74"/>
      <c r="K164" s="74"/>
      <c r="L164" s="74"/>
      <c r="M164" s="172"/>
    </row>
    <row r="165" spans="1:13" ht="14.25" customHeight="1">
      <c r="A165" s="589"/>
      <c r="B165" s="590"/>
      <c r="C165" s="589"/>
      <c r="D165" s="590"/>
      <c r="E165" s="593"/>
      <c r="F165" s="620"/>
      <c r="G165" s="606"/>
      <c r="H165" s="437"/>
      <c r="I165" s="74"/>
      <c r="J165" s="74"/>
      <c r="K165" s="74"/>
      <c r="L165" s="74"/>
      <c r="M165" s="172"/>
    </row>
    <row r="166" spans="1:13" ht="14.25" customHeight="1">
      <c r="A166" s="589"/>
      <c r="B166" s="590"/>
      <c r="C166" s="589"/>
      <c r="D166" s="590"/>
      <c r="E166" s="593"/>
      <c r="F166" s="620"/>
      <c r="G166" s="606"/>
      <c r="H166" s="437"/>
      <c r="I166" s="74"/>
      <c r="J166" s="74"/>
      <c r="K166" s="74"/>
      <c r="L166" s="74"/>
      <c r="M166" s="172"/>
    </row>
    <row r="167" spans="1:13" ht="14.25" customHeight="1">
      <c r="A167" s="589"/>
      <c r="B167" s="590"/>
      <c r="C167" s="589"/>
      <c r="D167" s="590"/>
      <c r="E167" s="593"/>
      <c r="F167" s="620"/>
      <c r="G167" s="606"/>
      <c r="H167" s="437"/>
      <c r="I167" s="74"/>
      <c r="J167" s="74"/>
      <c r="K167" s="74"/>
      <c r="L167" s="74"/>
      <c r="M167" s="172"/>
    </row>
    <row r="168" spans="1:13" ht="14.25" customHeight="1">
      <c r="A168" s="589"/>
      <c r="B168" s="590"/>
      <c r="C168" s="589"/>
      <c r="D168" s="590"/>
      <c r="E168" s="593"/>
      <c r="F168" s="620"/>
      <c r="G168" s="606"/>
      <c r="H168" s="437"/>
      <c r="I168" s="74"/>
      <c r="J168" s="74"/>
      <c r="K168" s="74"/>
      <c r="L168" s="74"/>
      <c r="M168" s="172"/>
    </row>
    <row r="169" spans="1:13" ht="14.25" customHeight="1">
      <c r="A169" s="589"/>
      <c r="B169" s="590"/>
      <c r="C169" s="589"/>
      <c r="D169" s="590"/>
      <c r="E169" s="593"/>
      <c r="F169" s="620"/>
      <c r="G169" s="606"/>
      <c r="H169" s="437"/>
      <c r="I169" s="74"/>
      <c r="J169" s="74"/>
      <c r="K169" s="74"/>
      <c r="L169" s="74"/>
      <c r="M169" s="172"/>
    </row>
    <row r="170" spans="1:13" ht="14.25" customHeight="1">
      <c r="A170" s="589"/>
      <c r="B170" s="590"/>
      <c r="C170" s="589"/>
      <c r="D170" s="590"/>
      <c r="E170" s="593"/>
      <c r="F170" s="620"/>
      <c r="G170" s="606"/>
      <c r="H170" s="437"/>
      <c r="I170" s="74"/>
      <c r="J170" s="74"/>
      <c r="K170" s="74"/>
      <c r="L170" s="74"/>
      <c r="M170" s="172"/>
    </row>
    <row r="171" spans="1:13" ht="14.25" customHeight="1">
      <c r="A171" s="589"/>
      <c r="B171" s="590"/>
      <c r="C171" s="589"/>
      <c r="D171" s="590"/>
      <c r="E171" s="593"/>
      <c r="F171" s="620"/>
      <c r="G171" s="606"/>
      <c r="H171" s="437"/>
      <c r="I171" s="74"/>
      <c r="J171" s="74"/>
      <c r="K171" s="74"/>
      <c r="L171" s="74"/>
      <c r="M171" s="172"/>
    </row>
    <row r="172" spans="1:13" ht="14.25" customHeight="1">
      <c r="A172" s="668"/>
      <c r="B172" s="669"/>
      <c r="C172" s="589"/>
      <c r="D172" s="590"/>
      <c r="E172" s="593"/>
      <c r="F172" s="620"/>
      <c r="G172" s="606"/>
      <c r="H172" s="437"/>
      <c r="I172" s="74"/>
      <c r="J172" s="74"/>
      <c r="K172" s="74"/>
      <c r="L172" s="74"/>
      <c r="M172" s="172"/>
    </row>
    <row r="173" spans="1:13" ht="14.25" customHeight="1">
      <c r="A173" s="589"/>
      <c r="B173" s="590"/>
      <c r="C173" s="589"/>
      <c r="D173" s="590"/>
      <c r="E173" s="593"/>
      <c r="F173" s="620"/>
      <c r="G173" s="606"/>
      <c r="H173" s="437"/>
      <c r="I173" s="74"/>
      <c r="J173" s="74"/>
      <c r="K173" s="74"/>
      <c r="L173" s="74"/>
      <c r="M173" s="172"/>
    </row>
    <row r="174" spans="1:13" ht="14.25" customHeight="1">
      <c r="A174" s="668"/>
      <c r="B174" s="669"/>
      <c r="C174" s="589"/>
      <c r="D174" s="590"/>
      <c r="E174" s="593"/>
      <c r="F174" s="620"/>
      <c r="G174" s="606"/>
      <c r="H174" s="437"/>
      <c r="I174" s="74"/>
      <c r="J174" s="74"/>
      <c r="K174" s="74"/>
      <c r="L174" s="74"/>
      <c r="M174" s="172"/>
    </row>
    <row r="175" spans="1:13" ht="14.25" customHeight="1">
      <c r="A175" s="589"/>
      <c r="B175" s="590"/>
      <c r="C175" s="589"/>
      <c r="D175" s="590"/>
      <c r="E175" s="593"/>
      <c r="F175" s="620"/>
      <c r="G175" s="606"/>
      <c r="H175" s="437"/>
      <c r="I175" s="74"/>
      <c r="J175" s="74"/>
      <c r="K175" s="74"/>
      <c r="L175" s="74"/>
      <c r="M175" s="172"/>
    </row>
    <row r="176" spans="1:13" ht="14.25" customHeight="1">
      <c r="A176" s="668"/>
      <c r="B176" s="669"/>
      <c r="C176" s="589"/>
      <c r="D176" s="590"/>
      <c r="E176" s="593"/>
      <c r="F176" s="620"/>
      <c r="G176" s="606"/>
      <c r="H176" s="437"/>
      <c r="I176" s="74"/>
      <c r="J176" s="74"/>
      <c r="K176" s="74"/>
      <c r="L176" s="74"/>
      <c r="M176" s="172"/>
    </row>
    <row r="177" spans="1:13" ht="14.25" customHeight="1">
      <c r="A177" s="589"/>
      <c r="B177" s="590"/>
      <c r="C177" s="589"/>
      <c r="D177" s="590"/>
      <c r="E177" s="593"/>
      <c r="F177" s="620"/>
      <c r="G177" s="606"/>
      <c r="H177" s="437"/>
      <c r="I177" s="74"/>
      <c r="J177" s="74"/>
      <c r="K177" s="74"/>
      <c r="L177" s="74"/>
      <c r="M177" s="172"/>
    </row>
    <row r="178" spans="1:13" ht="14.25" customHeight="1">
      <c r="A178" s="668"/>
      <c r="B178" s="669"/>
      <c r="C178" s="589"/>
      <c r="D178" s="590"/>
      <c r="E178" s="593"/>
      <c r="F178" s="620"/>
      <c r="G178" s="606"/>
      <c r="H178" s="437"/>
      <c r="I178" s="74"/>
      <c r="J178" s="74"/>
      <c r="K178" s="74"/>
      <c r="L178" s="74"/>
      <c r="M178" s="172"/>
    </row>
    <row r="179" spans="1:13" ht="14.25" customHeight="1">
      <c r="A179" s="589"/>
      <c r="B179" s="590"/>
      <c r="C179" s="589"/>
      <c r="D179" s="590"/>
      <c r="E179" s="593"/>
      <c r="F179" s="620"/>
      <c r="G179" s="606"/>
      <c r="H179" s="437"/>
      <c r="I179" s="74"/>
      <c r="J179" s="74"/>
      <c r="K179" s="74"/>
      <c r="L179" s="74"/>
      <c r="M179" s="172"/>
    </row>
    <row r="180" spans="1:13" ht="14.25" customHeight="1">
      <c r="A180" s="668"/>
      <c r="B180" s="669"/>
      <c r="C180" s="589"/>
      <c r="D180" s="590"/>
      <c r="E180" s="593"/>
      <c r="F180" s="620"/>
      <c r="G180" s="606"/>
      <c r="H180" s="437"/>
      <c r="I180" s="74"/>
      <c r="J180" s="74"/>
      <c r="K180" s="74"/>
      <c r="L180" s="74"/>
      <c r="M180" s="172"/>
    </row>
    <row r="181" spans="1:13" ht="14.25" customHeight="1">
      <c r="A181" s="589"/>
      <c r="B181" s="590"/>
      <c r="C181" s="589"/>
      <c r="D181" s="590"/>
      <c r="E181" s="593"/>
      <c r="F181" s="620"/>
      <c r="G181" s="606"/>
      <c r="H181" s="437"/>
      <c r="I181" s="74"/>
      <c r="J181" s="74"/>
      <c r="K181" s="74"/>
      <c r="L181" s="74"/>
      <c r="M181" s="172"/>
    </row>
    <row r="182" spans="1:13" ht="14.25" customHeight="1">
      <c r="A182" s="668"/>
      <c r="B182" s="669"/>
      <c r="C182" s="589"/>
      <c r="D182" s="590"/>
      <c r="E182" s="593"/>
      <c r="F182" s="620"/>
      <c r="G182" s="606"/>
      <c r="H182" s="437"/>
      <c r="I182" s="74"/>
      <c r="J182" s="74"/>
      <c r="K182" s="74"/>
      <c r="L182" s="74"/>
      <c r="M182" s="172"/>
    </row>
    <row r="183" spans="1:13" ht="14.25" customHeight="1">
      <c r="A183" s="589"/>
      <c r="B183" s="590"/>
      <c r="C183" s="589"/>
      <c r="D183" s="590"/>
      <c r="E183" s="593"/>
      <c r="F183" s="620"/>
      <c r="G183" s="606"/>
      <c r="H183" s="437"/>
      <c r="I183" s="74"/>
      <c r="J183" s="74"/>
      <c r="K183" s="74"/>
      <c r="L183" s="74"/>
      <c r="M183" s="172"/>
    </row>
    <row r="184" spans="1:13" ht="14.25" customHeight="1">
      <c r="A184" s="668"/>
      <c r="B184" s="669"/>
      <c r="C184" s="589"/>
      <c r="D184" s="590"/>
      <c r="E184" s="593"/>
      <c r="F184" s="620"/>
      <c r="G184" s="606"/>
      <c r="H184" s="437"/>
      <c r="I184" s="74"/>
      <c r="J184" s="74"/>
      <c r="K184" s="74"/>
      <c r="L184" s="74"/>
      <c r="M184" s="172"/>
    </row>
    <row r="185" spans="1:13" ht="14.25" customHeight="1">
      <c r="A185" s="589"/>
      <c r="B185" s="590"/>
      <c r="C185" s="589"/>
      <c r="D185" s="590"/>
      <c r="E185" s="593"/>
      <c r="F185" s="620"/>
      <c r="G185" s="606"/>
      <c r="H185" s="437"/>
      <c r="I185" s="74"/>
      <c r="J185" s="74"/>
      <c r="K185" s="74"/>
      <c r="L185" s="74"/>
      <c r="M185" s="172"/>
    </row>
    <row r="186" spans="1:13" ht="14.25" customHeight="1">
      <c r="A186" s="668"/>
      <c r="B186" s="669"/>
      <c r="C186" s="589"/>
      <c r="D186" s="590"/>
      <c r="E186" s="593"/>
      <c r="F186" s="620"/>
      <c r="G186" s="606"/>
      <c r="H186" s="437"/>
      <c r="I186" s="74"/>
      <c r="J186" s="74"/>
      <c r="K186" s="74"/>
      <c r="L186" s="74"/>
      <c r="M186" s="172"/>
    </row>
    <row r="187" spans="1:13" ht="14.25" customHeight="1">
      <c r="A187" s="589"/>
      <c r="B187" s="590"/>
      <c r="C187" s="589"/>
      <c r="D187" s="590"/>
      <c r="E187" s="593"/>
      <c r="F187" s="620"/>
      <c r="G187" s="606"/>
      <c r="H187" s="437"/>
      <c r="I187" s="74"/>
      <c r="J187" s="74"/>
      <c r="K187" s="74"/>
      <c r="L187" s="74"/>
      <c r="M187" s="172"/>
    </row>
    <row r="188" spans="1:13" ht="14.25" customHeight="1">
      <c r="A188" s="668"/>
      <c r="B188" s="669"/>
      <c r="C188" s="589"/>
      <c r="D188" s="590"/>
      <c r="E188" s="593"/>
      <c r="F188" s="620"/>
      <c r="G188" s="606"/>
      <c r="H188" s="437"/>
      <c r="I188" s="74"/>
      <c r="J188" s="74"/>
      <c r="K188" s="74"/>
      <c r="L188" s="74"/>
      <c r="M188" s="172"/>
    </row>
    <row r="189" spans="1:13" ht="14.25" customHeight="1">
      <c r="A189" s="589"/>
      <c r="B189" s="590"/>
      <c r="C189" s="589"/>
      <c r="D189" s="590"/>
      <c r="E189" s="593"/>
      <c r="F189" s="620"/>
      <c r="G189" s="606"/>
      <c r="H189" s="437"/>
      <c r="I189" s="74"/>
      <c r="J189" s="74"/>
      <c r="K189" s="74"/>
      <c r="L189" s="74"/>
      <c r="M189" s="172"/>
    </row>
    <row r="190" spans="1:13" ht="14.25" customHeight="1">
      <c r="A190" s="668"/>
      <c r="B190" s="669"/>
      <c r="C190" s="589"/>
      <c r="D190" s="590"/>
      <c r="E190" s="593"/>
      <c r="F190" s="620"/>
      <c r="G190" s="606"/>
      <c r="H190" s="437"/>
      <c r="I190" s="74"/>
      <c r="J190" s="74"/>
      <c r="K190" s="74"/>
      <c r="L190" s="74"/>
      <c r="M190" s="172"/>
    </row>
    <row r="191" spans="1:13" ht="14.25" customHeight="1">
      <c r="A191" s="589"/>
      <c r="B191" s="590"/>
      <c r="C191" s="589"/>
      <c r="D191" s="590"/>
      <c r="E191" s="593"/>
      <c r="F191" s="620"/>
      <c r="G191" s="606"/>
      <c r="H191" s="437"/>
      <c r="I191" s="74"/>
      <c r="J191" s="74"/>
      <c r="K191" s="74"/>
      <c r="L191" s="74"/>
      <c r="M191" s="172"/>
    </row>
    <row r="192" spans="1:13" ht="14.25" customHeight="1">
      <c r="A192" s="668"/>
      <c r="B192" s="669"/>
      <c r="C192" s="589"/>
      <c r="D192" s="590"/>
      <c r="E192" s="593"/>
      <c r="F192" s="620"/>
      <c r="G192" s="606"/>
      <c r="H192" s="437"/>
      <c r="I192" s="74"/>
      <c r="J192" s="74"/>
      <c r="K192" s="74"/>
      <c r="L192" s="74"/>
      <c r="M192" s="172"/>
    </row>
    <row r="193" spans="1:13" ht="14.25" customHeight="1">
      <c r="A193" s="589"/>
      <c r="B193" s="590"/>
      <c r="C193" s="589"/>
      <c r="D193" s="590"/>
      <c r="E193" s="593"/>
      <c r="F193" s="620"/>
      <c r="G193" s="606"/>
      <c r="H193" s="437"/>
      <c r="I193" s="74"/>
      <c r="J193" s="74"/>
      <c r="K193" s="74"/>
      <c r="L193" s="74"/>
      <c r="M193" s="172"/>
    </row>
    <row r="194" spans="1:13" ht="14.25" customHeight="1">
      <c r="A194" s="668"/>
      <c r="B194" s="669"/>
      <c r="C194" s="589"/>
      <c r="D194" s="590"/>
      <c r="E194" s="593"/>
      <c r="F194" s="620"/>
      <c r="G194" s="606"/>
      <c r="H194" s="437"/>
      <c r="I194" s="74"/>
      <c r="J194" s="74"/>
      <c r="K194" s="74"/>
      <c r="L194" s="74"/>
      <c r="M194" s="172"/>
    </row>
    <row r="195" spans="1:13" ht="14.25" customHeight="1">
      <c r="A195" s="589"/>
      <c r="B195" s="590"/>
      <c r="C195" s="589"/>
      <c r="D195" s="590"/>
      <c r="E195" s="593"/>
      <c r="F195" s="620"/>
      <c r="G195" s="606"/>
      <c r="H195" s="437"/>
      <c r="I195" s="74"/>
      <c r="J195" s="74"/>
      <c r="K195" s="74"/>
      <c r="L195" s="74"/>
      <c r="M195" s="172"/>
    </row>
    <row r="196" spans="1:13" ht="14.25" customHeight="1">
      <c r="A196" s="668"/>
      <c r="B196" s="669"/>
      <c r="C196" s="589"/>
      <c r="D196" s="590"/>
      <c r="E196" s="593"/>
      <c r="F196" s="620"/>
      <c r="G196" s="606"/>
      <c r="H196" s="437"/>
      <c r="I196" s="74"/>
      <c r="J196" s="74"/>
      <c r="K196" s="74"/>
      <c r="L196" s="74"/>
      <c r="M196" s="172"/>
    </row>
    <row r="197" spans="1:13" ht="14.25" customHeight="1">
      <c r="A197" s="589"/>
      <c r="B197" s="590"/>
      <c r="C197" s="589"/>
      <c r="D197" s="590"/>
      <c r="E197" s="593"/>
      <c r="F197" s="620"/>
      <c r="G197" s="606"/>
      <c r="H197" s="437"/>
      <c r="I197" s="74"/>
      <c r="J197" s="74"/>
      <c r="K197" s="74"/>
      <c r="L197" s="74"/>
      <c r="M197" s="172"/>
    </row>
    <row r="198" spans="1:13" ht="14.25" customHeight="1">
      <c r="A198" s="668"/>
      <c r="B198" s="669"/>
      <c r="C198" s="589"/>
      <c r="D198" s="590"/>
      <c r="E198" s="593"/>
      <c r="F198" s="620"/>
      <c r="G198" s="606"/>
      <c r="H198" s="437"/>
      <c r="I198" s="74"/>
      <c r="J198" s="74"/>
      <c r="K198" s="74"/>
      <c r="L198" s="74"/>
      <c r="M198" s="172"/>
    </row>
    <row r="199" spans="1:13" ht="14.25" customHeight="1">
      <c r="A199" s="589"/>
      <c r="B199" s="590"/>
      <c r="C199" s="589"/>
      <c r="D199" s="590"/>
      <c r="E199" s="593"/>
      <c r="F199" s="620"/>
      <c r="G199" s="606"/>
      <c r="H199" s="437"/>
      <c r="I199" s="74"/>
      <c r="J199" s="74"/>
      <c r="K199" s="74"/>
      <c r="L199" s="74"/>
      <c r="M199" s="172"/>
    </row>
    <row r="200" spans="1:13" ht="14.25" customHeight="1">
      <c r="A200" s="668"/>
      <c r="B200" s="669"/>
      <c r="C200" s="589"/>
      <c r="D200" s="590"/>
      <c r="E200" s="593"/>
      <c r="F200" s="620"/>
      <c r="G200" s="606"/>
      <c r="H200" s="437"/>
      <c r="I200" s="74"/>
      <c r="J200" s="74"/>
      <c r="K200" s="74"/>
      <c r="L200" s="74"/>
      <c r="M200" s="172"/>
    </row>
    <row r="201" spans="1:13" ht="14.25" customHeight="1">
      <c r="A201" s="589"/>
      <c r="B201" s="590"/>
      <c r="C201" s="589"/>
      <c r="D201" s="590"/>
      <c r="E201" s="593"/>
      <c r="F201" s="620"/>
      <c r="G201" s="606"/>
      <c r="H201" s="437"/>
      <c r="I201" s="74"/>
      <c r="J201" s="74"/>
      <c r="K201" s="74"/>
      <c r="L201" s="74"/>
      <c r="M201" s="172"/>
    </row>
    <row r="202" spans="1:13" ht="14.25" customHeight="1">
      <c r="A202" s="670"/>
      <c r="B202" s="671"/>
      <c r="C202" s="589"/>
      <c r="D202" s="590"/>
      <c r="E202" s="593"/>
      <c r="F202" s="620"/>
      <c r="G202" s="606"/>
      <c r="H202" s="437"/>
      <c r="I202" s="74"/>
      <c r="J202" s="74"/>
      <c r="K202" s="74"/>
      <c r="L202" s="74"/>
      <c r="M202" s="172"/>
    </row>
    <row r="203" spans="1:13" ht="14.25" customHeight="1">
      <c r="A203" s="584"/>
      <c r="B203" s="585"/>
      <c r="C203" s="589"/>
      <c r="D203" s="590"/>
      <c r="E203" s="593"/>
      <c r="F203" s="620"/>
      <c r="G203" s="606"/>
      <c r="H203" s="437"/>
      <c r="I203" s="74"/>
      <c r="J203" s="74"/>
      <c r="K203" s="74"/>
      <c r="L203" s="74"/>
      <c r="M203" s="172"/>
    </row>
    <row r="204" spans="1:13" ht="14.25" customHeight="1">
      <c r="A204" s="668"/>
      <c r="B204" s="669"/>
      <c r="C204" s="589"/>
      <c r="D204" s="590"/>
      <c r="E204" s="593"/>
      <c r="F204" s="620"/>
      <c r="G204" s="606"/>
      <c r="H204" s="437"/>
      <c r="I204" s="74"/>
      <c r="J204" s="74"/>
      <c r="K204" s="74"/>
      <c r="L204" s="74"/>
      <c r="M204" s="172"/>
    </row>
    <row r="205" spans="1:13" ht="14.25" customHeight="1">
      <c r="A205" s="589"/>
      <c r="B205" s="590"/>
      <c r="C205" s="589"/>
      <c r="D205" s="590"/>
      <c r="E205" s="593"/>
      <c r="F205" s="620"/>
      <c r="G205" s="606"/>
      <c r="H205" s="437"/>
      <c r="I205" s="74"/>
      <c r="J205" s="74"/>
      <c r="K205" s="74"/>
      <c r="L205" s="74"/>
      <c r="M205" s="172"/>
    </row>
    <row r="206" spans="1:13" ht="14.25" customHeight="1">
      <c r="A206" s="668"/>
      <c r="B206" s="669"/>
      <c r="C206" s="589"/>
      <c r="D206" s="590"/>
      <c r="E206" s="593"/>
      <c r="F206" s="620"/>
      <c r="G206" s="606"/>
      <c r="H206" s="437"/>
      <c r="I206" s="74"/>
      <c r="J206" s="74"/>
      <c r="K206" s="74"/>
      <c r="L206" s="74"/>
      <c r="M206" s="172"/>
    </row>
    <row r="207" spans="1:13" ht="14.25" customHeight="1">
      <c r="A207" s="589"/>
      <c r="B207" s="590"/>
      <c r="C207" s="589"/>
      <c r="D207" s="590"/>
      <c r="E207" s="593"/>
      <c r="F207" s="620"/>
      <c r="G207" s="606"/>
      <c r="H207" s="437"/>
      <c r="I207" s="74"/>
      <c r="J207" s="74"/>
      <c r="K207" s="74"/>
      <c r="L207" s="74"/>
      <c r="M207" s="172"/>
    </row>
    <row r="208" spans="1:13" ht="14.25" customHeight="1">
      <c r="A208" s="668"/>
      <c r="B208" s="669"/>
      <c r="C208" s="589"/>
      <c r="D208" s="590"/>
      <c r="E208" s="593"/>
      <c r="F208" s="620"/>
      <c r="G208" s="606"/>
      <c r="H208" s="437"/>
      <c r="I208" s="74"/>
      <c r="J208" s="74"/>
      <c r="K208" s="74"/>
      <c r="L208" s="74"/>
      <c r="M208" s="172"/>
    </row>
    <row r="209" spans="1:13" ht="14.25" customHeight="1">
      <c r="A209" s="589"/>
      <c r="B209" s="590"/>
      <c r="C209" s="589"/>
      <c r="D209" s="590"/>
      <c r="E209" s="593"/>
      <c r="F209" s="620"/>
      <c r="G209" s="606"/>
      <c r="H209" s="437"/>
      <c r="I209" s="74"/>
      <c r="J209" s="74"/>
      <c r="K209" s="74"/>
      <c r="L209" s="74"/>
      <c r="M209" s="172"/>
    </row>
    <row r="210" spans="1:13" ht="14.25" customHeight="1">
      <c r="A210" s="668"/>
      <c r="B210" s="669"/>
      <c r="C210" s="589"/>
      <c r="D210" s="590"/>
      <c r="E210" s="593"/>
      <c r="F210" s="620"/>
      <c r="G210" s="606"/>
      <c r="H210" s="437"/>
      <c r="I210" s="74"/>
      <c r="J210" s="74"/>
      <c r="K210" s="74"/>
      <c r="L210" s="74"/>
      <c r="M210" s="172"/>
    </row>
    <row r="211" spans="1:13" ht="14.25" customHeight="1">
      <c r="A211" s="589"/>
      <c r="B211" s="590"/>
      <c r="C211" s="589"/>
      <c r="D211" s="590"/>
      <c r="E211" s="593"/>
      <c r="F211" s="620"/>
      <c r="G211" s="606"/>
      <c r="H211" s="437"/>
      <c r="I211" s="74"/>
      <c r="J211" s="74"/>
      <c r="K211" s="74"/>
      <c r="L211" s="74"/>
      <c r="M211" s="172"/>
    </row>
    <row r="212" spans="1:13" ht="14.25" customHeight="1">
      <c r="A212" s="668"/>
      <c r="B212" s="669"/>
      <c r="C212" s="589"/>
      <c r="D212" s="590"/>
      <c r="E212" s="593"/>
      <c r="F212" s="620"/>
      <c r="G212" s="606"/>
      <c r="H212" s="437"/>
      <c r="I212" s="74"/>
      <c r="J212" s="74"/>
      <c r="K212" s="74"/>
      <c r="L212" s="74"/>
      <c r="M212" s="172"/>
    </row>
    <row r="213" spans="1:13" ht="14.25" customHeight="1">
      <c r="A213" s="589"/>
      <c r="B213" s="590"/>
      <c r="C213" s="589"/>
      <c r="D213" s="590"/>
      <c r="E213" s="593"/>
      <c r="F213" s="620"/>
      <c r="G213" s="606"/>
      <c r="H213" s="437"/>
      <c r="I213" s="74"/>
      <c r="J213" s="74"/>
      <c r="K213" s="74"/>
      <c r="L213" s="74"/>
      <c r="M213" s="172"/>
    </row>
    <row r="214" spans="1:13" ht="14.25" customHeight="1">
      <c r="A214" s="668"/>
      <c r="B214" s="669"/>
      <c r="C214" s="589"/>
      <c r="D214" s="590"/>
      <c r="E214" s="593"/>
      <c r="F214" s="620"/>
      <c r="G214" s="606"/>
      <c r="H214" s="437"/>
      <c r="I214" s="74"/>
      <c r="J214" s="74"/>
      <c r="K214" s="74"/>
      <c r="L214" s="74"/>
      <c r="M214" s="172"/>
    </row>
    <row r="215" spans="1:13" ht="14.25" customHeight="1">
      <c r="A215" s="589"/>
      <c r="B215" s="590"/>
      <c r="C215" s="589"/>
      <c r="D215" s="590"/>
      <c r="E215" s="593"/>
      <c r="F215" s="620"/>
      <c r="G215" s="606"/>
      <c r="H215" s="437"/>
      <c r="I215" s="74"/>
      <c r="J215" s="74"/>
      <c r="K215" s="74"/>
      <c r="L215" s="74"/>
      <c r="M215" s="172"/>
    </row>
    <row r="216" spans="1:13" ht="14.25" customHeight="1">
      <c r="A216" s="668"/>
      <c r="B216" s="669"/>
      <c r="C216" s="589"/>
      <c r="D216" s="590"/>
      <c r="E216" s="593"/>
      <c r="F216" s="620"/>
      <c r="G216" s="606"/>
      <c r="H216" s="437"/>
      <c r="I216" s="74"/>
      <c r="J216" s="74"/>
      <c r="K216" s="74"/>
      <c r="L216" s="74"/>
      <c r="M216" s="172"/>
    </row>
    <row r="217" spans="1:13" ht="14.25" customHeight="1">
      <c r="A217" s="589"/>
      <c r="B217" s="590"/>
      <c r="C217" s="589"/>
      <c r="D217" s="590"/>
      <c r="E217" s="593"/>
      <c r="F217" s="620"/>
      <c r="G217" s="606"/>
      <c r="H217" s="437"/>
      <c r="I217" s="74"/>
      <c r="J217" s="74"/>
      <c r="K217" s="74"/>
      <c r="L217" s="74"/>
      <c r="M217" s="172"/>
    </row>
    <row r="218" spans="1:13" ht="14.25" customHeight="1">
      <c r="A218" s="668"/>
      <c r="B218" s="669"/>
      <c r="C218" s="589"/>
      <c r="D218" s="590"/>
      <c r="E218" s="593"/>
      <c r="F218" s="620"/>
      <c r="G218" s="606"/>
      <c r="H218" s="437"/>
      <c r="I218" s="74"/>
      <c r="J218" s="74"/>
      <c r="K218" s="74"/>
      <c r="L218" s="74"/>
      <c r="M218" s="172"/>
    </row>
    <row r="219" spans="1:13" ht="14.25" customHeight="1">
      <c r="A219" s="589"/>
      <c r="B219" s="590"/>
      <c r="C219" s="589"/>
      <c r="D219" s="590"/>
      <c r="E219" s="593"/>
      <c r="F219" s="620"/>
      <c r="G219" s="606"/>
      <c r="H219" s="437"/>
      <c r="I219" s="74"/>
      <c r="J219" s="74"/>
      <c r="K219" s="74"/>
      <c r="L219" s="74"/>
      <c r="M219" s="172"/>
    </row>
    <row r="220" spans="1:13" ht="14.25" customHeight="1">
      <c r="A220" s="668"/>
      <c r="B220" s="669"/>
      <c r="C220" s="589"/>
      <c r="D220" s="590"/>
      <c r="E220" s="593"/>
      <c r="F220" s="620"/>
      <c r="G220" s="606"/>
      <c r="H220" s="437"/>
      <c r="I220" s="74"/>
      <c r="J220" s="74"/>
      <c r="K220" s="74"/>
      <c r="L220" s="74"/>
      <c r="M220" s="172"/>
    </row>
    <row r="221" spans="1:13" ht="14.25" customHeight="1">
      <c r="A221" s="589"/>
      <c r="B221" s="590"/>
      <c r="C221" s="589"/>
      <c r="D221" s="590"/>
      <c r="E221" s="593"/>
      <c r="F221" s="620"/>
      <c r="G221" s="606"/>
      <c r="H221" s="437"/>
      <c r="I221" s="74"/>
      <c r="J221" s="74"/>
      <c r="K221" s="74"/>
      <c r="L221" s="74"/>
      <c r="M221" s="172"/>
    </row>
    <row r="222" spans="1:13" ht="14.25" customHeight="1">
      <c r="A222" s="668"/>
      <c r="B222" s="669"/>
      <c r="C222" s="589"/>
      <c r="D222" s="590"/>
      <c r="E222" s="593"/>
      <c r="F222" s="620"/>
      <c r="G222" s="606"/>
      <c r="H222" s="437"/>
      <c r="I222" s="74"/>
      <c r="J222" s="74"/>
      <c r="K222" s="74"/>
      <c r="L222" s="74"/>
      <c r="M222" s="172"/>
    </row>
    <row r="223" spans="1:13" ht="14.25" customHeight="1">
      <c r="A223" s="589"/>
      <c r="B223" s="590"/>
      <c r="C223" s="589"/>
      <c r="D223" s="590"/>
      <c r="E223" s="593"/>
      <c r="F223" s="620"/>
      <c r="G223" s="606"/>
      <c r="H223" s="437"/>
      <c r="I223" s="74"/>
      <c r="J223" s="74"/>
      <c r="K223" s="74"/>
      <c r="L223" s="74"/>
      <c r="M223" s="172"/>
    </row>
    <row r="224" spans="1:13" ht="14.25" customHeight="1">
      <c r="A224" s="668"/>
      <c r="B224" s="669"/>
      <c r="C224" s="589"/>
      <c r="D224" s="590"/>
      <c r="E224" s="593"/>
      <c r="F224" s="620"/>
      <c r="G224" s="606"/>
      <c r="H224" s="437"/>
      <c r="I224" s="74"/>
      <c r="J224" s="74"/>
      <c r="K224" s="74"/>
      <c r="L224" s="74"/>
      <c r="M224" s="172"/>
    </row>
    <row r="225" spans="1:13" ht="14.25" customHeight="1">
      <c r="A225" s="589"/>
      <c r="B225" s="590"/>
      <c r="C225" s="589"/>
      <c r="D225" s="590"/>
      <c r="E225" s="593"/>
      <c r="F225" s="620"/>
      <c r="G225" s="606"/>
      <c r="H225" s="437"/>
      <c r="I225" s="74"/>
      <c r="J225" s="74"/>
      <c r="K225" s="74"/>
      <c r="L225" s="74"/>
      <c r="M225" s="172"/>
    </row>
    <row r="226" spans="1:13" ht="14.25" customHeight="1">
      <c r="A226" s="668"/>
      <c r="B226" s="669"/>
      <c r="C226" s="589"/>
      <c r="D226" s="590"/>
      <c r="E226" s="593"/>
      <c r="F226" s="620"/>
      <c r="G226" s="606"/>
      <c r="H226" s="437"/>
      <c r="I226" s="74"/>
      <c r="J226" s="74"/>
      <c r="K226" s="74"/>
      <c r="L226" s="74"/>
      <c r="M226" s="172"/>
    </row>
    <row r="227" spans="1:13" ht="14.25" customHeight="1">
      <c r="A227" s="589"/>
      <c r="B227" s="590"/>
      <c r="C227" s="589"/>
      <c r="D227" s="590"/>
      <c r="E227" s="593"/>
      <c r="F227" s="620"/>
      <c r="G227" s="606"/>
      <c r="H227" s="437"/>
      <c r="I227" s="74"/>
      <c r="J227" s="74"/>
      <c r="K227" s="74"/>
      <c r="L227" s="74"/>
      <c r="M227" s="172"/>
    </row>
    <row r="228" spans="1:13" ht="14.25" customHeight="1">
      <c r="A228" s="668"/>
      <c r="B228" s="669"/>
      <c r="C228" s="589"/>
      <c r="D228" s="590"/>
      <c r="E228" s="593"/>
      <c r="F228" s="620"/>
      <c r="G228" s="606"/>
      <c r="H228" s="437"/>
      <c r="I228" s="74"/>
      <c r="J228" s="74"/>
      <c r="K228" s="74"/>
      <c r="L228" s="74"/>
      <c r="M228" s="172"/>
    </row>
    <row r="229" spans="1:13" ht="14.25" customHeight="1">
      <c r="A229" s="589"/>
      <c r="B229" s="590"/>
      <c r="C229" s="589"/>
      <c r="D229" s="590"/>
      <c r="E229" s="593"/>
      <c r="F229" s="620"/>
      <c r="G229" s="606"/>
      <c r="H229" s="437"/>
      <c r="I229" s="74"/>
      <c r="J229" s="74"/>
      <c r="K229" s="74"/>
      <c r="L229" s="74"/>
      <c r="M229" s="172"/>
    </row>
    <row r="230" spans="1:13" ht="14.25" customHeight="1">
      <c r="A230" s="668"/>
      <c r="B230" s="669"/>
      <c r="C230" s="589"/>
      <c r="D230" s="590"/>
      <c r="E230" s="593"/>
      <c r="F230" s="620"/>
      <c r="G230" s="606"/>
      <c r="H230" s="437"/>
      <c r="I230" s="74"/>
      <c r="J230" s="74"/>
      <c r="K230" s="74"/>
      <c r="L230" s="74"/>
      <c r="M230" s="172"/>
    </row>
    <row r="231" spans="1:13" ht="14.25" customHeight="1">
      <c r="A231" s="589"/>
      <c r="B231" s="590"/>
      <c r="C231" s="589"/>
      <c r="D231" s="590"/>
      <c r="E231" s="593"/>
      <c r="F231" s="620"/>
      <c r="G231" s="606"/>
      <c r="H231" s="437"/>
      <c r="I231" s="74"/>
      <c r="J231" s="74"/>
      <c r="K231" s="74"/>
      <c r="L231" s="74"/>
      <c r="M231" s="172"/>
    </row>
    <row r="232" spans="1:13" ht="14.25" customHeight="1">
      <c r="A232" s="668"/>
      <c r="B232" s="669"/>
      <c r="C232" s="589"/>
      <c r="D232" s="590"/>
      <c r="E232" s="593"/>
      <c r="F232" s="620"/>
      <c r="G232" s="606"/>
      <c r="H232" s="437"/>
      <c r="I232" s="74"/>
      <c r="J232" s="74"/>
      <c r="K232" s="74"/>
      <c r="L232" s="74"/>
      <c r="M232" s="172"/>
    </row>
    <row r="233" spans="1:13" ht="14.25" customHeight="1">
      <c r="A233" s="589"/>
      <c r="B233" s="590"/>
      <c r="C233" s="589"/>
      <c r="D233" s="590"/>
      <c r="E233" s="593"/>
      <c r="F233" s="620"/>
      <c r="G233" s="606"/>
      <c r="H233" s="437"/>
      <c r="I233" s="74"/>
      <c r="J233" s="74"/>
      <c r="K233" s="74"/>
      <c r="L233" s="74"/>
      <c r="M233" s="172"/>
    </row>
    <row r="234" spans="1:13" ht="14.25" customHeight="1">
      <c r="A234" s="670"/>
      <c r="B234" s="671"/>
      <c r="C234" s="589"/>
      <c r="D234" s="590"/>
      <c r="E234" s="593"/>
      <c r="F234" s="620"/>
      <c r="G234" s="606"/>
      <c r="H234" s="672"/>
      <c r="I234" s="673"/>
      <c r="J234" s="673"/>
      <c r="K234" s="673"/>
      <c r="L234" s="673"/>
      <c r="M234" s="674"/>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N47"/>
  <sheetViews>
    <sheetView showGridLines="0" workbookViewId="0"/>
  </sheetViews>
  <sheetFormatPr defaultColWidth="8.875" defaultRowHeight="14.25" customHeight="1"/>
  <cols>
    <col min="1" max="1" width="11.375" style="675" customWidth="1"/>
    <col min="2" max="4" width="6.375" style="675" customWidth="1"/>
    <col min="5" max="19" width="8.875" style="675" customWidth="1"/>
    <col min="20" max="20" width="9.375" style="675" customWidth="1"/>
    <col min="21" max="41" width="8.875" style="675" customWidth="1"/>
    <col min="42" max="16384" width="8.875" style="675"/>
  </cols>
  <sheetData>
    <row r="1" spans="1:40" ht="16.5" customHeight="1">
      <c r="A1" s="676" t="s">
        <v>321</v>
      </c>
      <c r="B1" s="677"/>
      <c r="C1" s="677"/>
      <c r="D1" s="676" t="s">
        <v>322</v>
      </c>
      <c r="E1" s="677"/>
      <c r="F1" s="589"/>
      <c r="G1" s="589"/>
      <c r="H1" s="589"/>
      <c r="I1" s="676" t="s">
        <v>323</v>
      </c>
      <c r="J1" s="677"/>
      <c r="K1" s="677"/>
      <c r="L1" s="676" t="s">
        <v>322</v>
      </c>
      <c r="M1" s="677"/>
      <c r="N1" s="677"/>
      <c r="O1" s="677"/>
      <c r="P1" s="677"/>
      <c r="Q1" s="676" t="s">
        <v>324</v>
      </c>
      <c r="R1" s="677"/>
      <c r="S1" s="677"/>
      <c r="T1" s="678" t="s">
        <v>322</v>
      </c>
      <c r="U1" s="678" t="s">
        <v>325</v>
      </c>
      <c r="V1" s="677"/>
      <c r="W1" s="677"/>
      <c r="X1" s="677"/>
      <c r="Y1" s="677"/>
      <c r="Z1" s="677"/>
      <c r="AA1" s="677"/>
      <c r="AB1" s="677"/>
      <c r="AC1" s="677"/>
      <c r="AD1" s="677"/>
      <c r="AE1" s="677"/>
      <c r="AF1" s="677"/>
      <c r="AG1" s="677"/>
      <c r="AH1" s="677"/>
      <c r="AI1" s="677"/>
      <c r="AJ1" s="677"/>
      <c r="AK1" s="677"/>
      <c r="AL1" s="677"/>
      <c r="AM1" s="677"/>
      <c r="AN1" s="677"/>
    </row>
    <row r="2" spans="1:40" ht="16.5" customHeight="1">
      <c r="A2" s="679" t="s">
        <v>249</v>
      </c>
      <c r="B2" s="680" t="s">
        <v>123</v>
      </c>
      <c r="C2" s="680" t="s">
        <v>135</v>
      </c>
      <c r="D2" s="681" t="s">
        <v>241</v>
      </c>
      <c r="E2" s="677"/>
      <c r="F2" s="589"/>
      <c r="G2" s="589"/>
      <c r="H2" s="589"/>
      <c r="I2" s="679" t="s">
        <v>251</v>
      </c>
      <c r="J2" s="682" t="str" cm="1">
        <f t="array" ref="J2">D3</f>
        <v>W74</v>
      </c>
      <c r="K2" s="682" t="str" cm="1">
        <f t="array" ref="K2">D6</f>
        <v>W77</v>
      </c>
      <c r="L2" s="681" t="s">
        <v>245</v>
      </c>
      <c r="M2" s="677"/>
      <c r="N2" s="677"/>
      <c r="O2" s="677"/>
      <c r="P2" s="677"/>
      <c r="Q2" s="679" t="s">
        <v>302</v>
      </c>
      <c r="R2" s="682" t="str" cm="1">
        <f t="array" ref="R2">L12</f>
        <v>W97</v>
      </c>
      <c r="S2" s="682" t="str" cm="1">
        <f t="array" ref="S2">L13</f>
        <v>W98</v>
      </c>
      <c r="T2" s="683" t="s">
        <v>299</v>
      </c>
      <c r="U2" s="684" t="s">
        <v>326</v>
      </c>
      <c r="V2" s="677"/>
      <c r="W2" s="677"/>
      <c r="X2" s="677"/>
      <c r="Y2" s="677"/>
      <c r="Z2" s="677"/>
      <c r="AA2" s="677"/>
      <c r="AB2" s="677"/>
      <c r="AC2" s="677"/>
      <c r="AD2" s="677"/>
      <c r="AE2" s="677"/>
      <c r="AF2" s="677"/>
      <c r="AG2" s="677"/>
      <c r="AH2" s="677"/>
      <c r="AI2" s="677"/>
      <c r="AJ2" s="677"/>
      <c r="AK2" s="677"/>
      <c r="AL2" s="677"/>
      <c r="AM2" s="677"/>
      <c r="AN2" s="677"/>
    </row>
    <row r="3" spans="1:40" ht="16.5" customHeight="1">
      <c r="A3" s="679" t="s">
        <v>255</v>
      </c>
      <c r="B3" s="680" t="s">
        <v>163</v>
      </c>
      <c r="C3" s="682" t="str" cm="1">
        <f t="array" ref="C3">'Mejores 3eros'!AG3</f>
        <v>3D</v>
      </c>
      <c r="D3" s="681" t="s">
        <v>243</v>
      </c>
      <c r="E3" s="677"/>
      <c r="F3" s="589"/>
      <c r="G3" s="589"/>
      <c r="H3" s="589"/>
      <c r="I3" s="679" t="s">
        <v>262</v>
      </c>
      <c r="J3" s="682" t="str" cm="1">
        <f t="array" ref="J3">D2</f>
        <v>W73</v>
      </c>
      <c r="K3" s="682" t="str" cm="1">
        <f t="array" ref="K3">D4</f>
        <v>W75</v>
      </c>
      <c r="L3" s="681" t="s">
        <v>258</v>
      </c>
      <c r="M3" s="677"/>
      <c r="N3" s="677"/>
      <c r="O3" s="677"/>
      <c r="P3" s="677"/>
      <c r="Q3" s="679" t="s">
        <v>303</v>
      </c>
      <c r="R3" s="682" t="str" cm="1">
        <f t="array" ref="R3">L14</f>
        <v>W99</v>
      </c>
      <c r="S3" s="682" t="str" cm="1">
        <f t="array" ref="S3">L15</f>
        <v>W100</v>
      </c>
      <c r="T3" s="683" t="s">
        <v>300</v>
      </c>
      <c r="U3" s="684" t="s">
        <v>327</v>
      </c>
      <c r="V3" s="677"/>
      <c r="W3" s="677"/>
      <c r="X3" s="677"/>
      <c r="Y3" s="677"/>
      <c r="Z3" s="677"/>
      <c r="AA3" s="677"/>
      <c r="AB3" s="677"/>
      <c r="AC3" s="677"/>
      <c r="AD3" s="677"/>
      <c r="AE3" s="677"/>
      <c r="AF3" s="677"/>
      <c r="AG3" s="677"/>
      <c r="AH3" s="677"/>
      <c r="AI3" s="677"/>
      <c r="AJ3" s="677"/>
      <c r="AK3" s="677"/>
      <c r="AL3" s="677"/>
      <c r="AM3" s="677"/>
      <c r="AN3" s="677"/>
    </row>
    <row r="4" spans="1:40" ht="16.5" customHeight="1">
      <c r="A4" s="679" t="s">
        <v>260</v>
      </c>
      <c r="B4" s="680" t="s">
        <v>173</v>
      </c>
      <c r="C4" s="680" t="s">
        <v>145</v>
      </c>
      <c r="D4" s="681" t="s">
        <v>257</v>
      </c>
      <c r="E4" s="677"/>
      <c r="F4" s="589"/>
      <c r="G4" s="589"/>
      <c r="H4" s="589"/>
      <c r="I4" s="679" t="s">
        <v>275</v>
      </c>
      <c r="J4" s="682" t="str" cm="1">
        <f t="array" ref="J4">D5</f>
        <v>W76</v>
      </c>
      <c r="K4" s="682" t="str" cm="1">
        <f t="array" ref="K4">D7</f>
        <v>W78</v>
      </c>
      <c r="L4" s="681" t="s">
        <v>269</v>
      </c>
      <c r="M4" s="677"/>
      <c r="N4" s="677"/>
      <c r="O4" s="677"/>
      <c r="P4" s="677"/>
      <c r="Q4" s="685"/>
      <c r="R4" s="682"/>
      <c r="S4" s="682"/>
      <c r="T4" s="686"/>
      <c r="U4" s="687"/>
      <c r="V4" s="677"/>
      <c r="W4" s="677"/>
      <c r="X4" s="677"/>
      <c r="Y4" s="677"/>
      <c r="Z4" s="677"/>
      <c r="AA4" s="677"/>
      <c r="AB4" s="677"/>
      <c r="AC4" s="677"/>
      <c r="AD4" s="677"/>
      <c r="AE4" s="677"/>
      <c r="AF4" s="677"/>
      <c r="AG4" s="677"/>
      <c r="AH4" s="677"/>
      <c r="AI4" s="677"/>
      <c r="AJ4" s="677"/>
      <c r="AK4" s="677"/>
      <c r="AL4" s="677"/>
      <c r="AM4" s="677"/>
      <c r="AN4" s="677"/>
    </row>
    <row r="5" spans="1:40" ht="16.5" customHeight="1">
      <c r="A5" s="679" t="s">
        <v>265</v>
      </c>
      <c r="B5" s="680" t="s">
        <v>143</v>
      </c>
      <c r="C5" s="680" t="s">
        <v>175</v>
      </c>
      <c r="D5" s="681" t="s">
        <v>264</v>
      </c>
      <c r="E5" s="677"/>
      <c r="F5" s="589"/>
      <c r="G5" s="589"/>
      <c r="H5" s="589"/>
      <c r="I5" s="679" t="s">
        <v>286</v>
      </c>
      <c r="J5" s="682" t="str" cm="1">
        <f t="array" ref="J5">D8</f>
        <v>W79</v>
      </c>
      <c r="K5" s="682" t="str" cm="1">
        <f t="array" ref="K5">D9</f>
        <v>W80</v>
      </c>
      <c r="L5" s="681" t="s">
        <v>282</v>
      </c>
      <c r="M5" s="677"/>
      <c r="N5" s="677"/>
      <c r="O5" s="677"/>
      <c r="P5" s="677"/>
      <c r="Q5" s="685"/>
      <c r="R5" s="682"/>
      <c r="S5" s="682"/>
      <c r="T5" s="686"/>
      <c r="U5" s="687"/>
      <c r="V5" s="677"/>
      <c r="W5" s="677"/>
      <c r="X5" s="677"/>
      <c r="Y5" s="677"/>
      <c r="Z5" s="677"/>
      <c r="AA5" s="677"/>
      <c r="AB5" s="677"/>
      <c r="AC5" s="677"/>
      <c r="AD5" s="677"/>
      <c r="AE5" s="677"/>
      <c r="AF5" s="677"/>
      <c r="AG5" s="677"/>
      <c r="AH5" s="677"/>
      <c r="AI5" s="677"/>
      <c r="AJ5" s="677"/>
      <c r="AK5" s="677"/>
      <c r="AL5" s="677"/>
      <c r="AM5" s="677"/>
      <c r="AN5" s="677"/>
    </row>
    <row r="6" spans="1:40" ht="16.5" customHeight="1">
      <c r="A6" s="679" t="s">
        <v>273</v>
      </c>
      <c r="B6" s="680" t="s">
        <v>203</v>
      </c>
      <c r="C6" s="682" t="str" cm="1">
        <f t="array" ref="C6">'Mejores 3eros'!AI3</f>
        <v>3F</v>
      </c>
      <c r="D6" s="681" t="s">
        <v>244</v>
      </c>
      <c r="E6" s="677"/>
      <c r="F6" s="589"/>
      <c r="G6" s="589"/>
      <c r="H6" s="589"/>
      <c r="I6" s="679" t="s">
        <v>252</v>
      </c>
      <c r="J6" s="682" t="str" cm="1">
        <f t="array" ref="J6">D12</f>
        <v>W83</v>
      </c>
      <c r="K6" s="682" t="str" cm="1">
        <f t="array" ref="K6">D13</f>
        <v>W84</v>
      </c>
      <c r="L6" s="681" t="s">
        <v>248</v>
      </c>
      <c r="M6" s="677"/>
      <c r="N6" s="677"/>
      <c r="O6" s="677"/>
      <c r="P6" s="677"/>
      <c r="Q6" s="676" t="s">
        <v>328</v>
      </c>
      <c r="R6" s="677"/>
      <c r="S6" s="677"/>
      <c r="T6" s="678" t="s">
        <v>329</v>
      </c>
      <c r="U6" s="678" t="s">
        <v>330</v>
      </c>
      <c r="V6" s="677"/>
      <c r="W6" s="677"/>
      <c r="X6" s="677"/>
      <c r="Y6" s="677"/>
      <c r="Z6" s="677"/>
      <c r="AA6" s="677"/>
      <c r="AB6" s="677"/>
      <c r="AC6" s="677"/>
      <c r="AD6" s="677"/>
      <c r="AE6" s="677"/>
      <c r="AF6" s="677"/>
      <c r="AG6" s="677"/>
      <c r="AH6" s="677"/>
      <c r="AI6" s="677"/>
      <c r="AJ6" s="677"/>
      <c r="AK6" s="677"/>
      <c r="AL6" s="677"/>
      <c r="AM6" s="677"/>
      <c r="AN6" s="677"/>
    </row>
    <row r="7" spans="1:40" ht="16.5" customHeight="1">
      <c r="A7" s="679" t="s">
        <v>277</v>
      </c>
      <c r="B7" s="680" t="s">
        <v>165</v>
      </c>
      <c r="C7" s="680" t="s">
        <v>205</v>
      </c>
      <c r="D7" s="681" t="s">
        <v>268</v>
      </c>
      <c r="E7" s="677"/>
      <c r="F7" s="589"/>
      <c r="G7" s="589"/>
      <c r="H7" s="589"/>
      <c r="I7" s="679" t="s">
        <v>263</v>
      </c>
      <c r="J7" s="682" t="str" cm="1">
        <f t="array" ref="J7">D10</f>
        <v>W81</v>
      </c>
      <c r="K7" s="682" t="str" cm="1">
        <f t="array" ref="K7">D11</f>
        <v>W82</v>
      </c>
      <c r="L7" s="681" t="s">
        <v>259</v>
      </c>
      <c r="M7" s="677"/>
      <c r="N7" s="677"/>
      <c r="O7" s="677"/>
      <c r="P7" s="677"/>
      <c r="Q7" s="679" t="s">
        <v>301</v>
      </c>
      <c r="R7" s="688" t="str" cm="1">
        <f t="array" ref="R7">U2</f>
        <v>L101</v>
      </c>
      <c r="S7" s="688" t="str" cm="1">
        <f t="array" ref="S7">U3</f>
        <v>L102</v>
      </c>
      <c r="T7" s="686"/>
      <c r="U7" s="687"/>
      <c r="V7" s="677"/>
      <c r="W7" s="677"/>
      <c r="X7" s="677"/>
      <c r="Y7" s="677"/>
      <c r="Z7" s="677"/>
      <c r="AA7" s="677"/>
      <c r="AB7" s="677"/>
      <c r="AC7" s="677"/>
      <c r="AD7" s="677"/>
      <c r="AE7" s="677"/>
      <c r="AF7" s="677"/>
      <c r="AG7" s="677"/>
      <c r="AH7" s="677"/>
      <c r="AI7" s="677"/>
      <c r="AJ7" s="677"/>
      <c r="AK7" s="677"/>
      <c r="AL7" s="677"/>
      <c r="AM7" s="677"/>
      <c r="AN7" s="677"/>
    </row>
    <row r="8" spans="1:40" ht="16.5" customHeight="1">
      <c r="A8" s="679" t="s">
        <v>284</v>
      </c>
      <c r="B8" s="680" t="s">
        <v>120</v>
      </c>
      <c r="C8" s="682" t="str" cm="1">
        <f t="array" ref="C8">'Mejores 3eros'!AD3</f>
        <v>3C</v>
      </c>
      <c r="D8" s="681" t="s">
        <v>279</v>
      </c>
      <c r="E8" s="677"/>
      <c r="F8" s="589"/>
      <c r="G8" s="589"/>
      <c r="H8" s="589"/>
      <c r="I8" s="679" t="s">
        <v>276</v>
      </c>
      <c r="J8" s="682" t="str" cm="1">
        <f t="array" ref="J8">D15</f>
        <v>W86</v>
      </c>
      <c r="K8" s="682" t="str" cm="1">
        <f t="array" ref="K8">D17</f>
        <v>W88</v>
      </c>
      <c r="L8" s="681" t="s">
        <v>272</v>
      </c>
      <c r="M8" s="677"/>
      <c r="N8" s="677"/>
      <c r="O8" s="677"/>
      <c r="P8" s="677"/>
      <c r="Q8" s="685"/>
      <c r="R8" s="682"/>
      <c r="S8" s="682"/>
      <c r="T8" s="686"/>
      <c r="U8" s="687"/>
      <c r="V8" s="677"/>
      <c r="W8" s="677"/>
      <c r="X8" s="677"/>
      <c r="Y8" s="677"/>
      <c r="Z8" s="677"/>
      <c r="AA8" s="677"/>
      <c r="AB8" s="677"/>
      <c r="AC8" s="677"/>
      <c r="AD8" s="677"/>
      <c r="AE8" s="677"/>
      <c r="AF8" s="677"/>
      <c r="AG8" s="677"/>
      <c r="AH8" s="677"/>
      <c r="AI8" s="677"/>
      <c r="AJ8" s="677"/>
      <c r="AK8" s="677"/>
      <c r="AL8" s="677"/>
      <c r="AM8" s="677"/>
      <c r="AN8" s="677"/>
    </row>
    <row r="9" spans="1:40" ht="16.5" customHeight="1">
      <c r="A9" s="679" t="s">
        <v>288</v>
      </c>
      <c r="B9" s="680" t="s">
        <v>233</v>
      </c>
      <c r="C9" s="682" t="str" cm="1">
        <f t="array" ref="C9">'Mejores 3eros'!AK3</f>
        <v>3I</v>
      </c>
      <c r="D9" s="681" t="s">
        <v>281</v>
      </c>
      <c r="E9" s="677"/>
      <c r="F9" s="589"/>
      <c r="G9" s="589"/>
      <c r="H9" s="589"/>
      <c r="I9" s="679" t="s">
        <v>287</v>
      </c>
      <c r="J9" s="682" t="str" cm="1">
        <f t="array" ref="J9">D14</f>
        <v>W85</v>
      </c>
      <c r="K9" s="682" t="str" cm="1">
        <f t="array" ref="K9">D16</f>
        <v>W87</v>
      </c>
      <c r="L9" s="681" t="s">
        <v>283</v>
      </c>
      <c r="M9" s="677"/>
      <c r="N9" s="677"/>
      <c r="O9" s="677"/>
      <c r="P9" s="677"/>
      <c r="Q9" s="677"/>
      <c r="R9" s="677"/>
      <c r="S9" s="677"/>
      <c r="T9" s="687"/>
      <c r="U9" s="687"/>
      <c r="V9" s="677"/>
      <c r="W9" s="677"/>
      <c r="X9" s="677"/>
      <c r="Y9" s="677"/>
      <c r="Z9" s="677"/>
      <c r="AA9" s="677"/>
      <c r="AB9" s="677"/>
      <c r="AC9" s="677"/>
      <c r="AD9" s="677"/>
      <c r="AE9" s="677"/>
      <c r="AF9" s="677"/>
      <c r="AG9" s="677"/>
      <c r="AH9" s="677"/>
      <c r="AI9" s="677"/>
      <c r="AJ9" s="677"/>
      <c r="AK9" s="677"/>
      <c r="AL9" s="677"/>
      <c r="AM9" s="677"/>
      <c r="AN9" s="677"/>
    </row>
    <row r="10" spans="1:40" ht="16.5" customHeight="1">
      <c r="A10" s="679" t="s">
        <v>250</v>
      </c>
      <c r="B10" s="680" t="s">
        <v>153</v>
      </c>
      <c r="C10" s="682" t="str" cm="1">
        <f t="array" ref="C10">'Mejores 3eros'!AF3</f>
        <v>3E</v>
      </c>
      <c r="D10" s="681" t="s">
        <v>242</v>
      </c>
      <c r="E10" s="677"/>
      <c r="F10" s="589"/>
      <c r="G10" s="589"/>
      <c r="H10" s="589"/>
      <c r="I10" s="677"/>
      <c r="J10" s="689"/>
      <c r="K10" s="689"/>
      <c r="L10" s="677"/>
      <c r="M10" s="677"/>
      <c r="N10" s="677"/>
      <c r="O10" s="677"/>
      <c r="P10" s="677"/>
      <c r="Q10" s="676" t="s">
        <v>16</v>
      </c>
      <c r="R10" s="677"/>
      <c r="S10" s="677"/>
      <c r="T10" s="678" t="s">
        <v>20</v>
      </c>
      <c r="U10" s="678" t="s">
        <v>331</v>
      </c>
      <c r="V10" s="677"/>
      <c r="W10" s="677"/>
      <c r="X10" s="677"/>
      <c r="Y10" s="677"/>
      <c r="Z10" s="677"/>
      <c r="AA10" s="677"/>
      <c r="AB10" s="677"/>
      <c r="AC10" s="677"/>
      <c r="AD10" s="677"/>
      <c r="AE10" s="677"/>
      <c r="AF10" s="677"/>
      <c r="AG10" s="677"/>
      <c r="AH10" s="677"/>
      <c r="AI10" s="677"/>
      <c r="AJ10" s="677"/>
      <c r="AK10" s="677"/>
      <c r="AL10" s="677"/>
      <c r="AM10" s="677"/>
      <c r="AN10" s="677"/>
    </row>
    <row r="11" spans="1:40" ht="16.5" customHeight="1">
      <c r="A11" s="679" t="s">
        <v>256</v>
      </c>
      <c r="B11" s="680" t="s">
        <v>183</v>
      </c>
      <c r="C11" s="682" t="str" cm="1">
        <f t="array" ref="C11">'Mejores 3eros'!AH3</f>
        <v>3A</v>
      </c>
      <c r="D11" s="681" t="s">
        <v>254</v>
      </c>
      <c r="E11" s="677"/>
      <c r="F11" s="589"/>
      <c r="G11" s="589"/>
      <c r="H11" s="589"/>
      <c r="I11" s="676" t="s">
        <v>332</v>
      </c>
      <c r="J11" s="677"/>
      <c r="K11" s="677"/>
      <c r="L11" s="676" t="s">
        <v>322</v>
      </c>
      <c r="M11" s="677"/>
      <c r="N11" s="677"/>
      <c r="O11" s="677"/>
      <c r="P11" s="677"/>
      <c r="Q11" s="679" t="s">
        <v>294</v>
      </c>
      <c r="R11" s="682" t="str" cm="1">
        <f t="array" ref="R11">T2</f>
        <v>W101</v>
      </c>
      <c r="S11" s="682" t="str" cm="1">
        <f t="array" ref="S11">T3</f>
        <v>W102</v>
      </c>
      <c r="T11" s="686"/>
      <c r="U11" s="687"/>
      <c r="V11" s="677"/>
      <c r="W11" s="677"/>
      <c r="X11" s="677"/>
      <c r="Y11" s="677"/>
      <c r="Z11" s="677"/>
      <c r="AA11" s="677"/>
      <c r="AB11" s="677"/>
      <c r="AC11" s="677"/>
      <c r="AD11" s="677"/>
      <c r="AE11" s="677"/>
      <c r="AF11" s="677"/>
      <c r="AG11" s="677"/>
      <c r="AH11" s="677"/>
      <c r="AI11" s="677"/>
      <c r="AJ11" s="677"/>
      <c r="AK11" s="677"/>
      <c r="AL11" s="677"/>
      <c r="AM11" s="677"/>
      <c r="AN11" s="677"/>
    </row>
    <row r="12" spans="1:40" ht="16.5" customHeight="1">
      <c r="A12" s="679" t="s">
        <v>261</v>
      </c>
      <c r="B12" s="680" t="s">
        <v>225</v>
      </c>
      <c r="C12" s="680" t="s">
        <v>235</v>
      </c>
      <c r="D12" s="681" t="s">
        <v>246</v>
      </c>
      <c r="E12" s="677"/>
      <c r="F12" s="589"/>
      <c r="G12" s="589"/>
      <c r="H12" s="589"/>
      <c r="I12" s="679" t="s">
        <v>292</v>
      </c>
      <c r="J12" s="682" t="str" cm="1">
        <f t="array" ref="J12">L2</f>
        <v>W89</v>
      </c>
      <c r="K12" s="682" t="str" cm="1">
        <f t="array" ref="K12">L3</f>
        <v>W90</v>
      </c>
      <c r="L12" s="681" t="s">
        <v>290</v>
      </c>
      <c r="M12" s="677"/>
      <c r="N12" s="677"/>
      <c r="O12" s="677"/>
      <c r="P12" s="677"/>
      <c r="Q12" s="677"/>
      <c r="R12" s="677"/>
      <c r="S12" s="677"/>
      <c r="T12" s="687"/>
      <c r="U12" s="687"/>
      <c r="V12" s="677"/>
      <c r="W12" s="677"/>
      <c r="X12" s="677"/>
      <c r="Y12" s="677"/>
      <c r="Z12" s="677"/>
      <c r="AA12" s="677"/>
      <c r="AB12" s="677"/>
      <c r="AC12" s="677"/>
      <c r="AD12" s="677"/>
      <c r="AE12" s="677"/>
      <c r="AF12" s="677"/>
      <c r="AG12" s="677"/>
      <c r="AH12" s="677"/>
      <c r="AI12" s="677"/>
      <c r="AJ12" s="677"/>
      <c r="AK12" s="677"/>
      <c r="AL12" s="677"/>
      <c r="AM12" s="677"/>
      <c r="AN12" s="677"/>
    </row>
    <row r="13" spans="1:40" ht="16.5" customHeight="1">
      <c r="A13" s="679" t="s">
        <v>266</v>
      </c>
      <c r="B13" s="680" t="s">
        <v>193</v>
      </c>
      <c r="C13" s="680" t="s">
        <v>215</v>
      </c>
      <c r="D13" s="681" t="s">
        <v>247</v>
      </c>
      <c r="E13" s="677"/>
      <c r="F13" s="589"/>
      <c r="G13" s="589"/>
      <c r="H13" s="589"/>
      <c r="I13" s="679" t="s">
        <v>297</v>
      </c>
      <c r="J13" s="682" t="str" cm="1">
        <f t="array" ref="J13">L6</f>
        <v>W93</v>
      </c>
      <c r="K13" s="682" t="str" cm="1">
        <f t="array" ref="K13">L7</f>
        <v>W94</v>
      </c>
      <c r="L13" s="681" t="s">
        <v>295</v>
      </c>
      <c r="M13" s="677"/>
      <c r="N13" s="677"/>
      <c r="O13" s="677"/>
      <c r="P13" s="677"/>
      <c r="Q13" s="677"/>
      <c r="R13" s="677"/>
      <c r="S13" s="677"/>
      <c r="T13" s="687"/>
      <c r="U13" s="687"/>
      <c r="V13" s="677"/>
      <c r="W13" s="677"/>
      <c r="X13" s="677"/>
      <c r="Y13" s="677"/>
      <c r="Z13" s="677"/>
      <c r="AA13" s="677"/>
      <c r="AB13" s="677"/>
      <c r="AC13" s="677"/>
      <c r="AD13" s="677"/>
      <c r="AE13" s="677"/>
      <c r="AF13" s="677"/>
      <c r="AG13" s="677"/>
      <c r="AH13" s="677"/>
      <c r="AI13" s="677"/>
      <c r="AJ13" s="677"/>
      <c r="AK13" s="677"/>
      <c r="AL13" s="677"/>
      <c r="AM13" s="677"/>
      <c r="AN13" s="677"/>
    </row>
    <row r="14" spans="1:40" ht="16.5" customHeight="1">
      <c r="A14" s="679" t="s">
        <v>274</v>
      </c>
      <c r="B14" s="680" t="s">
        <v>133</v>
      </c>
      <c r="C14" s="682" t="str" cm="1">
        <f t="array" ref="C14">'Mejores 3eros'!AE3</f>
        <v>3J</v>
      </c>
      <c r="D14" s="681" t="s">
        <v>267</v>
      </c>
      <c r="E14" s="677"/>
      <c r="F14" s="589"/>
      <c r="G14" s="589"/>
      <c r="H14" s="589"/>
      <c r="I14" s="679" t="s">
        <v>293</v>
      </c>
      <c r="J14" s="682" t="str" cm="1">
        <f t="array" ref="J14">L4</f>
        <v>W91</v>
      </c>
      <c r="K14" s="682" t="str" cm="1">
        <f t="array" ref="K14">L5</f>
        <v>W92</v>
      </c>
      <c r="L14" s="681" t="s">
        <v>291</v>
      </c>
      <c r="M14" s="677"/>
      <c r="N14" s="677"/>
      <c r="O14" s="677"/>
      <c r="P14" s="677"/>
      <c r="Q14" s="677"/>
      <c r="R14" s="677"/>
      <c r="S14" s="677"/>
      <c r="T14" s="687"/>
      <c r="U14" s="687"/>
      <c r="V14" s="677"/>
      <c r="W14" s="677"/>
      <c r="X14" s="677"/>
      <c r="Y14" s="677"/>
      <c r="Z14" s="677"/>
      <c r="AA14" s="677"/>
      <c r="AB14" s="677"/>
      <c r="AC14" s="677"/>
      <c r="AD14" s="677"/>
      <c r="AE14" s="677"/>
      <c r="AF14" s="677"/>
      <c r="AG14" s="677"/>
      <c r="AH14" s="677"/>
      <c r="AI14" s="677"/>
      <c r="AJ14" s="677"/>
      <c r="AK14" s="677"/>
      <c r="AL14" s="677"/>
      <c r="AM14" s="677"/>
      <c r="AN14" s="677"/>
    </row>
    <row r="15" spans="1:40" ht="16.5" customHeight="1">
      <c r="A15" s="679" t="s">
        <v>278</v>
      </c>
      <c r="B15" s="680" t="s">
        <v>213</v>
      </c>
      <c r="C15" s="680" t="s">
        <v>195</v>
      </c>
      <c r="D15" s="681" t="s">
        <v>270</v>
      </c>
      <c r="E15" s="677"/>
      <c r="F15" s="589"/>
      <c r="G15" s="589"/>
      <c r="H15" s="589"/>
      <c r="I15" s="679" t="s">
        <v>298</v>
      </c>
      <c r="J15" s="682" t="str" cm="1">
        <f t="array" ref="J15">L8</f>
        <v>W95</v>
      </c>
      <c r="K15" s="682" t="str" cm="1">
        <f t="array" ref="K15">L9</f>
        <v>W96</v>
      </c>
      <c r="L15" s="681" t="s">
        <v>296</v>
      </c>
      <c r="M15" s="677"/>
      <c r="N15" s="677"/>
      <c r="O15" s="677"/>
      <c r="P15" s="677"/>
      <c r="Q15" s="677"/>
      <c r="R15" s="677"/>
      <c r="S15" s="677"/>
      <c r="T15" s="687"/>
      <c r="U15" s="687"/>
      <c r="V15" s="677"/>
      <c r="W15" s="677"/>
      <c r="X15" s="677"/>
      <c r="Y15" s="677"/>
      <c r="Z15" s="677"/>
      <c r="AA15" s="677"/>
      <c r="AB15" s="677"/>
      <c r="AC15" s="677"/>
      <c r="AD15" s="677"/>
      <c r="AE15" s="677"/>
      <c r="AF15" s="677"/>
      <c r="AG15" s="677"/>
      <c r="AH15" s="677"/>
      <c r="AI15" s="677"/>
      <c r="AJ15" s="677"/>
      <c r="AK15" s="677"/>
      <c r="AL15" s="677"/>
      <c r="AM15" s="677"/>
      <c r="AN15" s="677"/>
    </row>
    <row r="16" spans="1:40" ht="16.5" customHeight="1">
      <c r="A16" s="679" t="s">
        <v>285</v>
      </c>
      <c r="B16" s="680" t="s">
        <v>223</v>
      </c>
      <c r="C16" s="682" t="str" cm="1">
        <f t="array" ref="C16">'Mejores 3eros'!AJ3</f>
        <v>3L</v>
      </c>
      <c r="D16" s="681" t="s">
        <v>280</v>
      </c>
      <c r="E16" s="677"/>
      <c r="F16" s="589"/>
      <c r="G16" s="589"/>
      <c r="H16" s="589"/>
      <c r="I16" s="677"/>
      <c r="J16" s="689"/>
      <c r="K16" s="689"/>
      <c r="L16" s="689"/>
      <c r="M16" s="677"/>
      <c r="N16" s="677"/>
      <c r="O16" s="677"/>
      <c r="P16" s="677"/>
      <c r="Q16" s="677"/>
      <c r="R16" s="677"/>
      <c r="S16" s="677"/>
      <c r="T16" s="687"/>
      <c r="U16" s="687"/>
      <c r="V16" s="677"/>
      <c r="W16" s="677"/>
      <c r="X16" s="677"/>
      <c r="Y16" s="677"/>
      <c r="Z16" s="677"/>
      <c r="AA16" s="677"/>
      <c r="AB16" s="677"/>
      <c r="AC16" s="677"/>
      <c r="AD16" s="677"/>
      <c r="AE16" s="677"/>
      <c r="AF16" s="677"/>
      <c r="AG16" s="677"/>
      <c r="AH16" s="677"/>
      <c r="AI16" s="677"/>
      <c r="AJ16" s="677"/>
      <c r="AK16" s="677"/>
      <c r="AL16" s="677"/>
      <c r="AM16" s="677"/>
      <c r="AN16" s="677"/>
    </row>
    <row r="17" spans="1:40" ht="16.5" customHeight="1">
      <c r="A17" s="679" t="s">
        <v>289</v>
      </c>
      <c r="B17" s="680" t="s">
        <v>155</v>
      </c>
      <c r="C17" s="680" t="s">
        <v>185</v>
      </c>
      <c r="D17" s="681" t="s">
        <v>271</v>
      </c>
      <c r="E17" s="677"/>
      <c r="F17" s="589"/>
      <c r="G17" s="589"/>
      <c r="H17" s="589"/>
      <c r="I17" s="677"/>
      <c r="J17" s="689"/>
      <c r="K17" s="689"/>
      <c r="L17" s="689"/>
      <c r="M17" s="677"/>
      <c r="N17" s="677"/>
      <c r="O17" s="677"/>
      <c r="P17" s="677"/>
      <c r="Q17" s="677"/>
      <c r="R17" s="677"/>
      <c r="S17" s="677"/>
      <c r="T17" s="687"/>
      <c r="U17" s="687"/>
      <c r="V17" s="677"/>
      <c r="W17" s="677"/>
      <c r="X17" s="677"/>
      <c r="Y17" s="677"/>
      <c r="Z17" s="677"/>
      <c r="AA17" s="677"/>
      <c r="AB17" s="677"/>
      <c r="AC17" s="677"/>
      <c r="AD17" s="677"/>
      <c r="AE17" s="677"/>
      <c r="AF17" s="677"/>
      <c r="AG17" s="677"/>
      <c r="AH17" s="677"/>
      <c r="AI17" s="677"/>
      <c r="AJ17" s="677"/>
      <c r="AK17" s="677"/>
      <c r="AL17" s="677"/>
      <c r="AM17" s="677"/>
      <c r="AN17" s="677"/>
    </row>
    <row r="18" spans="1:40" ht="16.5" customHeight="1">
      <c r="A18" s="677"/>
      <c r="B18" s="677"/>
      <c r="C18" s="677"/>
      <c r="D18" s="677"/>
      <c r="E18" s="677"/>
      <c r="F18" s="677"/>
      <c r="G18" s="677"/>
      <c r="H18" s="677"/>
      <c r="I18" s="677"/>
      <c r="J18" s="689"/>
      <c r="K18" s="689"/>
      <c r="L18" s="689"/>
      <c r="M18" s="677"/>
      <c r="N18" s="677"/>
      <c r="O18" s="677"/>
      <c r="P18" s="677"/>
      <c r="Q18" s="677"/>
      <c r="R18" s="677"/>
      <c r="S18" s="677"/>
      <c r="T18" s="687"/>
      <c r="U18" s="687"/>
      <c r="V18" s="677"/>
      <c r="W18" s="677"/>
      <c r="X18" s="677"/>
      <c r="Y18" s="677"/>
      <c r="Z18" s="677"/>
      <c r="AA18" s="677"/>
      <c r="AB18" s="677"/>
      <c r="AC18" s="677"/>
      <c r="AD18" s="677"/>
      <c r="AE18" s="677"/>
      <c r="AF18" s="677"/>
      <c r="AG18" s="677"/>
      <c r="AH18" s="677"/>
      <c r="AI18" s="677"/>
      <c r="AJ18" s="677"/>
      <c r="AK18" s="677"/>
      <c r="AL18" s="677"/>
      <c r="AM18" s="677"/>
      <c r="AN18" s="677"/>
    </row>
    <row r="19" spans="1:40" ht="16.5" customHeight="1">
      <c r="A19" s="677"/>
      <c r="B19" s="677"/>
      <c r="C19" s="677"/>
      <c r="D19" s="677"/>
      <c r="E19" s="677"/>
      <c r="F19" s="677"/>
      <c r="G19" s="677"/>
      <c r="H19" s="677"/>
      <c r="I19" s="677"/>
      <c r="J19" s="689"/>
      <c r="K19" s="689"/>
      <c r="L19" s="689"/>
      <c r="M19" s="677"/>
      <c r="N19" s="677"/>
      <c r="O19" s="677"/>
      <c r="P19" s="677"/>
      <c r="Q19" s="677"/>
      <c r="R19" s="677"/>
      <c r="S19" s="677"/>
      <c r="T19" s="687"/>
      <c r="U19" s="687"/>
      <c r="V19" s="677"/>
      <c r="W19" s="677"/>
      <c r="X19" s="677"/>
      <c r="Y19" s="677"/>
      <c r="Z19" s="677"/>
      <c r="AA19" s="677"/>
      <c r="AB19" s="677"/>
      <c r="AC19" s="677"/>
      <c r="AD19" s="677"/>
      <c r="AE19" s="677"/>
      <c r="AF19" s="677"/>
      <c r="AG19" s="677"/>
      <c r="AH19" s="677"/>
      <c r="AI19" s="677"/>
      <c r="AJ19" s="677"/>
      <c r="AK19" s="677"/>
      <c r="AL19" s="677"/>
      <c r="AM19" s="677"/>
      <c r="AN19" s="677"/>
    </row>
    <row r="20" spans="1:40" ht="16.5" customHeight="1">
      <c r="A20" s="677"/>
      <c r="B20" s="677"/>
      <c r="C20" s="677"/>
      <c r="D20" s="677"/>
      <c r="E20" s="677"/>
      <c r="F20" s="677"/>
      <c r="G20" s="677"/>
      <c r="H20" s="677"/>
      <c r="I20" s="677"/>
      <c r="J20" s="677"/>
      <c r="K20" s="677"/>
      <c r="L20" s="677"/>
      <c r="M20" s="677"/>
      <c r="N20" s="677"/>
      <c r="O20" s="677"/>
      <c r="P20" s="677"/>
      <c r="Q20" s="677"/>
      <c r="R20" s="677"/>
      <c r="S20" s="677"/>
      <c r="T20" s="687"/>
      <c r="U20" s="687"/>
      <c r="V20" s="677"/>
      <c r="W20" s="677"/>
      <c r="X20" s="677"/>
      <c r="Y20" s="677"/>
      <c r="Z20" s="677"/>
      <c r="AA20" s="677"/>
      <c r="AB20" s="677"/>
      <c r="AC20" s="677"/>
      <c r="AD20" s="677"/>
      <c r="AE20" s="677"/>
      <c r="AF20" s="677"/>
      <c r="AG20" s="677"/>
      <c r="AH20" s="677"/>
      <c r="AI20" s="677"/>
      <c r="AJ20" s="677"/>
      <c r="AK20" s="677"/>
      <c r="AL20" s="677"/>
      <c r="AM20" s="677"/>
      <c r="AN20" s="677"/>
    </row>
    <row r="21" spans="1:40" ht="16.5" customHeight="1">
      <c r="A21" s="677"/>
      <c r="B21" s="677"/>
      <c r="C21" s="677"/>
      <c r="D21" s="677"/>
      <c r="E21" s="677"/>
      <c r="F21" s="677"/>
      <c r="G21" s="677"/>
      <c r="H21" s="677"/>
      <c r="I21" s="677"/>
      <c r="J21" s="677"/>
      <c r="K21" s="677"/>
      <c r="L21" s="677"/>
      <c r="M21" s="677"/>
      <c r="N21" s="677"/>
      <c r="O21" s="677"/>
      <c r="P21" s="677"/>
      <c r="Q21" s="677"/>
      <c r="R21" s="677"/>
      <c r="S21" s="677"/>
      <c r="T21" s="687"/>
      <c r="U21" s="687"/>
      <c r="V21" s="677"/>
      <c r="W21" s="677"/>
      <c r="X21" s="677"/>
      <c r="Y21" s="677"/>
      <c r="Z21" s="677"/>
      <c r="AA21" s="677"/>
      <c r="AB21" s="677"/>
      <c r="AC21" s="677"/>
      <c r="AD21" s="677"/>
      <c r="AE21" s="677"/>
      <c r="AF21" s="677"/>
      <c r="AG21" s="677"/>
      <c r="AH21" s="677"/>
      <c r="AI21" s="677"/>
      <c r="AJ21" s="677"/>
      <c r="AK21" s="677"/>
      <c r="AL21" s="677"/>
      <c r="AM21" s="677"/>
      <c r="AN21" s="677"/>
    </row>
    <row r="22" spans="1:40" ht="16.5" customHeight="1">
      <c r="A22" s="677"/>
      <c r="B22" s="677"/>
      <c r="C22" s="677"/>
      <c r="D22" s="677"/>
      <c r="E22" s="677"/>
      <c r="F22" s="677"/>
      <c r="G22" s="677"/>
      <c r="H22" s="677"/>
      <c r="I22" s="677"/>
      <c r="J22" s="677"/>
      <c r="K22" s="677"/>
      <c r="L22" s="677"/>
      <c r="M22" s="677"/>
      <c r="N22" s="677"/>
      <c r="O22" s="677"/>
      <c r="P22" s="677"/>
      <c r="Q22" s="677"/>
      <c r="R22" s="677"/>
      <c r="S22" s="677"/>
      <c r="T22" s="687"/>
      <c r="U22" s="687"/>
      <c r="V22" s="677"/>
      <c r="W22" s="677"/>
      <c r="X22" s="677"/>
      <c r="Y22" s="677"/>
      <c r="Z22" s="677"/>
      <c r="AA22" s="677"/>
      <c r="AB22" s="677"/>
      <c r="AC22" s="677"/>
      <c r="AD22" s="677"/>
      <c r="AE22" s="677"/>
      <c r="AF22" s="677"/>
      <c r="AG22" s="677"/>
      <c r="AH22" s="677"/>
      <c r="AI22" s="677"/>
      <c r="AJ22" s="677"/>
      <c r="AK22" s="677"/>
      <c r="AL22" s="677"/>
      <c r="AM22" s="677"/>
      <c r="AN22" s="677"/>
    </row>
    <row r="23" spans="1:40" ht="16.5" customHeight="1">
      <c r="A23" s="677"/>
      <c r="B23" s="677"/>
      <c r="C23" s="677"/>
      <c r="D23" s="677"/>
      <c r="E23" s="677"/>
      <c r="F23" s="677"/>
      <c r="G23" s="677"/>
      <c r="H23" s="677"/>
      <c r="I23" s="677"/>
      <c r="J23" s="677"/>
      <c r="K23" s="677"/>
      <c r="L23" s="677"/>
      <c r="M23" s="677"/>
      <c r="N23" s="677"/>
      <c r="O23" s="677"/>
      <c r="P23" s="677"/>
      <c r="Q23" s="677"/>
      <c r="R23" s="677"/>
      <c r="S23" s="677"/>
      <c r="T23" s="687"/>
      <c r="U23" s="687"/>
      <c r="V23" s="677"/>
      <c r="W23" s="677"/>
      <c r="X23" s="677"/>
      <c r="Y23" s="677"/>
      <c r="Z23" s="677"/>
      <c r="AA23" s="677"/>
      <c r="AB23" s="677"/>
      <c r="AC23" s="677"/>
      <c r="AD23" s="677"/>
      <c r="AE23" s="677"/>
      <c r="AF23" s="677"/>
      <c r="AG23" s="677"/>
      <c r="AH23" s="677"/>
      <c r="AI23" s="677"/>
      <c r="AJ23" s="677"/>
      <c r="AK23" s="677"/>
      <c r="AL23" s="677"/>
      <c r="AM23" s="677"/>
      <c r="AN23" s="677"/>
    </row>
    <row r="24" spans="1:40" ht="16.5" customHeight="1">
      <c r="A24" s="677"/>
      <c r="B24" s="677"/>
      <c r="C24" s="677"/>
      <c r="D24" s="677"/>
      <c r="E24" s="677"/>
      <c r="F24" s="677"/>
      <c r="G24" s="677"/>
      <c r="H24" s="677"/>
      <c r="I24" s="677"/>
      <c r="J24" s="677"/>
      <c r="K24" s="677"/>
      <c r="L24" s="677"/>
      <c r="M24" s="677"/>
      <c r="N24" s="677"/>
      <c r="O24" s="677"/>
      <c r="P24" s="677"/>
      <c r="Q24" s="677"/>
      <c r="R24" s="677"/>
      <c r="S24" s="677"/>
      <c r="T24" s="687"/>
      <c r="U24" s="687"/>
      <c r="V24" s="677"/>
      <c r="W24" s="677"/>
      <c r="X24" s="677"/>
      <c r="Y24" s="677"/>
      <c r="Z24" s="677"/>
      <c r="AA24" s="677"/>
      <c r="AB24" s="677"/>
      <c r="AC24" s="677"/>
      <c r="AD24" s="677"/>
      <c r="AE24" s="677"/>
      <c r="AF24" s="677"/>
      <c r="AG24" s="677"/>
      <c r="AH24" s="677"/>
      <c r="AI24" s="677"/>
      <c r="AJ24" s="677"/>
      <c r="AK24" s="677"/>
      <c r="AL24" s="677"/>
      <c r="AM24" s="677"/>
      <c r="AN24" s="677"/>
    </row>
    <row r="25" spans="1:40" ht="16.5" customHeight="1">
      <c r="A25" s="677"/>
      <c r="B25" s="677"/>
      <c r="C25" s="677"/>
      <c r="D25" s="677"/>
      <c r="E25" s="677"/>
      <c r="F25" s="677"/>
      <c r="G25" s="677"/>
      <c r="H25" s="677"/>
      <c r="I25" s="677"/>
      <c r="J25" s="677"/>
      <c r="K25" s="677"/>
      <c r="L25" s="677"/>
      <c r="M25" s="677"/>
      <c r="N25" s="677"/>
      <c r="O25" s="677"/>
      <c r="P25" s="677"/>
      <c r="Q25" s="677"/>
      <c r="R25" s="677"/>
      <c r="S25" s="677"/>
      <c r="T25" s="687"/>
      <c r="U25" s="687"/>
      <c r="V25" s="677"/>
      <c r="W25" s="677"/>
      <c r="X25" s="677"/>
      <c r="Y25" s="677"/>
      <c r="Z25" s="677"/>
      <c r="AA25" s="677"/>
      <c r="AB25" s="677"/>
      <c r="AC25" s="677"/>
      <c r="AD25" s="677"/>
      <c r="AE25" s="677"/>
      <c r="AF25" s="677"/>
      <c r="AG25" s="677"/>
      <c r="AH25" s="677"/>
      <c r="AI25" s="677"/>
      <c r="AJ25" s="677"/>
      <c r="AK25" s="677"/>
      <c r="AL25" s="677"/>
      <c r="AM25" s="677"/>
      <c r="AN25" s="677"/>
    </row>
    <row r="26" spans="1:40" ht="16.5" customHeight="1">
      <c r="A26" s="677"/>
      <c r="B26" s="677"/>
      <c r="C26" s="677"/>
      <c r="D26" s="677"/>
      <c r="E26" s="677"/>
      <c r="F26" s="677"/>
      <c r="G26" s="677"/>
      <c r="H26" s="677"/>
      <c r="I26" s="677"/>
      <c r="J26" s="677"/>
      <c r="K26" s="677"/>
      <c r="L26" s="677"/>
      <c r="M26" s="677"/>
      <c r="N26" s="677"/>
      <c r="O26" s="677"/>
      <c r="P26" s="677"/>
      <c r="Q26" s="677"/>
      <c r="R26" s="677"/>
      <c r="S26" s="677"/>
      <c r="T26" s="687"/>
      <c r="U26" s="687"/>
      <c r="V26" s="677"/>
      <c r="W26" s="677"/>
      <c r="X26" s="677"/>
      <c r="Y26" s="677"/>
      <c r="Z26" s="677"/>
      <c r="AA26" s="677"/>
      <c r="AB26" s="677"/>
      <c r="AC26" s="677"/>
      <c r="AD26" s="677"/>
      <c r="AE26" s="677"/>
      <c r="AF26" s="677"/>
      <c r="AG26" s="677"/>
      <c r="AH26" s="677"/>
      <c r="AI26" s="677"/>
      <c r="AJ26" s="677"/>
      <c r="AK26" s="677"/>
      <c r="AL26" s="677"/>
      <c r="AM26" s="677"/>
      <c r="AN26" s="677"/>
    </row>
    <row r="27" spans="1:40" ht="16.5" customHeight="1">
      <c r="A27" s="677"/>
      <c r="B27" s="677"/>
      <c r="C27" s="677"/>
      <c r="D27" s="677"/>
      <c r="E27" s="677"/>
      <c r="F27" s="677"/>
      <c r="G27" s="677"/>
      <c r="H27" s="677"/>
      <c r="I27" s="677"/>
      <c r="J27" s="677"/>
      <c r="K27" s="677"/>
      <c r="L27" s="677"/>
      <c r="M27" s="677"/>
      <c r="N27" s="677"/>
      <c r="O27" s="677"/>
      <c r="P27" s="677"/>
      <c r="Q27" s="677"/>
      <c r="R27" s="677"/>
      <c r="S27" s="677"/>
      <c r="T27" s="687"/>
      <c r="U27" s="687"/>
      <c r="V27" s="677"/>
      <c r="W27" s="677"/>
      <c r="X27" s="677"/>
      <c r="Y27" s="677"/>
      <c r="Z27" s="677"/>
      <c r="AA27" s="677"/>
      <c r="AB27" s="677"/>
      <c r="AC27" s="677"/>
      <c r="AD27" s="677"/>
      <c r="AE27" s="677"/>
      <c r="AF27" s="677"/>
      <c r="AG27" s="677"/>
      <c r="AH27" s="677"/>
      <c r="AI27" s="677"/>
      <c r="AJ27" s="677"/>
      <c r="AK27" s="677"/>
      <c r="AL27" s="677"/>
      <c r="AM27" s="677"/>
      <c r="AN27" s="677"/>
    </row>
    <row r="28" spans="1:40" ht="16.5" customHeight="1">
      <c r="A28" s="677"/>
      <c r="B28" s="677"/>
      <c r="C28" s="677"/>
      <c r="D28" s="677"/>
      <c r="E28" s="677"/>
      <c r="F28" s="677"/>
      <c r="G28" s="677"/>
      <c r="H28" s="677"/>
      <c r="I28" s="677"/>
      <c r="J28" s="677"/>
      <c r="K28" s="677"/>
      <c r="L28" s="677"/>
      <c r="M28" s="677"/>
      <c r="N28" s="677"/>
      <c r="O28" s="677"/>
      <c r="P28" s="677"/>
      <c r="Q28" s="677"/>
      <c r="R28" s="677"/>
      <c r="S28" s="677"/>
      <c r="T28" s="687"/>
      <c r="U28" s="687"/>
      <c r="V28" s="677"/>
      <c r="W28" s="677"/>
      <c r="X28" s="677"/>
      <c r="Y28" s="677"/>
      <c r="Z28" s="677"/>
      <c r="AA28" s="677"/>
      <c r="AB28" s="677"/>
      <c r="AC28" s="677"/>
      <c r="AD28" s="677"/>
      <c r="AE28" s="677"/>
      <c r="AF28" s="677"/>
      <c r="AG28" s="677"/>
      <c r="AH28" s="677"/>
      <c r="AI28" s="677"/>
      <c r="AJ28" s="677"/>
      <c r="AK28" s="677"/>
      <c r="AL28" s="677"/>
      <c r="AM28" s="677"/>
      <c r="AN28" s="677"/>
    </row>
    <row r="29" spans="1:40" ht="16.5" customHeight="1">
      <c r="A29" s="677"/>
      <c r="B29" s="677"/>
      <c r="C29" s="677"/>
      <c r="D29" s="677"/>
      <c r="E29" s="677"/>
      <c r="F29" s="677"/>
      <c r="G29" s="677"/>
      <c r="H29" s="677"/>
      <c r="I29" s="677"/>
      <c r="J29" s="677"/>
      <c r="K29" s="677"/>
      <c r="L29" s="677"/>
      <c r="M29" s="677"/>
      <c r="N29" s="677"/>
      <c r="O29" s="677"/>
      <c r="P29" s="677"/>
      <c r="Q29" s="677"/>
      <c r="R29" s="677"/>
      <c r="S29" s="677"/>
      <c r="T29" s="687"/>
      <c r="U29" s="687"/>
      <c r="V29" s="677"/>
      <c r="W29" s="677"/>
      <c r="X29" s="677"/>
      <c r="Y29" s="677"/>
      <c r="Z29" s="677"/>
      <c r="AA29" s="677"/>
      <c r="AB29" s="677"/>
      <c r="AC29" s="677"/>
      <c r="AD29" s="677"/>
      <c r="AE29" s="677"/>
      <c r="AF29" s="677"/>
      <c r="AG29" s="677"/>
      <c r="AH29" s="677"/>
      <c r="AI29" s="677"/>
      <c r="AJ29" s="677"/>
      <c r="AK29" s="677"/>
      <c r="AL29" s="677"/>
      <c r="AM29" s="677"/>
      <c r="AN29" s="677"/>
    </row>
    <row r="30" spans="1:40" ht="16.5" customHeight="1">
      <c r="A30" s="677"/>
      <c r="B30" s="677"/>
      <c r="C30" s="677"/>
      <c r="D30" s="677"/>
      <c r="E30" s="677"/>
      <c r="F30" s="677"/>
      <c r="G30" s="677"/>
      <c r="H30" s="677"/>
      <c r="I30" s="677"/>
      <c r="J30" s="677"/>
      <c r="K30" s="677"/>
      <c r="L30" s="677"/>
      <c r="M30" s="677"/>
      <c r="N30" s="677"/>
      <c r="O30" s="677"/>
      <c r="P30" s="677"/>
      <c r="Q30" s="677"/>
      <c r="R30" s="677"/>
      <c r="S30" s="677"/>
      <c r="T30" s="687"/>
      <c r="U30" s="687"/>
      <c r="V30" s="677"/>
      <c r="W30" s="677"/>
      <c r="X30" s="677"/>
      <c r="Y30" s="677"/>
      <c r="Z30" s="677"/>
      <c r="AA30" s="677"/>
      <c r="AB30" s="677"/>
      <c r="AC30" s="677"/>
      <c r="AD30" s="677"/>
      <c r="AE30" s="677"/>
      <c r="AF30" s="677"/>
      <c r="AG30" s="677"/>
      <c r="AH30" s="677"/>
      <c r="AI30" s="677"/>
      <c r="AJ30" s="677"/>
      <c r="AK30" s="677"/>
      <c r="AL30" s="677"/>
      <c r="AM30" s="677"/>
      <c r="AN30" s="677"/>
    </row>
    <row r="31" spans="1:40" ht="16.5" customHeight="1">
      <c r="A31" s="677"/>
      <c r="B31" s="677"/>
      <c r="C31" s="677"/>
      <c r="D31" s="677"/>
      <c r="E31" s="677"/>
      <c r="F31" s="677"/>
      <c r="G31" s="677"/>
      <c r="H31" s="677"/>
      <c r="I31" s="677"/>
      <c r="J31" s="677"/>
      <c r="K31" s="677"/>
      <c r="L31" s="677"/>
      <c r="M31" s="677"/>
      <c r="N31" s="677"/>
      <c r="O31" s="677"/>
      <c r="P31" s="677"/>
      <c r="Q31" s="677"/>
      <c r="R31" s="677"/>
      <c r="S31" s="677"/>
      <c r="T31" s="687"/>
      <c r="U31" s="687"/>
      <c r="V31" s="677"/>
      <c r="W31" s="677"/>
      <c r="X31" s="677"/>
      <c r="Y31" s="677"/>
      <c r="Z31" s="677"/>
      <c r="AA31" s="677"/>
      <c r="AB31" s="677"/>
      <c r="AC31" s="677"/>
      <c r="AD31" s="677"/>
      <c r="AE31" s="677"/>
      <c r="AF31" s="677"/>
      <c r="AG31" s="677"/>
      <c r="AH31" s="677"/>
      <c r="AI31" s="677"/>
      <c r="AJ31" s="677"/>
      <c r="AK31" s="677"/>
      <c r="AL31" s="677"/>
      <c r="AM31" s="677"/>
      <c r="AN31" s="677"/>
    </row>
    <row r="32" spans="1:40" ht="16.5" customHeight="1">
      <c r="A32" s="677"/>
      <c r="B32" s="677"/>
      <c r="C32" s="677"/>
      <c r="D32" s="677"/>
      <c r="E32" s="677"/>
      <c r="F32" s="677"/>
      <c r="G32" s="677"/>
      <c r="H32" s="677"/>
      <c r="I32" s="677"/>
      <c r="J32" s="677"/>
      <c r="K32" s="677"/>
      <c r="L32" s="677"/>
      <c r="M32" s="677"/>
      <c r="N32" s="677"/>
      <c r="O32" s="677"/>
      <c r="P32" s="677"/>
      <c r="Q32" s="677"/>
      <c r="R32" s="677"/>
      <c r="S32" s="677"/>
      <c r="T32" s="687"/>
      <c r="U32" s="687"/>
      <c r="V32" s="677"/>
      <c r="W32" s="677"/>
      <c r="X32" s="677"/>
      <c r="Y32" s="677"/>
      <c r="Z32" s="677"/>
      <c r="AA32" s="677"/>
      <c r="AB32" s="677"/>
      <c r="AC32" s="677"/>
      <c r="AD32" s="677"/>
      <c r="AE32" s="677"/>
      <c r="AF32" s="677"/>
      <c r="AG32" s="677"/>
      <c r="AH32" s="677"/>
      <c r="AI32" s="677"/>
      <c r="AJ32" s="677"/>
      <c r="AK32" s="677"/>
      <c r="AL32" s="677"/>
      <c r="AM32" s="677"/>
      <c r="AN32" s="677"/>
    </row>
    <row r="33" spans="1:40" ht="16.5" customHeight="1">
      <c r="A33" s="677"/>
      <c r="B33" s="677"/>
      <c r="C33" s="677"/>
      <c r="D33" s="677"/>
      <c r="E33" s="677"/>
      <c r="F33" s="677"/>
      <c r="G33" s="677"/>
      <c r="H33" s="677"/>
      <c r="I33" s="677"/>
      <c r="J33" s="677"/>
      <c r="K33" s="677"/>
      <c r="L33" s="677"/>
      <c r="M33" s="677"/>
      <c r="N33" s="677"/>
      <c r="O33" s="677"/>
      <c r="P33" s="677"/>
      <c r="Q33" s="677"/>
      <c r="R33" s="677"/>
      <c r="S33" s="677"/>
      <c r="T33" s="687"/>
      <c r="U33" s="687"/>
      <c r="V33" s="677"/>
      <c r="W33" s="677"/>
      <c r="X33" s="677"/>
      <c r="Y33" s="677"/>
      <c r="Z33" s="677"/>
      <c r="AA33" s="677"/>
      <c r="AB33" s="677"/>
      <c r="AC33" s="677"/>
      <c r="AD33" s="677"/>
      <c r="AE33" s="677"/>
      <c r="AF33" s="677"/>
      <c r="AG33" s="677"/>
      <c r="AH33" s="677"/>
      <c r="AI33" s="677"/>
      <c r="AJ33" s="677"/>
      <c r="AK33" s="677"/>
      <c r="AL33" s="677"/>
      <c r="AM33" s="677"/>
      <c r="AN33" s="677"/>
    </row>
    <row r="34" spans="1:40" ht="16.5" customHeight="1">
      <c r="A34" s="677"/>
      <c r="B34" s="677"/>
      <c r="C34" s="677"/>
      <c r="D34" s="677"/>
      <c r="E34" s="677"/>
      <c r="F34" s="677"/>
      <c r="G34" s="677"/>
      <c r="H34" s="677"/>
      <c r="I34" s="677"/>
      <c r="J34" s="677"/>
      <c r="K34" s="677"/>
      <c r="L34" s="677"/>
      <c r="M34" s="677"/>
      <c r="N34" s="677"/>
      <c r="O34" s="677"/>
      <c r="P34" s="677"/>
      <c r="Q34" s="677"/>
      <c r="R34" s="677"/>
      <c r="S34" s="677"/>
      <c r="T34" s="687"/>
      <c r="U34" s="687"/>
      <c r="V34" s="677"/>
      <c r="W34" s="677"/>
      <c r="X34" s="677"/>
      <c r="Y34" s="677"/>
      <c r="Z34" s="677"/>
      <c r="AA34" s="677"/>
      <c r="AB34" s="677"/>
      <c r="AC34" s="677"/>
      <c r="AD34" s="677"/>
      <c r="AE34" s="677"/>
      <c r="AF34" s="677"/>
      <c r="AG34" s="677"/>
      <c r="AH34" s="677"/>
      <c r="AI34" s="677"/>
      <c r="AJ34" s="677"/>
      <c r="AK34" s="677"/>
      <c r="AL34" s="677"/>
      <c r="AM34" s="677"/>
      <c r="AN34" s="677"/>
    </row>
    <row r="35" spans="1:40" ht="16.5" customHeight="1">
      <c r="A35" s="677"/>
      <c r="B35" s="677"/>
      <c r="C35" s="677"/>
      <c r="D35" s="677"/>
      <c r="E35" s="677"/>
      <c r="F35" s="677"/>
      <c r="G35" s="677"/>
      <c r="H35" s="677"/>
      <c r="I35" s="677"/>
      <c r="J35" s="677"/>
      <c r="K35" s="677"/>
      <c r="L35" s="677"/>
      <c r="M35" s="677"/>
      <c r="N35" s="677"/>
      <c r="O35" s="677"/>
      <c r="P35" s="677"/>
      <c r="Q35" s="677"/>
      <c r="R35" s="677"/>
      <c r="S35" s="677"/>
      <c r="T35" s="687"/>
      <c r="U35" s="687"/>
      <c r="V35" s="677"/>
      <c r="W35" s="677"/>
      <c r="X35" s="677"/>
      <c r="Y35" s="677"/>
      <c r="Z35" s="677"/>
      <c r="AA35" s="677"/>
      <c r="AB35" s="677"/>
      <c r="AC35" s="677"/>
      <c r="AD35" s="677"/>
      <c r="AE35" s="677"/>
      <c r="AF35" s="677"/>
      <c r="AG35" s="677"/>
      <c r="AH35" s="677"/>
      <c r="AI35" s="677"/>
      <c r="AJ35" s="677"/>
      <c r="AK35" s="677"/>
      <c r="AL35" s="677"/>
      <c r="AM35" s="677"/>
      <c r="AN35" s="677"/>
    </row>
    <row r="36" spans="1:40" ht="16.5" customHeight="1">
      <c r="A36" s="677"/>
      <c r="B36" s="677"/>
      <c r="C36" s="677"/>
      <c r="D36" s="677"/>
      <c r="E36" s="677"/>
      <c r="F36" s="677"/>
      <c r="G36" s="677"/>
      <c r="H36" s="677"/>
      <c r="I36" s="677"/>
      <c r="J36" s="677"/>
      <c r="K36" s="677"/>
      <c r="L36" s="677"/>
      <c r="M36" s="677"/>
      <c r="N36" s="677"/>
      <c r="O36" s="677"/>
      <c r="P36" s="677"/>
      <c r="Q36" s="677"/>
      <c r="R36" s="677"/>
      <c r="S36" s="677"/>
      <c r="T36" s="687"/>
      <c r="U36" s="687"/>
      <c r="V36" s="677"/>
      <c r="W36" s="677"/>
      <c r="X36" s="677"/>
      <c r="Y36" s="677"/>
      <c r="Z36" s="677"/>
      <c r="AA36" s="677"/>
      <c r="AB36" s="677"/>
      <c r="AC36" s="677"/>
      <c r="AD36" s="677"/>
      <c r="AE36" s="677"/>
      <c r="AF36" s="677"/>
      <c r="AG36" s="677"/>
      <c r="AH36" s="677"/>
      <c r="AI36" s="677"/>
      <c r="AJ36" s="677"/>
      <c r="AK36" s="677"/>
      <c r="AL36" s="677"/>
      <c r="AM36" s="677"/>
      <c r="AN36" s="677"/>
    </row>
    <row r="37" spans="1:40" ht="16.5" customHeight="1">
      <c r="A37" s="677"/>
      <c r="B37" s="677"/>
      <c r="C37" s="677"/>
      <c r="D37" s="677"/>
      <c r="E37" s="677"/>
      <c r="F37" s="677"/>
      <c r="G37" s="677"/>
      <c r="H37" s="677"/>
      <c r="I37" s="677"/>
      <c r="J37" s="677"/>
      <c r="K37" s="677"/>
      <c r="L37" s="677"/>
      <c r="M37" s="677"/>
      <c r="N37" s="677"/>
      <c r="O37" s="677"/>
      <c r="P37" s="677"/>
      <c r="Q37" s="677"/>
      <c r="R37" s="677"/>
      <c r="S37" s="677"/>
      <c r="T37" s="687"/>
      <c r="U37" s="687"/>
      <c r="V37" s="677"/>
      <c r="W37" s="677"/>
      <c r="X37" s="677"/>
      <c r="Y37" s="677"/>
      <c r="Z37" s="677"/>
      <c r="AA37" s="677"/>
      <c r="AB37" s="677"/>
      <c r="AC37" s="677"/>
      <c r="AD37" s="677"/>
      <c r="AE37" s="677"/>
      <c r="AF37" s="677"/>
      <c r="AG37" s="677"/>
      <c r="AH37" s="677"/>
      <c r="AI37" s="677"/>
      <c r="AJ37" s="677"/>
      <c r="AK37" s="677"/>
      <c r="AL37" s="677"/>
      <c r="AM37" s="677"/>
      <c r="AN37" s="677"/>
    </row>
    <row r="38" spans="1:40" ht="16.5" customHeight="1">
      <c r="A38" s="677"/>
      <c r="B38" s="677"/>
      <c r="C38" s="677"/>
      <c r="D38" s="677"/>
      <c r="E38" s="677"/>
      <c r="F38" s="677"/>
      <c r="G38" s="677"/>
      <c r="H38" s="677"/>
      <c r="I38" s="677"/>
      <c r="J38" s="677"/>
      <c r="K38" s="677"/>
      <c r="L38" s="677"/>
      <c r="M38" s="677"/>
      <c r="N38" s="677"/>
      <c r="O38" s="677"/>
      <c r="P38" s="677"/>
      <c r="Q38" s="677"/>
      <c r="R38" s="677"/>
      <c r="S38" s="677"/>
      <c r="T38" s="687"/>
      <c r="U38" s="687"/>
      <c r="V38" s="677"/>
      <c r="W38" s="677"/>
      <c r="X38" s="677"/>
      <c r="Y38" s="677"/>
      <c r="Z38" s="677"/>
      <c r="AA38" s="677"/>
      <c r="AB38" s="677"/>
      <c r="AC38" s="677"/>
      <c r="AD38" s="677"/>
      <c r="AE38" s="677"/>
      <c r="AF38" s="677"/>
      <c r="AG38" s="677"/>
      <c r="AH38" s="677"/>
      <c r="AI38" s="677"/>
      <c r="AJ38" s="677"/>
      <c r="AK38" s="677"/>
      <c r="AL38" s="677"/>
      <c r="AM38" s="677"/>
      <c r="AN38" s="677"/>
    </row>
    <row r="39" spans="1:40" ht="16.5" customHeight="1">
      <c r="A39" s="677"/>
      <c r="B39" s="677"/>
      <c r="C39" s="677"/>
      <c r="D39" s="677"/>
      <c r="E39" s="677"/>
      <c r="F39" s="677"/>
      <c r="G39" s="677"/>
      <c r="H39" s="677"/>
      <c r="I39" s="677"/>
      <c r="J39" s="677"/>
      <c r="K39" s="677"/>
      <c r="L39" s="677"/>
      <c r="M39" s="677"/>
      <c r="N39" s="677"/>
      <c r="O39" s="677"/>
      <c r="P39" s="677"/>
      <c r="Q39" s="677"/>
      <c r="R39" s="677"/>
      <c r="S39" s="677"/>
      <c r="T39" s="687"/>
      <c r="U39" s="687"/>
      <c r="V39" s="677"/>
      <c r="W39" s="677"/>
      <c r="X39" s="677"/>
      <c r="Y39" s="677"/>
      <c r="Z39" s="677"/>
      <c r="AA39" s="677"/>
      <c r="AB39" s="677"/>
      <c r="AC39" s="677"/>
      <c r="AD39" s="677"/>
      <c r="AE39" s="677"/>
      <c r="AF39" s="677"/>
      <c r="AG39" s="677"/>
      <c r="AH39" s="677"/>
      <c r="AI39" s="677"/>
      <c r="AJ39" s="677"/>
      <c r="AK39" s="677"/>
      <c r="AL39" s="677"/>
      <c r="AM39" s="677"/>
      <c r="AN39" s="677"/>
    </row>
    <row r="40" spans="1:40" ht="16.5" customHeight="1">
      <c r="A40" s="677"/>
      <c r="B40" s="677"/>
      <c r="C40" s="677"/>
      <c r="D40" s="677"/>
      <c r="E40" s="677"/>
      <c r="F40" s="677"/>
      <c r="G40" s="677"/>
      <c r="H40" s="677"/>
      <c r="I40" s="677"/>
      <c r="J40" s="677"/>
      <c r="K40" s="677"/>
      <c r="L40" s="677"/>
      <c r="M40" s="677"/>
      <c r="N40" s="677"/>
      <c r="O40" s="677"/>
      <c r="P40" s="677"/>
      <c r="Q40" s="677"/>
      <c r="R40" s="677"/>
      <c r="S40" s="677"/>
      <c r="T40" s="687"/>
      <c r="U40" s="687"/>
      <c r="V40" s="677"/>
      <c r="W40" s="677"/>
      <c r="X40" s="677"/>
      <c r="Y40" s="677"/>
      <c r="Z40" s="677"/>
      <c r="AA40" s="677"/>
      <c r="AB40" s="677"/>
      <c r="AC40" s="677"/>
      <c r="AD40" s="677"/>
      <c r="AE40" s="677"/>
      <c r="AF40" s="677"/>
      <c r="AG40" s="677"/>
      <c r="AH40" s="677"/>
      <c r="AI40" s="677"/>
      <c r="AJ40" s="677"/>
      <c r="AK40" s="677"/>
      <c r="AL40" s="677"/>
      <c r="AM40" s="677"/>
      <c r="AN40" s="677"/>
    </row>
    <row r="41" spans="1:40" ht="16.5" customHeight="1">
      <c r="A41" s="677"/>
      <c r="B41" s="677"/>
      <c r="C41" s="677"/>
      <c r="D41" s="677"/>
      <c r="E41" s="677"/>
      <c r="F41" s="677"/>
      <c r="G41" s="677"/>
      <c r="H41" s="677"/>
      <c r="I41" s="677"/>
      <c r="J41" s="677"/>
      <c r="K41" s="677"/>
      <c r="L41" s="677"/>
      <c r="M41" s="677"/>
      <c r="N41" s="677"/>
      <c r="O41" s="677"/>
      <c r="P41" s="677"/>
      <c r="Q41" s="677"/>
      <c r="R41" s="677"/>
      <c r="S41" s="677"/>
      <c r="T41" s="687"/>
      <c r="U41" s="687"/>
      <c r="V41" s="677"/>
      <c r="W41" s="677"/>
      <c r="X41" s="677"/>
      <c r="Y41" s="677"/>
      <c r="Z41" s="677"/>
      <c r="AA41" s="677"/>
      <c r="AB41" s="677"/>
      <c r="AC41" s="677"/>
      <c r="AD41" s="677"/>
      <c r="AE41" s="677"/>
      <c r="AF41" s="677"/>
      <c r="AG41" s="677"/>
      <c r="AH41" s="677"/>
      <c r="AI41" s="677"/>
      <c r="AJ41" s="677"/>
      <c r="AK41" s="677"/>
      <c r="AL41" s="677"/>
      <c r="AM41" s="677"/>
      <c r="AN41" s="677"/>
    </row>
    <row r="42" spans="1:40" ht="16.5" customHeight="1">
      <c r="A42" s="677"/>
      <c r="B42" s="677"/>
      <c r="C42" s="677"/>
      <c r="D42" s="677"/>
      <c r="E42" s="677"/>
      <c r="F42" s="677"/>
      <c r="G42" s="677"/>
      <c r="H42" s="677"/>
      <c r="I42" s="677"/>
      <c r="J42" s="677"/>
      <c r="K42" s="677"/>
      <c r="L42" s="677"/>
      <c r="M42" s="677"/>
      <c r="N42" s="677"/>
      <c r="O42" s="677"/>
      <c r="P42" s="677"/>
      <c r="Q42" s="677"/>
      <c r="R42" s="677"/>
      <c r="S42" s="677"/>
      <c r="T42" s="687"/>
      <c r="U42" s="687"/>
      <c r="V42" s="677"/>
      <c r="W42" s="677"/>
      <c r="X42" s="677"/>
      <c r="Y42" s="677"/>
      <c r="Z42" s="677"/>
      <c r="AA42" s="677"/>
      <c r="AB42" s="677"/>
      <c r="AC42" s="677"/>
      <c r="AD42" s="677"/>
      <c r="AE42" s="677"/>
      <c r="AF42" s="677"/>
      <c r="AG42" s="677"/>
      <c r="AH42" s="677"/>
      <c r="AI42" s="677"/>
      <c r="AJ42" s="677"/>
      <c r="AK42" s="677"/>
      <c r="AL42" s="677"/>
      <c r="AM42" s="677"/>
      <c r="AN42" s="677"/>
    </row>
    <row r="43" spans="1:40" ht="16.5" customHeight="1">
      <c r="A43" s="677"/>
      <c r="B43" s="677"/>
      <c r="C43" s="677"/>
      <c r="D43" s="677"/>
      <c r="E43" s="677"/>
      <c r="F43" s="677"/>
      <c r="G43" s="677"/>
      <c r="H43" s="677"/>
      <c r="I43" s="677"/>
      <c r="J43" s="677"/>
      <c r="K43" s="677"/>
      <c r="L43" s="677"/>
      <c r="M43" s="677"/>
      <c r="N43" s="677"/>
      <c r="O43" s="677"/>
      <c r="P43" s="677"/>
      <c r="Q43" s="677"/>
      <c r="R43" s="677"/>
      <c r="S43" s="677"/>
      <c r="T43" s="687"/>
      <c r="U43" s="687"/>
      <c r="V43" s="677"/>
      <c r="W43" s="677"/>
      <c r="X43" s="677"/>
      <c r="Y43" s="677"/>
      <c r="Z43" s="677"/>
      <c r="AA43" s="677"/>
      <c r="AB43" s="677"/>
      <c r="AC43" s="677"/>
      <c r="AD43" s="677"/>
      <c r="AE43" s="677"/>
      <c r="AF43" s="677"/>
      <c r="AG43" s="677"/>
      <c r="AH43" s="677"/>
      <c r="AI43" s="677"/>
      <c r="AJ43" s="677"/>
      <c r="AK43" s="677"/>
      <c r="AL43" s="677"/>
      <c r="AM43" s="677"/>
      <c r="AN43" s="677"/>
    </row>
    <row r="44" spans="1:40" ht="16.5" customHeight="1">
      <c r="A44" s="677"/>
      <c r="B44" s="677"/>
      <c r="C44" s="677"/>
      <c r="D44" s="677"/>
      <c r="E44" s="677"/>
      <c r="F44" s="677"/>
      <c r="G44" s="677"/>
      <c r="H44" s="677"/>
      <c r="I44" s="677"/>
      <c r="J44" s="677"/>
      <c r="K44" s="677"/>
      <c r="L44" s="677"/>
      <c r="M44" s="677"/>
      <c r="N44" s="677"/>
      <c r="O44" s="677"/>
      <c r="P44" s="677"/>
      <c r="Q44" s="677"/>
      <c r="R44" s="677"/>
      <c r="S44" s="677"/>
      <c r="T44" s="687"/>
      <c r="U44" s="687"/>
      <c r="V44" s="677"/>
      <c r="W44" s="677"/>
      <c r="X44" s="677"/>
      <c r="Y44" s="677"/>
      <c r="Z44" s="677"/>
      <c r="AA44" s="677"/>
      <c r="AB44" s="677"/>
      <c r="AC44" s="677"/>
      <c r="AD44" s="677"/>
      <c r="AE44" s="677"/>
      <c r="AF44" s="677"/>
      <c r="AG44" s="677"/>
      <c r="AH44" s="677"/>
      <c r="AI44" s="677"/>
      <c r="AJ44" s="677"/>
      <c r="AK44" s="677"/>
      <c r="AL44" s="677"/>
      <c r="AM44" s="677"/>
      <c r="AN44" s="677"/>
    </row>
    <row r="45" spans="1:40" ht="16.5" customHeight="1">
      <c r="A45" s="677"/>
      <c r="B45" s="677"/>
      <c r="C45" s="677"/>
      <c r="D45" s="677"/>
      <c r="E45" s="677"/>
      <c r="F45" s="677"/>
      <c r="G45" s="677"/>
      <c r="H45" s="677"/>
      <c r="I45" s="677"/>
      <c r="J45" s="677"/>
      <c r="K45" s="677"/>
      <c r="L45" s="677"/>
      <c r="M45" s="677"/>
      <c r="N45" s="677"/>
      <c r="O45" s="677"/>
      <c r="P45" s="677"/>
      <c r="Q45" s="677"/>
      <c r="R45" s="677"/>
      <c r="S45" s="677"/>
      <c r="T45" s="687"/>
      <c r="U45" s="687"/>
      <c r="V45" s="677"/>
      <c r="W45" s="677"/>
      <c r="X45" s="677"/>
      <c r="Y45" s="677"/>
      <c r="Z45" s="677"/>
      <c r="AA45" s="677"/>
      <c r="AB45" s="677"/>
      <c r="AC45" s="677"/>
      <c r="AD45" s="677"/>
      <c r="AE45" s="677"/>
      <c r="AF45" s="677"/>
      <c r="AG45" s="677"/>
      <c r="AH45" s="677"/>
      <c r="AI45" s="677"/>
      <c r="AJ45" s="677"/>
      <c r="AK45" s="677"/>
      <c r="AL45" s="677"/>
      <c r="AM45" s="677"/>
      <c r="AN45" s="677"/>
    </row>
    <row r="46" spans="1:40" ht="16.5" customHeight="1">
      <c r="A46" s="677"/>
      <c r="B46" s="677"/>
      <c r="C46" s="677"/>
      <c r="D46" s="677"/>
      <c r="E46" s="677"/>
      <c r="F46" s="677"/>
      <c r="G46" s="677"/>
      <c r="H46" s="677"/>
      <c r="I46" s="677"/>
      <c r="J46" s="677"/>
      <c r="K46" s="677"/>
      <c r="L46" s="677"/>
      <c r="M46" s="677"/>
      <c r="N46" s="677"/>
      <c r="O46" s="677"/>
      <c r="P46" s="677"/>
      <c r="Q46" s="677"/>
      <c r="R46" s="677"/>
      <c r="S46" s="677"/>
      <c r="T46" s="687"/>
      <c r="U46" s="687"/>
      <c r="V46" s="677"/>
      <c r="W46" s="677"/>
      <c r="X46" s="677"/>
      <c r="Y46" s="677"/>
      <c r="Z46" s="677"/>
      <c r="AA46" s="677"/>
      <c r="AB46" s="677"/>
      <c r="AC46" s="677"/>
      <c r="AD46" s="677"/>
      <c r="AE46" s="677"/>
      <c r="AF46" s="677"/>
      <c r="AG46" s="677"/>
      <c r="AH46" s="677"/>
      <c r="AI46" s="677"/>
      <c r="AJ46" s="677"/>
      <c r="AK46" s="677"/>
      <c r="AL46" s="677"/>
      <c r="AM46" s="677"/>
      <c r="AN46" s="677"/>
    </row>
    <row r="47" spans="1:40" ht="16.5" customHeight="1">
      <c r="A47" s="677"/>
      <c r="B47" s="677"/>
      <c r="C47" s="677"/>
      <c r="D47" s="677"/>
      <c r="E47" s="677"/>
      <c r="F47" s="677"/>
      <c r="G47" s="677"/>
      <c r="H47" s="677"/>
      <c r="I47" s="677"/>
      <c r="J47" s="677"/>
      <c r="K47" s="677"/>
      <c r="L47" s="677"/>
      <c r="M47" s="677"/>
      <c r="N47" s="677"/>
      <c r="O47" s="677"/>
      <c r="P47" s="677"/>
      <c r="Q47" s="677"/>
      <c r="R47" s="677"/>
      <c r="S47" s="677"/>
      <c r="T47" s="687"/>
      <c r="U47" s="687"/>
      <c r="V47" s="677"/>
      <c r="W47" s="677"/>
      <c r="X47" s="677"/>
      <c r="Y47" s="677"/>
      <c r="Z47" s="677"/>
      <c r="AA47" s="677"/>
      <c r="AB47" s="677"/>
      <c r="AC47" s="677"/>
      <c r="AD47" s="677"/>
      <c r="AE47" s="677"/>
      <c r="AF47" s="677"/>
      <c r="AG47" s="677"/>
      <c r="AH47" s="677"/>
      <c r="AI47" s="677"/>
      <c r="AJ47" s="677"/>
      <c r="AK47" s="677"/>
      <c r="AL47" s="677"/>
      <c r="AM47" s="677"/>
      <c r="AN47" s="677"/>
    </row>
  </sheetData>
  <pageMargins left="0.7" right="0.7" top="0.75" bottom="0.75" header="0.3" footer="0.3"/>
  <pageSetup orientation="portrait"/>
  <headerFooter>
    <oddFooter>&amp;C&amp;"Helvetica Neue,Regular"&amp;12&amp;K000000&amp;P</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L496"/>
  <sheetViews>
    <sheetView showGridLines="0" workbookViewId="0"/>
  </sheetViews>
  <sheetFormatPr defaultColWidth="8.875" defaultRowHeight="14.25" customHeight="1"/>
  <cols>
    <col min="1" max="26" width="8.875" style="690" customWidth="1"/>
    <col min="27" max="27" width="12.375" style="690" customWidth="1"/>
    <col min="28" max="41" width="8.875" style="690" customWidth="1"/>
    <col min="42" max="42" width="13.375" style="690" customWidth="1"/>
    <col min="43" max="55" width="8.875" style="690" customWidth="1"/>
    <col min="56" max="56" width="13.375" style="690" customWidth="1"/>
    <col min="57" max="58" width="8.875" style="690" customWidth="1"/>
    <col min="59" max="59" width="14.5" style="690" customWidth="1"/>
    <col min="60" max="65" width="8.875" style="690" customWidth="1"/>
    <col min="66" max="16384" width="8.875" style="690"/>
  </cols>
  <sheetData>
    <row r="1" spans="1:64" ht="15" customHeight="1">
      <c r="A1" s="691" t="s">
        <v>333</v>
      </c>
      <c r="B1" s="589"/>
      <c r="C1" s="589"/>
      <c r="D1" s="589"/>
      <c r="E1" s="589"/>
      <c r="F1" s="589"/>
      <c r="G1" s="691" t="s">
        <v>120</v>
      </c>
      <c r="H1" s="691" t="s">
        <v>133</v>
      </c>
      <c r="I1" s="691" t="s">
        <v>153</v>
      </c>
      <c r="J1" s="691" t="s">
        <v>163</v>
      </c>
      <c r="K1" s="691" t="s">
        <v>183</v>
      </c>
      <c r="L1" s="691" t="s">
        <v>203</v>
      </c>
      <c r="M1" s="691" t="s">
        <v>223</v>
      </c>
      <c r="N1" s="691" t="s">
        <v>233</v>
      </c>
      <c r="O1" s="589"/>
      <c r="P1" s="692"/>
      <c r="Q1" s="693" t="str" cm="1">
        <f t="array" ref="Q1">RIGHT(G1,1)</f>
        <v>A</v>
      </c>
      <c r="R1" s="694" t="str" cm="1">
        <f t="array" ref="R1">RIGHT(H1,1)</f>
        <v>B</v>
      </c>
      <c r="S1" s="694" t="str" cm="1">
        <f t="array" ref="S1">RIGHT(I1,1)</f>
        <v>D</v>
      </c>
      <c r="T1" s="694" t="str" cm="1">
        <f t="array" ref="T1">RIGHT(J1,1)</f>
        <v>E</v>
      </c>
      <c r="U1" s="694" t="str" cm="1">
        <f t="array" ref="U1">RIGHT(K1,1)</f>
        <v>G</v>
      </c>
      <c r="V1" s="694" t="str" cm="1">
        <f t="array" ref="V1">RIGHT(L1,1)</f>
        <v>I</v>
      </c>
      <c r="W1" s="694" t="str" cm="1">
        <f t="array" ref="W1">RIGHT(M1,1)</f>
        <v>K</v>
      </c>
      <c r="X1" s="694" t="str" cm="1">
        <f t="array" ref="X1">RIGHT(N1,1)</f>
        <v>L</v>
      </c>
      <c r="Y1" s="589"/>
      <c r="Z1" s="589"/>
      <c r="AA1" s="575" t="s">
        <v>334</v>
      </c>
      <c r="AB1" s="589"/>
      <c r="AC1" s="695" t="s">
        <v>335</v>
      </c>
      <c r="AD1" s="696" t="str" cm="1">
        <f t="array" ref="AD1">"1"&amp;Q1</f>
        <v>1A</v>
      </c>
      <c r="AE1" s="696" t="str" cm="1">
        <f t="array" ref="AE1">"1"&amp;R1</f>
        <v>1B</v>
      </c>
      <c r="AF1" s="696" t="str" cm="1">
        <f t="array" ref="AF1">"1"&amp;S1</f>
        <v>1D</v>
      </c>
      <c r="AG1" s="696" t="str" cm="1">
        <f t="array" ref="AG1">"1"&amp;T1</f>
        <v>1E</v>
      </c>
      <c r="AH1" s="696" t="str" cm="1">
        <f t="array" ref="AH1">"1"&amp;U1</f>
        <v>1G</v>
      </c>
      <c r="AI1" s="696" t="str" cm="1">
        <f t="array" ref="AI1">"1"&amp;V1</f>
        <v>1I</v>
      </c>
      <c r="AJ1" s="696" t="str" cm="1">
        <f t="array" ref="AJ1">"1"&amp;W1</f>
        <v>1K</v>
      </c>
      <c r="AK1" s="697" t="str" cm="1">
        <f t="array" ref="AK1">"1"&amp;X1</f>
        <v>1L</v>
      </c>
      <c r="AL1" s="589"/>
      <c r="AM1" s="589"/>
      <c r="AN1" s="589"/>
      <c r="AO1" s="691" t="s">
        <v>336</v>
      </c>
      <c r="AP1" s="698"/>
      <c r="AQ1" s="699" t="s">
        <v>111</v>
      </c>
      <c r="AR1" s="700" t="s">
        <v>105</v>
      </c>
      <c r="AS1" s="700" t="s">
        <v>106</v>
      </c>
      <c r="AT1" s="700" t="s">
        <v>107</v>
      </c>
      <c r="AU1" s="700" t="s">
        <v>108</v>
      </c>
      <c r="AV1" s="700" t="s">
        <v>109</v>
      </c>
      <c r="AW1" s="700" t="s">
        <v>110</v>
      </c>
      <c r="AX1" s="701" t="s">
        <v>0</v>
      </c>
      <c r="AY1" s="702" t="s">
        <v>305</v>
      </c>
      <c r="AZ1" s="703" t="s">
        <v>100</v>
      </c>
      <c r="BA1" s="702" t="s">
        <v>337</v>
      </c>
      <c r="BB1" s="704"/>
      <c r="BC1" s="705"/>
      <c r="BD1" s="705"/>
      <c r="BE1" s="589"/>
      <c r="BF1" s="589"/>
      <c r="BG1" s="589"/>
      <c r="BH1" s="589"/>
      <c r="BI1" s="589"/>
      <c r="BJ1" s="589"/>
      <c r="BK1" s="589"/>
      <c r="BL1" s="589"/>
    </row>
    <row r="2" spans="1:64" ht="15" customHeight="1">
      <c r="A2" s="691" t="s">
        <v>338</v>
      </c>
      <c r="B2" s="589"/>
      <c r="C2" s="589"/>
      <c r="D2" s="589"/>
      <c r="E2" s="589"/>
      <c r="F2" s="591">
        <v>1</v>
      </c>
      <c r="G2" s="691" t="s">
        <v>167</v>
      </c>
      <c r="H2" s="691" t="s">
        <v>217</v>
      </c>
      <c r="I2" s="691" t="s">
        <v>207</v>
      </c>
      <c r="J2" s="691" t="s">
        <v>177</v>
      </c>
      <c r="K2" s="691" t="s">
        <v>197</v>
      </c>
      <c r="L2" s="691" t="s">
        <v>187</v>
      </c>
      <c r="M2" s="691" t="s">
        <v>237</v>
      </c>
      <c r="N2" s="691" t="s">
        <v>227</v>
      </c>
      <c r="O2" s="589"/>
      <c r="P2" s="706" cm="1">
        <f t="array" ref="P2">F2</f>
        <v>1</v>
      </c>
      <c r="Q2" s="707" t="str" cm="1">
        <f t="array" ref="Q2">RIGHT(G2,1)</f>
        <v>E</v>
      </c>
      <c r="R2" s="585" t="str" cm="1">
        <f t="array" ref="R2">RIGHT(H2,1)</f>
        <v>J</v>
      </c>
      <c r="S2" s="585" t="str" cm="1">
        <f t="array" ref="S2">RIGHT(I2,1)</f>
        <v>I</v>
      </c>
      <c r="T2" s="585" t="str" cm="1">
        <f t="array" ref="T2">RIGHT(J2,1)</f>
        <v>F</v>
      </c>
      <c r="U2" s="585" t="str" cm="1">
        <f t="array" ref="U2">RIGHT(K2,1)</f>
        <v>H</v>
      </c>
      <c r="V2" s="585" t="str" cm="1">
        <f t="array" ref="V2">RIGHT(L2,1)</f>
        <v>G</v>
      </c>
      <c r="W2" s="585" t="str" cm="1">
        <f t="array" ref="W2">RIGHT(M2,1)</f>
        <v>L</v>
      </c>
      <c r="X2" s="585" t="str" cm="1">
        <f t="array" ref="X2">RIGHT(N2,1)</f>
        <v>K</v>
      </c>
      <c r="Y2" s="708" cm="1">
        <f t="array" ref="Y2">COUNTIF($AA$2:$AA$9,Q2)+COUNTIF($AA$2:$AA$9,R2)+COUNTIF($AA$2:$AA$9,S2)+COUNTIF($AA$2:$AA$9,T2)+COUNTIF($AA$2:$AA$9,U2)+COUNTIF($AA$2:$AA$9,V2)+COUNTIF($AA$2:$AA$9,W2)+COUNTIF($AA$2:$AA$9,X2)</f>
        <v>5</v>
      </c>
      <c r="Z2" s="589"/>
      <c r="AA2" s="709" t="str" cm="1">
        <f t="array" ref="AA2">BL2</f>
        <v>i</v>
      </c>
      <c r="AB2" s="589"/>
      <c r="AC2" s="710" t="s">
        <v>339</v>
      </c>
      <c r="AD2" s="711" t="str" cm="1">
        <f t="array" ref="AD2">_xlfn.XLOOKUP(8,$Y1:$Y496,Q1:Q496,"Error",0)</f>
        <v>C</v>
      </c>
      <c r="AE2" s="711" t="str" cm="1">
        <f t="array" ref="AE2">_xlfn.XLOOKUP(8,$Y1:$Y496,R1:R496,"Error",0)</f>
        <v>J</v>
      </c>
      <c r="AF2" s="711" t="str" cm="1">
        <f t="array" ref="AF2">_xlfn.XLOOKUP(8,$Y1:$Y496,S1:S496,"Error",0)</f>
        <v>E</v>
      </c>
      <c r="AG2" s="711" t="str" cm="1">
        <f t="array" ref="AG2">_xlfn.XLOOKUP(8,$Y1:$Y496,T1:T496,"Error",0)</f>
        <v>D</v>
      </c>
      <c r="AH2" s="711" t="str" cm="1">
        <f t="array" ref="AH2">_xlfn.XLOOKUP(8,$Y1:$Y496,U1:U496,"Error",0)</f>
        <v>A</v>
      </c>
      <c r="AI2" s="711" t="str" cm="1">
        <f t="array" ref="AI2">_xlfn.XLOOKUP(8,$Y1:$Y496,V1:V496,"Error",0)</f>
        <v>F</v>
      </c>
      <c r="AJ2" s="711" t="str" cm="1">
        <f t="array" ref="AJ2">_xlfn.XLOOKUP(8,$Y1:$Y496,W1:W496,"Error",0)</f>
        <v>L</v>
      </c>
      <c r="AK2" s="711" t="str" cm="1">
        <f t="array" ref="AK2">_xlfn.XLOOKUP(8,$Y1:$Y496,X1:X496,"Error",0)</f>
        <v>I</v>
      </c>
      <c r="AL2" s="589"/>
      <c r="AM2" s="589"/>
      <c r="AN2" s="589"/>
      <c r="AO2" s="691" t="s">
        <v>125</v>
      </c>
      <c r="AP2" s="589" t="str" cm="1">
        <f t="array" ref="AP2">_xlfn.XLOOKUP($AO2,'Groups Stage'!$Y1:$Y108,'Groups Stage'!Z1:Z108,"-",0)</f>
        <v>Repubilca Checa</v>
      </c>
      <c r="AQ2" s="712" cm="1">
        <f t="array" ref="AQ2">_xlfn.XLOOKUP($AO2,'Groups Stage'!$Y1:$Y108,'Groups Stage'!AA1:AA108,"-",0)</f>
        <v>3</v>
      </c>
      <c r="AR2" s="712" cm="1">
        <f t="array" ref="AR2">_xlfn.XLOOKUP($AO2,'Groups Stage'!$Y1:$Y108,'Groups Stage'!AB1:AB108,"-",0)</f>
        <v>1</v>
      </c>
      <c r="AS2" s="712" cm="1">
        <f t="array" ref="AS2">_xlfn.XLOOKUP($AO2,'Groups Stage'!$Y1:$Y108,'Groups Stage'!AC1:AC108,"-",0)</f>
        <v>1</v>
      </c>
      <c r="AT2" s="712" cm="1">
        <f t="array" ref="AT2">_xlfn.XLOOKUP($AO2,'Groups Stage'!$Y1:$Y108,'Groups Stage'!AD1:AD108,"-",0)</f>
        <v>1</v>
      </c>
      <c r="AU2" s="712" cm="1">
        <f t="array" ref="AU2">_xlfn.XLOOKUP($AO2,'Groups Stage'!$Y1:$Y108,'Groups Stage'!AE1:AE108,"-",0)</f>
        <v>0</v>
      </c>
      <c r="AV2" s="712" cm="1">
        <f t="array" ref="AV2">_xlfn.XLOOKUP($AO2,'Groups Stage'!$Y1:$Y108,'Groups Stage'!AF1:AF108,"-",0)</f>
        <v>2</v>
      </c>
      <c r="AW2" s="712" cm="1">
        <f t="array" ref="AW2">_xlfn.XLOOKUP($AO2,'Groups Stage'!$Y1:$Y108,'Groups Stage'!AG1:AG108,"-",0)</f>
        <v>2</v>
      </c>
      <c r="AX2" s="712" cm="1">
        <f t="array" ref="AX2">AR2*3+AS2+AU2/100+AV2/10000</f>
        <v>4.0002000000000004</v>
      </c>
      <c r="AY2" s="713" cm="1">
        <f t="array" ref="AY2">AX2+ROW()/10000000000</f>
        <v>4.0002000002000004</v>
      </c>
      <c r="AZ2" s="714" t="str" cm="1">
        <f t="array" ref="AZ2">'Groups Stage'!CX2</f>
        <v xml:space="preserve"> - </v>
      </c>
      <c r="BA2" s="713" cm="1">
        <f t="array" ref="BA2">AY2+IF(AZ2="IN",1/100000000,0)</f>
        <v>4.0002000002000004</v>
      </c>
      <c r="BB2" s="705"/>
      <c r="BC2" s="715" cm="1">
        <f t="array" ref="BC2">LARGE($AY$2:$AY$13,ROW()-1)</f>
        <v>4.0105000009999996</v>
      </c>
      <c r="BD2" s="589" t="str" cm="1">
        <f t="array" ref="BD2">IF($AQ$15="DONE",_xlfn.XLOOKUP(BC2,$AY$2:$AY$13,$AP$2:$AP$13,"-",0),"--")</f>
        <v>Senegal</v>
      </c>
      <c r="BE2" s="591" cm="1">
        <f t="array" ref="BE2">_xlfn.XLOOKUP(BD2,$AP$2:$AP$13,$AX$2:$AX$13,"-",0)</f>
        <v>4.0104999999999995</v>
      </c>
      <c r="BF2" s="716" t="str" cm="1">
        <f t="array" ref="BF2">IF(COUNTIF($BE$10:$BE$13,BE2)=0,"-","x")</f>
        <v>-</v>
      </c>
      <c r="BG2" s="589" t="str" cm="1">
        <f t="array" ref="BG2">IF(BF2="x","Draw - Select","IN")</f>
        <v>IN</v>
      </c>
      <c r="BH2" s="589"/>
      <c r="BI2" s="715" cm="1">
        <f t="array" ref="BI2">LARGE($BA$2:$BA$13,ROW()-1)</f>
        <v>4.0105000009999996</v>
      </c>
      <c r="BJ2" s="589" t="str" cm="1">
        <f t="array" ref="BJ2">IF($AQ$15="DONE",_xlfn.XLOOKUP(BI2,$BA$2:$BA$13,$AP$2:$AP$13,"-",0),"--")</f>
        <v>Senegal</v>
      </c>
      <c r="BK2" s="589" t="str" cm="1">
        <f t="array" ref="BK2">IF($AQ$15="DONE",_xlfn.XLOOKUP(BI2,$BA$2:$BA$13,$AO$2:$AO$13,"-",0),"--")</f>
        <v>3I</v>
      </c>
      <c r="BL2" s="589" t="str" cm="1">
        <f t="array" ref="BL2">LOWER(RIGHT(BK2,1))</f>
        <v>i</v>
      </c>
    </row>
    <row r="3" spans="1:64" ht="15" customHeight="1">
      <c r="A3" s="691" t="s">
        <v>340</v>
      </c>
      <c r="B3" s="589"/>
      <c r="C3" s="589"/>
      <c r="D3" s="589"/>
      <c r="E3" s="589"/>
      <c r="F3" s="591">
        <v>2</v>
      </c>
      <c r="G3" s="691" t="s">
        <v>197</v>
      </c>
      <c r="H3" s="691" t="s">
        <v>187</v>
      </c>
      <c r="I3" s="691" t="s">
        <v>207</v>
      </c>
      <c r="J3" s="691" t="s">
        <v>157</v>
      </c>
      <c r="K3" s="691" t="s">
        <v>217</v>
      </c>
      <c r="L3" s="691" t="s">
        <v>177</v>
      </c>
      <c r="M3" s="691" t="s">
        <v>237</v>
      </c>
      <c r="N3" s="691" t="s">
        <v>227</v>
      </c>
      <c r="O3" s="589"/>
      <c r="P3" s="717" cm="1">
        <f t="array" ref="P3">F3</f>
        <v>2</v>
      </c>
      <c r="Q3" s="620" t="str" cm="1">
        <f t="array" ref="Q3">RIGHT(G3,1)</f>
        <v>H</v>
      </c>
      <c r="R3" s="590" t="str" cm="1">
        <f t="array" ref="R3">RIGHT(H3,1)</f>
        <v>G</v>
      </c>
      <c r="S3" s="590" t="str" cm="1">
        <f t="array" ref="S3">RIGHT(I3,1)</f>
        <v>I</v>
      </c>
      <c r="T3" s="590" t="str" cm="1">
        <f t="array" ref="T3">RIGHT(J3,1)</f>
        <v>D</v>
      </c>
      <c r="U3" s="590" t="str" cm="1">
        <f t="array" ref="U3">RIGHT(K3,1)</f>
        <v>J</v>
      </c>
      <c r="V3" s="590" t="str" cm="1">
        <f t="array" ref="V3">RIGHT(L3,1)</f>
        <v>F</v>
      </c>
      <c r="W3" s="590" t="str" cm="1">
        <f t="array" ref="W3">RIGHT(M3,1)</f>
        <v>L</v>
      </c>
      <c r="X3" s="590" t="str" cm="1">
        <f t="array" ref="X3">RIGHT(N3,1)</f>
        <v>K</v>
      </c>
      <c r="Y3" s="708" cm="1">
        <f t="array" ref="Y3">COUNTIF($AA$2:$AA$9,Q3)+COUNTIF($AA$2:$AA$9,R3)+COUNTIF($AA$2:$AA$9,S3)+COUNTIF($AA$2:$AA$9,T3)+COUNTIF($AA$2:$AA$9,U3)+COUNTIF($AA$2:$AA$9,V3)+COUNTIF($AA$2:$AA$9,W3)+COUNTIF($AA$2:$AA$9,X3)</f>
        <v>5</v>
      </c>
      <c r="Z3" s="589"/>
      <c r="AA3" s="718" t="str" cm="1">
        <f t="array" ref="AA3">BL3</f>
        <v>l</v>
      </c>
      <c r="AB3" s="589"/>
      <c r="AC3" s="716"/>
      <c r="AD3" s="716" t="str" cm="1">
        <f t="array" ref="AD3">"3"&amp;AD2</f>
        <v>3C</v>
      </c>
      <c r="AE3" s="716" t="str" cm="1">
        <f t="array" ref="AE3">"3"&amp;AE2</f>
        <v>3J</v>
      </c>
      <c r="AF3" s="716" t="str" cm="1">
        <f t="array" ref="AF3">"3"&amp;AF2</f>
        <v>3E</v>
      </c>
      <c r="AG3" s="716" t="str" cm="1">
        <f t="array" ref="AG3">"3"&amp;AG2</f>
        <v>3D</v>
      </c>
      <c r="AH3" s="716" t="str" cm="1">
        <f t="array" ref="AH3">"3"&amp;AH2</f>
        <v>3A</v>
      </c>
      <c r="AI3" s="716" t="str" cm="1">
        <f t="array" ref="AI3">"3"&amp;AI2</f>
        <v>3F</v>
      </c>
      <c r="AJ3" s="716" t="str" cm="1">
        <f t="array" ref="AJ3">"3"&amp;AJ2</f>
        <v>3L</v>
      </c>
      <c r="AK3" s="716" t="str" cm="1">
        <f t="array" ref="AK3">"3"&amp;AK2</f>
        <v>3I</v>
      </c>
      <c r="AL3" s="589"/>
      <c r="AM3" s="589"/>
      <c r="AN3" s="589"/>
      <c r="AO3" s="691" t="s">
        <v>137</v>
      </c>
      <c r="AP3" s="589" t="str" cm="1">
        <f t="array" ref="AP3">_xlfn.XLOOKUP($AO3,'Groups Stage'!$Y1:$Y108,'Groups Stage'!Z1:Z108,"-",0)</f>
        <v>Bosnia</v>
      </c>
      <c r="AQ3" s="719" cm="1">
        <f t="array" ref="AQ3">_xlfn.XLOOKUP($AO3,'Groups Stage'!$Y1:$Y108,'Groups Stage'!AA1:AA108,"-",0)</f>
        <v>3</v>
      </c>
      <c r="AR3" s="719" cm="1">
        <f t="array" ref="AR3">_xlfn.XLOOKUP($AO3,'Groups Stage'!$Y1:$Y108,'Groups Stage'!AB1:AB108,"-",0)</f>
        <v>0</v>
      </c>
      <c r="AS3" s="719" cm="1">
        <f t="array" ref="AS3">_xlfn.XLOOKUP($AO3,'Groups Stage'!$Y1:$Y108,'Groups Stage'!AC1:AC108,"-",0)</f>
        <v>1</v>
      </c>
      <c r="AT3" s="719" cm="1">
        <f t="array" ref="AT3">_xlfn.XLOOKUP($AO3,'Groups Stage'!$Y1:$Y108,'Groups Stage'!AD1:AD108,"-",0)</f>
        <v>2</v>
      </c>
      <c r="AU3" s="719" cm="1">
        <f t="array" ref="AU3">_xlfn.XLOOKUP($AO3,'Groups Stage'!$Y1:$Y108,'Groups Stage'!AE1:AE108,"-",0)</f>
        <v>-2</v>
      </c>
      <c r="AV3" s="719" cm="1">
        <f t="array" ref="AV3">_xlfn.XLOOKUP($AO3,'Groups Stage'!$Y1:$Y108,'Groups Stage'!AF1:AF108,"-",0)</f>
        <v>1</v>
      </c>
      <c r="AW3" s="719" cm="1">
        <f t="array" ref="AW3">_xlfn.XLOOKUP($AO3,'Groups Stage'!$Y1:$Y108,'Groups Stage'!AG1:AG108,"-",0)</f>
        <v>3</v>
      </c>
      <c r="AX3" s="719" cm="1">
        <f t="array" ref="AX3">AR3*3+AS3+AU3/100+AV3/10000</f>
        <v>0.98009999999999997</v>
      </c>
      <c r="AY3" s="715" cm="1">
        <f t="array" ref="AY3">AX3+ROW()/10000000000</f>
        <v>0.9801000003</v>
      </c>
      <c r="AZ3" s="720" t="str" cm="1">
        <f t="array" ref="AZ3">'Groups Stage'!CX3</f>
        <v xml:space="preserve"> - </v>
      </c>
      <c r="BA3" s="715" cm="1">
        <f t="array" ref="BA3">AY3+IF(AZ3="IN",1/100000000,0)</f>
        <v>0.9801000003</v>
      </c>
      <c r="BB3" s="705"/>
      <c r="BC3" s="715" cm="1">
        <f t="array" ref="BC3">LARGE($AY$2:$AY$13,ROW()-1)</f>
        <v>4.0004000013000001</v>
      </c>
      <c r="BD3" s="589" t="str" cm="1">
        <f t="array" ref="BD3">IF($AQ$15="DONE",_xlfn.XLOOKUP(BC3,$AY$2:$AY$13,$AP$2:$AP$13,"-",0),"--")</f>
        <v>Ghana</v>
      </c>
      <c r="BE3" s="591" cm="1">
        <f t="array" ref="BE3">_xlfn.XLOOKUP(BD3,$AP$2:$AP$13,$AX$2:$AX$13,"-",0)</f>
        <v>4.0004</v>
      </c>
      <c r="BF3" s="716" t="str" cm="1">
        <f t="array" ref="BF3">IF(COUNTIF($BE$10:$BE$13,BE3)=0,"-","x")</f>
        <v>-</v>
      </c>
      <c r="BG3" s="589" t="str" cm="1">
        <f t="array" ref="BG3">IF(BF3="x","Draw - Select","IN")</f>
        <v>IN</v>
      </c>
      <c r="BH3" s="589"/>
      <c r="BI3" s="715" cm="1">
        <f t="array" ref="BI3">LARGE($BA$2:$BA$13,ROW()-1)</f>
        <v>4.0004000013000001</v>
      </c>
      <c r="BJ3" s="589" t="str" cm="1">
        <f t="array" ref="BJ3">IF($AQ$15="DONE",_xlfn.XLOOKUP(BI3,$BA$2:$BA$13,$AP$2:$AP$13,"-",0),"--")</f>
        <v>Ghana</v>
      </c>
      <c r="BK3" s="589" t="str" cm="1">
        <f t="array" ref="BK3">IF($AQ$15="DONE",_xlfn.XLOOKUP(BI3,$BA$2:$BA$13,$AO$2:$AO$13,"-",0),"--")</f>
        <v>3L</v>
      </c>
      <c r="BL3" s="589" t="str" cm="1">
        <f t="array" ref="BL3">LOWER(RIGHT(BK3,1))</f>
        <v>l</v>
      </c>
    </row>
    <row r="4" spans="1:64" ht="15" customHeight="1">
      <c r="A4" s="691" t="s">
        <v>341</v>
      </c>
      <c r="B4" s="589"/>
      <c r="C4" s="589"/>
      <c r="D4" s="589"/>
      <c r="E4" s="589"/>
      <c r="F4" s="591">
        <v>3</v>
      </c>
      <c r="G4" s="691" t="s">
        <v>167</v>
      </c>
      <c r="H4" s="691" t="s">
        <v>217</v>
      </c>
      <c r="I4" s="691" t="s">
        <v>207</v>
      </c>
      <c r="J4" s="691" t="s">
        <v>157</v>
      </c>
      <c r="K4" s="691" t="s">
        <v>197</v>
      </c>
      <c r="L4" s="691" t="s">
        <v>187</v>
      </c>
      <c r="M4" s="691" t="s">
        <v>237</v>
      </c>
      <c r="N4" s="691" t="s">
        <v>227</v>
      </c>
      <c r="O4" s="589"/>
      <c r="P4" s="717" cm="1">
        <f t="array" ref="P4">F4</f>
        <v>3</v>
      </c>
      <c r="Q4" s="620" t="str" cm="1">
        <f t="array" ref="Q4">RIGHT(G4,1)</f>
        <v>E</v>
      </c>
      <c r="R4" s="590" t="str" cm="1">
        <f t="array" ref="R4">RIGHT(H4,1)</f>
        <v>J</v>
      </c>
      <c r="S4" s="590" t="str" cm="1">
        <f t="array" ref="S4">RIGHT(I4,1)</f>
        <v>I</v>
      </c>
      <c r="T4" s="590" t="str" cm="1">
        <f t="array" ref="T4">RIGHT(J4,1)</f>
        <v>D</v>
      </c>
      <c r="U4" s="590" t="str" cm="1">
        <f t="array" ref="U4">RIGHT(K4,1)</f>
        <v>H</v>
      </c>
      <c r="V4" s="590" t="str" cm="1">
        <f t="array" ref="V4">RIGHT(L4,1)</f>
        <v>G</v>
      </c>
      <c r="W4" s="590" t="str" cm="1">
        <f t="array" ref="W4">RIGHT(M4,1)</f>
        <v>L</v>
      </c>
      <c r="X4" s="590" t="str" cm="1">
        <f t="array" ref="X4">RIGHT(N4,1)</f>
        <v>K</v>
      </c>
      <c r="Y4" s="708" cm="1">
        <f t="array" ref="Y4">COUNTIF($AA$2:$AA$9,Q4)+COUNTIF($AA$2:$AA$9,R4)+COUNTIF($AA$2:$AA$9,S4)+COUNTIF($AA$2:$AA$9,T4)+COUNTIF($AA$2:$AA$9,U4)+COUNTIF($AA$2:$AA$9,V4)+COUNTIF($AA$2:$AA$9,W4)+COUNTIF($AA$2:$AA$9,X4)</f>
        <v>5</v>
      </c>
      <c r="Z4" s="589"/>
      <c r="AA4" s="718" t="str" cm="1">
        <f t="array" ref="AA4">BL4</f>
        <v>f</v>
      </c>
      <c r="AB4" s="589"/>
      <c r="AC4" s="716"/>
      <c r="AD4" s="589"/>
      <c r="AE4" s="589"/>
      <c r="AF4" s="589"/>
      <c r="AG4" s="589"/>
      <c r="AH4" s="589"/>
      <c r="AI4" s="589"/>
      <c r="AJ4" s="589"/>
      <c r="AK4" s="589"/>
      <c r="AL4" s="589"/>
      <c r="AM4" s="589"/>
      <c r="AN4" s="589"/>
      <c r="AO4" s="691" t="s">
        <v>147</v>
      </c>
      <c r="AP4" s="589" t="str" cm="1">
        <f t="array" ref="AP4">_xlfn.XLOOKUP($AO4,'Groups Stage'!$Y1:$Y108,'Groups Stage'!Z1:Z108,"-",0)</f>
        <v>Escocia</v>
      </c>
      <c r="AQ4" s="719" cm="1">
        <f t="array" ref="AQ4">_xlfn.XLOOKUP($AO4,'Groups Stage'!$Y1:$Y108,'Groups Stage'!AA1:AA108,"-",0)</f>
        <v>3</v>
      </c>
      <c r="AR4" s="719" cm="1">
        <f t="array" ref="AR4">_xlfn.XLOOKUP($AO4,'Groups Stage'!$Y1:$Y108,'Groups Stage'!AB1:AB108,"-",0)</f>
        <v>1</v>
      </c>
      <c r="AS4" s="719" cm="1">
        <f t="array" ref="AS4">_xlfn.XLOOKUP($AO4,'Groups Stage'!$Y1:$Y108,'Groups Stage'!AC1:AC108,"-",0)</f>
        <v>0</v>
      </c>
      <c r="AT4" s="719" cm="1">
        <f t="array" ref="AT4">_xlfn.XLOOKUP($AO4,'Groups Stage'!$Y1:$Y108,'Groups Stage'!AD1:AD108,"-",0)</f>
        <v>2</v>
      </c>
      <c r="AU4" s="719" cm="1">
        <f t="array" ref="AU4">_xlfn.XLOOKUP($AO4,'Groups Stage'!$Y1:$Y108,'Groups Stage'!AE1:AE108,"-",0)</f>
        <v>1</v>
      </c>
      <c r="AV4" s="719" cm="1">
        <f t="array" ref="AV4">_xlfn.XLOOKUP($AO4,'Groups Stage'!$Y1:$Y108,'Groups Stage'!AF1:AF108,"-",0)</f>
        <v>5</v>
      </c>
      <c r="AW4" s="719" cm="1">
        <f t="array" ref="AW4">_xlfn.XLOOKUP($AO4,'Groups Stage'!$Y1:$Y108,'Groups Stage'!AG1:AG108,"-",0)</f>
        <v>4</v>
      </c>
      <c r="AX4" s="719" cm="1">
        <f t="array" ref="AX4">AR4*3+AS4+AU4/100+AV4/10000</f>
        <v>3.0105</v>
      </c>
      <c r="AY4" s="715" cm="1">
        <f t="array" ref="AY4">AX4+ROW()/10000000000</f>
        <v>3.0105000004</v>
      </c>
      <c r="AZ4" s="721" cm="1">
        <f t="array" ref="AZ4">'Groups Stage'!CX4</f>
        <v>0</v>
      </c>
      <c r="BA4" s="715" cm="1">
        <f t="array" ref="BA4">AY4+IF(AZ4="IN",1/100000000,0)</f>
        <v>3.0105000004</v>
      </c>
      <c r="BB4" s="705"/>
      <c r="BC4" s="715" cm="1">
        <f t="array" ref="BC4">LARGE($AY$2:$AY$13,ROW()-1)</f>
        <v>4.0003000007000002</v>
      </c>
      <c r="BD4" s="589" t="str" cm="1">
        <f t="array" ref="BD4">IF($AQ$15="DONE",_xlfn.XLOOKUP(BC4,$AY$2:$AY$13,$AP$2:$AP$13,"-",0),"--")</f>
        <v>Suecia</v>
      </c>
      <c r="BE4" s="591" cm="1">
        <f t="array" ref="BE4">_xlfn.XLOOKUP(BD4,$AP$2:$AP$13,$AX$2:$AX$13,"-",0)</f>
        <v>4.0003000000000002</v>
      </c>
      <c r="BF4" s="716" t="str" cm="1">
        <f t="array" ref="BF4">IF(COUNTIF($BE$10:$BE$13,BE4)=0,"-","x")</f>
        <v>-</v>
      </c>
      <c r="BG4" s="589" t="str" cm="1">
        <f t="array" ref="BG4">IF(BF4="x","Draw - Select","IN")</f>
        <v>IN</v>
      </c>
      <c r="BH4" s="589"/>
      <c r="BI4" s="715" cm="1">
        <f t="array" ref="BI4">LARGE($BA$2:$BA$13,ROW()-1)</f>
        <v>4.0003000007000002</v>
      </c>
      <c r="BJ4" s="589" t="str" cm="1">
        <f t="array" ref="BJ4">IF($AQ$15="DONE",_xlfn.XLOOKUP(BI4,$BA$2:$BA$13,$AP$2:$AP$13,"-",0),"--")</f>
        <v>Suecia</v>
      </c>
      <c r="BK4" s="589" t="str" cm="1">
        <f t="array" ref="BK4">IF($AQ$15="DONE",_xlfn.XLOOKUP(BI4,$BA$2:$BA$13,$AO$2:$AO$13,"-",0),"--")</f>
        <v>3F</v>
      </c>
      <c r="BL4" s="589" t="str" cm="1">
        <f t="array" ref="BL4">LOWER(RIGHT(BK4,1))</f>
        <v>f</v>
      </c>
    </row>
    <row r="5" spans="1:64" ht="15" customHeight="1">
      <c r="A5" s="691" t="s">
        <v>342</v>
      </c>
      <c r="B5" s="589"/>
      <c r="C5" s="589"/>
      <c r="D5" s="589"/>
      <c r="E5" s="589"/>
      <c r="F5" s="591">
        <v>4</v>
      </c>
      <c r="G5" s="691" t="s">
        <v>167</v>
      </c>
      <c r="H5" s="691" t="s">
        <v>217</v>
      </c>
      <c r="I5" s="691" t="s">
        <v>207</v>
      </c>
      <c r="J5" s="691" t="s">
        <v>157</v>
      </c>
      <c r="K5" s="691" t="s">
        <v>197</v>
      </c>
      <c r="L5" s="691" t="s">
        <v>177</v>
      </c>
      <c r="M5" s="691" t="s">
        <v>237</v>
      </c>
      <c r="N5" s="691" t="s">
        <v>227</v>
      </c>
      <c r="O5" s="589"/>
      <c r="P5" s="717" cm="1">
        <f t="array" ref="P5">F5</f>
        <v>4</v>
      </c>
      <c r="Q5" s="620" t="str" cm="1">
        <f t="array" ref="Q5">RIGHT(G5,1)</f>
        <v>E</v>
      </c>
      <c r="R5" s="590" t="str" cm="1">
        <f t="array" ref="R5">RIGHT(H5,1)</f>
        <v>J</v>
      </c>
      <c r="S5" s="590" t="str" cm="1">
        <f t="array" ref="S5">RIGHT(I5,1)</f>
        <v>I</v>
      </c>
      <c r="T5" s="590" t="str" cm="1">
        <f t="array" ref="T5">RIGHT(J5,1)</f>
        <v>D</v>
      </c>
      <c r="U5" s="590" t="str" cm="1">
        <f t="array" ref="U5">RIGHT(K5,1)</f>
        <v>H</v>
      </c>
      <c r="V5" s="590" t="str" cm="1">
        <f t="array" ref="V5">RIGHT(L5,1)</f>
        <v>F</v>
      </c>
      <c r="W5" s="590" t="str" cm="1">
        <f t="array" ref="W5">RIGHT(M5,1)</f>
        <v>L</v>
      </c>
      <c r="X5" s="590" t="str" cm="1">
        <f t="array" ref="X5">RIGHT(N5,1)</f>
        <v>K</v>
      </c>
      <c r="Y5" s="708" cm="1">
        <f t="array" ref="Y5">COUNTIF($AA$2:$AA$9,Q5)+COUNTIF($AA$2:$AA$9,R5)+COUNTIF($AA$2:$AA$9,S5)+COUNTIF($AA$2:$AA$9,T5)+COUNTIF($AA$2:$AA$9,U5)+COUNTIF($AA$2:$AA$9,V5)+COUNTIF($AA$2:$AA$9,W5)+COUNTIF($AA$2:$AA$9,X5)</f>
        <v>6</v>
      </c>
      <c r="Z5" s="589"/>
      <c r="AA5" s="718" t="str" cm="1">
        <f t="array" ref="AA5">BL5</f>
        <v>e</v>
      </c>
      <c r="AB5" s="589"/>
      <c r="AC5" s="716"/>
      <c r="AD5" s="589"/>
      <c r="AE5" s="589"/>
      <c r="AF5" s="589"/>
      <c r="AG5" s="589"/>
      <c r="AH5" s="589"/>
      <c r="AI5" s="589"/>
      <c r="AJ5" s="589"/>
      <c r="AK5" s="589"/>
      <c r="AL5" s="589"/>
      <c r="AM5" s="589"/>
      <c r="AN5" s="589"/>
      <c r="AO5" s="691" t="s">
        <v>157</v>
      </c>
      <c r="AP5" s="589" t="str" cm="1">
        <f t="array" ref="AP5">_xlfn.XLOOKUP($AO5,'Groups Stage'!$Y1:$Y108,'Groups Stage'!Z1:Z108,"-",0)</f>
        <v>Turquia</v>
      </c>
      <c r="AQ5" s="719" cm="1">
        <f t="array" ref="AQ5">_xlfn.XLOOKUP($AO5,'Groups Stage'!$Y1:$Y108,'Groups Stage'!AA1:AA108,"-",0)</f>
        <v>3</v>
      </c>
      <c r="AR5" s="719" cm="1">
        <f t="array" ref="AR5">_xlfn.XLOOKUP($AO5,'Groups Stage'!$Y1:$Y108,'Groups Stage'!AB1:AB108,"-",0)</f>
        <v>1</v>
      </c>
      <c r="AS5" s="719" cm="1">
        <f t="array" ref="AS5">_xlfn.XLOOKUP($AO5,'Groups Stage'!$Y1:$Y108,'Groups Stage'!AC1:AC108,"-",0)</f>
        <v>1</v>
      </c>
      <c r="AT5" s="719" cm="1">
        <f t="array" ref="AT5">_xlfn.XLOOKUP($AO5,'Groups Stage'!$Y1:$Y108,'Groups Stage'!AD1:AD108,"-",0)</f>
        <v>1</v>
      </c>
      <c r="AU5" s="719" cm="1">
        <f t="array" ref="AU5">_xlfn.XLOOKUP($AO5,'Groups Stage'!$Y1:$Y108,'Groups Stage'!AE1:AE108,"-",0)</f>
        <v>0</v>
      </c>
      <c r="AV5" s="719" cm="1">
        <f t="array" ref="AV5">_xlfn.XLOOKUP($AO5,'Groups Stage'!$Y1:$Y108,'Groups Stage'!AF1:AF108,"-",0)</f>
        <v>2</v>
      </c>
      <c r="AW5" s="719" cm="1">
        <f t="array" ref="AW5">_xlfn.XLOOKUP($AO5,'Groups Stage'!$Y1:$Y108,'Groups Stage'!AG1:AG108,"-",0)</f>
        <v>2</v>
      </c>
      <c r="AX5" s="719" cm="1">
        <f t="array" ref="AX5">AR5*3+AS5+AU5/100+AV5/10000</f>
        <v>4.0002000000000004</v>
      </c>
      <c r="AY5" s="715" cm="1">
        <f t="array" ref="AY5">AX5+ROW()/10000000000</f>
        <v>4.0002000005000005</v>
      </c>
      <c r="AZ5" s="720" t="str" cm="1">
        <f t="array" ref="AZ5">'Groups Stage'!CX5</f>
        <v xml:space="preserve"> - </v>
      </c>
      <c r="BA5" s="715" cm="1">
        <f t="array" ref="BA5">AY5+IF(AZ5="IN",1/100000000,0)</f>
        <v>4.0002000005000005</v>
      </c>
      <c r="BB5" s="705"/>
      <c r="BC5" s="715" cm="1">
        <f t="array" ref="BC5">LARGE($AY$2:$AY$13,ROW()-1)</f>
        <v>4.0003000006000002</v>
      </c>
      <c r="BD5" s="589" t="str" cm="1">
        <f t="array" ref="BD5">IF($AQ$15="DONE",_xlfn.XLOOKUP(BC5,$AY$2:$AY$13,$AP$2:$AP$13,"-",0),"--")</f>
        <v>Costa de Marfil</v>
      </c>
      <c r="BE5" s="591" cm="1">
        <f t="array" ref="BE5">_xlfn.XLOOKUP(BD5,$AP$2:$AP$13,$AX$2:$AX$13,"-",0)</f>
        <v>4.0003000000000002</v>
      </c>
      <c r="BF5" s="716" t="str" cm="1">
        <f t="array" ref="BF5">IF(COUNTIF($BE$10:$BE$13,BE5)=0,"-","x")</f>
        <v>-</v>
      </c>
      <c r="BG5" s="589" t="str" cm="1">
        <f t="array" ref="BG5">IF(BF5="x","Draw - Select","IN")</f>
        <v>IN</v>
      </c>
      <c r="BH5" s="589"/>
      <c r="BI5" s="715" cm="1">
        <f t="array" ref="BI5">LARGE($BA$2:$BA$13,ROW()-1)</f>
        <v>4.0003000006000002</v>
      </c>
      <c r="BJ5" s="589" t="str" cm="1">
        <f t="array" ref="BJ5">IF($AQ$15="DONE",_xlfn.XLOOKUP(BI5,$BA$2:$BA$13,$AP$2:$AP$13,"-",0),"--")</f>
        <v>Costa de Marfil</v>
      </c>
      <c r="BK5" s="589" t="str" cm="1">
        <f t="array" ref="BK5">IF($AQ$15="DONE",_xlfn.XLOOKUP(BI5,$BA$2:$BA$13,$AO$2:$AO$13,"-",0),"--")</f>
        <v>3E</v>
      </c>
      <c r="BL5" s="589" t="str" cm="1">
        <f t="array" ref="BL5">LOWER(RIGHT(BK5,1))</f>
        <v>e</v>
      </c>
    </row>
    <row r="6" spans="1:64" ht="15" customHeight="1">
      <c r="A6" s="691" t="s">
        <v>343</v>
      </c>
      <c r="B6" s="589"/>
      <c r="C6" s="589"/>
      <c r="D6" s="589"/>
      <c r="E6" s="589"/>
      <c r="F6" s="591">
        <v>5</v>
      </c>
      <c r="G6" s="691" t="s">
        <v>167</v>
      </c>
      <c r="H6" s="691" t="s">
        <v>187</v>
      </c>
      <c r="I6" s="691" t="s">
        <v>207</v>
      </c>
      <c r="J6" s="691" t="s">
        <v>157</v>
      </c>
      <c r="K6" s="691" t="s">
        <v>217</v>
      </c>
      <c r="L6" s="691" t="s">
        <v>177</v>
      </c>
      <c r="M6" s="691" t="s">
        <v>237</v>
      </c>
      <c r="N6" s="691" t="s">
        <v>227</v>
      </c>
      <c r="O6" s="589"/>
      <c r="P6" s="717" cm="1">
        <f t="array" ref="P6">F6</f>
        <v>5</v>
      </c>
      <c r="Q6" s="620" t="str" cm="1">
        <f t="array" ref="Q6">RIGHT(G6,1)</f>
        <v>E</v>
      </c>
      <c r="R6" s="590" t="str" cm="1">
        <f t="array" ref="R6">RIGHT(H6,1)</f>
        <v>G</v>
      </c>
      <c r="S6" s="590" t="str" cm="1">
        <f t="array" ref="S6">RIGHT(I6,1)</f>
        <v>I</v>
      </c>
      <c r="T6" s="590" t="str" cm="1">
        <f t="array" ref="T6">RIGHT(J6,1)</f>
        <v>D</v>
      </c>
      <c r="U6" s="590" t="str" cm="1">
        <f t="array" ref="U6">RIGHT(K6,1)</f>
        <v>J</v>
      </c>
      <c r="V6" s="590" t="str" cm="1">
        <f t="array" ref="V6">RIGHT(L6,1)</f>
        <v>F</v>
      </c>
      <c r="W6" s="590" t="str" cm="1">
        <f t="array" ref="W6">RIGHT(M6,1)</f>
        <v>L</v>
      </c>
      <c r="X6" s="590" t="str" cm="1">
        <f t="array" ref="X6">RIGHT(N6,1)</f>
        <v>K</v>
      </c>
      <c r="Y6" s="708" cm="1">
        <f t="array" ref="Y6">COUNTIF($AA$2:$AA$9,Q6)+COUNTIF($AA$2:$AA$9,R6)+COUNTIF($AA$2:$AA$9,S6)+COUNTIF($AA$2:$AA$9,T6)+COUNTIF($AA$2:$AA$9,U6)+COUNTIF($AA$2:$AA$9,V6)+COUNTIF($AA$2:$AA$9,W6)+COUNTIF($AA$2:$AA$9,X6)</f>
        <v>6</v>
      </c>
      <c r="Z6" s="589"/>
      <c r="AA6" s="718" t="str" cm="1">
        <f t="array" ref="AA6">BL6</f>
        <v>d</v>
      </c>
      <c r="AB6" s="589"/>
      <c r="AC6" s="716"/>
      <c r="AD6" s="589"/>
      <c r="AE6" s="589"/>
      <c r="AF6" s="589"/>
      <c r="AG6" s="589"/>
      <c r="AH6" s="589"/>
      <c r="AI6" s="589"/>
      <c r="AJ6" s="589"/>
      <c r="AK6" s="589"/>
      <c r="AL6" s="589"/>
      <c r="AM6" s="589"/>
      <c r="AN6" s="589"/>
      <c r="AO6" s="691" t="s">
        <v>167</v>
      </c>
      <c r="AP6" s="589" t="str" cm="1">
        <f t="array" ref="AP6">_xlfn.XLOOKUP($AO6,'Groups Stage'!$Y1:$Y108,'Groups Stage'!Z1:Z108,"-",0)</f>
        <v>Costa de Marfil</v>
      </c>
      <c r="AQ6" s="719" cm="1">
        <f t="array" ref="AQ6">_xlfn.XLOOKUP($AO6,'Groups Stage'!$Y1:$Y108,'Groups Stage'!AA1:AA108,"-",0)</f>
        <v>3</v>
      </c>
      <c r="AR6" s="719" cm="1">
        <f t="array" ref="AR6">_xlfn.XLOOKUP($AO6,'Groups Stage'!$Y1:$Y108,'Groups Stage'!AB1:AB108,"-",0)</f>
        <v>1</v>
      </c>
      <c r="AS6" s="719" cm="1">
        <f t="array" ref="AS6">_xlfn.XLOOKUP($AO6,'Groups Stage'!$Y1:$Y108,'Groups Stage'!AC1:AC108,"-",0)</f>
        <v>1</v>
      </c>
      <c r="AT6" s="719" cm="1">
        <f t="array" ref="AT6">_xlfn.XLOOKUP($AO6,'Groups Stage'!$Y1:$Y108,'Groups Stage'!AD1:AD108,"-",0)</f>
        <v>1</v>
      </c>
      <c r="AU6" s="719" cm="1">
        <f t="array" ref="AU6">_xlfn.XLOOKUP($AO6,'Groups Stage'!$Y1:$Y108,'Groups Stage'!AE1:AE108,"-",0)</f>
        <v>0</v>
      </c>
      <c r="AV6" s="719" cm="1">
        <f t="array" ref="AV6">_xlfn.XLOOKUP($AO6,'Groups Stage'!$Y1:$Y108,'Groups Stage'!AF1:AF108,"-",0)</f>
        <v>3</v>
      </c>
      <c r="AW6" s="719" cm="1">
        <f t="array" ref="AW6">_xlfn.XLOOKUP($AO6,'Groups Stage'!$Y1:$Y108,'Groups Stage'!AG1:AG108,"-",0)</f>
        <v>3</v>
      </c>
      <c r="AX6" s="719" cm="1">
        <f t="array" ref="AX6">AR6*3+AS6+AU6/100+AV6/10000</f>
        <v>4.0003000000000002</v>
      </c>
      <c r="AY6" s="715" cm="1">
        <f t="array" ref="AY6">AX6+ROW()/10000000000</f>
        <v>4.0003000006000002</v>
      </c>
      <c r="AZ6" s="720" t="str" cm="1">
        <f t="array" ref="AZ6">'Groups Stage'!CX6</f>
        <v xml:space="preserve"> - </v>
      </c>
      <c r="BA6" s="715" cm="1">
        <f t="array" ref="BA6">AY6+IF(AZ6="IN",1/100000000,0)</f>
        <v>4.0003000006000002</v>
      </c>
      <c r="BB6" s="705"/>
      <c r="BC6" s="715" cm="1">
        <f t="array" ref="BC6">LARGE($AY$2:$AY$13,ROW()-1)</f>
        <v>4.0002000005000005</v>
      </c>
      <c r="BD6" s="589" t="str" cm="1">
        <f t="array" ref="BD6">IF($AQ$15="DONE",_xlfn.XLOOKUP(BC6,$AY$2:$AY$13,$AP$2:$AP$13,"-",0),"--")</f>
        <v>Turquia</v>
      </c>
      <c r="BE6" s="591" cm="1">
        <f t="array" ref="BE6">_xlfn.XLOOKUP(BD6,$AP$2:$AP$13,$AX$2:$AX$13,"-",0)</f>
        <v>4.0002000000000004</v>
      </c>
      <c r="BF6" s="716" t="str" cm="1">
        <f t="array" ref="BF6">IF(COUNTIF($BE$10:$BE$13,BE6)=0,"-","x")</f>
        <v>-</v>
      </c>
      <c r="BG6" s="589" t="str" cm="1">
        <f t="array" ref="BG6">IF(BF6="x","Draw - Select","IN")</f>
        <v>IN</v>
      </c>
      <c r="BH6" s="589"/>
      <c r="BI6" s="715" cm="1">
        <f t="array" ref="BI6">LARGE($BA$2:$BA$13,ROW()-1)</f>
        <v>4.0002000005000005</v>
      </c>
      <c r="BJ6" s="589" t="str" cm="1">
        <f t="array" ref="BJ6">IF($AQ$15="DONE",_xlfn.XLOOKUP(BI6,$BA$2:$BA$13,$AP$2:$AP$13,"-",0),"--")</f>
        <v>Turquia</v>
      </c>
      <c r="BK6" s="589" t="str" cm="1">
        <f t="array" ref="BK6">IF($AQ$15="DONE",_xlfn.XLOOKUP(BI6,$BA$2:$BA$13,$AO$2:$AO$13,"-",0),"--")</f>
        <v>3D</v>
      </c>
      <c r="BL6" s="589" t="str" cm="1">
        <f t="array" ref="BL6">LOWER(RIGHT(BK6,1))</f>
        <v>d</v>
      </c>
    </row>
    <row r="7" spans="1:64" ht="15" customHeight="1">
      <c r="A7" s="691" t="s">
        <v>344</v>
      </c>
      <c r="B7" s="589"/>
      <c r="C7" s="589"/>
      <c r="D7" s="589"/>
      <c r="E7" s="589"/>
      <c r="F7" s="591">
        <v>6</v>
      </c>
      <c r="G7" s="691" t="s">
        <v>167</v>
      </c>
      <c r="H7" s="691" t="s">
        <v>187</v>
      </c>
      <c r="I7" s="691" t="s">
        <v>217</v>
      </c>
      <c r="J7" s="691" t="s">
        <v>157</v>
      </c>
      <c r="K7" s="691" t="s">
        <v>197</v>
      </c>
      <c r="L7" s="691" t="s">
        <v>177</v>
      </c>
      <c r="M7" s="691" t="s">
        <v>237</v>
      </c>
      <c r="N7" s="691" t="s">
        <v>227</v>
      </c>
      <c r="O7" s="589"/>
      <c r="P7" s="717" cm="1">
        <f t="array" ref="P7">F7</f>
        <v>6</v>
      </c>
      <c r="Q7" s="620" t="str" cm="1">
        <f t="array" ref="Q7">RIGHT(G7,1)</f>
        <v>E</v>
      </c>
      <c r="R7" s="590" t="str" cm="1">
        <f t="array" ref="R7">RIGHT(H7,1)</f>
        <v>G</v>
      </c>
      <c r="S7" s="590" t="str" cm="1">
        <f t="array" ref="S7">RIGHT(I7,1)</f>
        <v>J</v>
      </c>
      <c r="T7" s="590" t="str" cm="1">
        <f t="array" ref="T7">RIGHT(J7,1)</f>
        <v>D</v>
      </c>
      <c r="U7" s="590" t="str" cm="1">
        <f t="array" ref="U7">RIGHT(K7,1)</f>
        <v>H</v>
      </c>
      <c r="V7" s="590" t="str" cm="1">
        <f t="array" ref="V7">RIGHT(L7,1)</f>
        <v>F</v>
      </c>
      <c r="W7" s="590" t="str" cm="1">
        <f t="array" ref="W7">RIGHT(M7,1)</f>
        <v>L</v>
      </c>
      <c r="X7" s="590" t="str" cm="1">
        <f t="array" ref="X7">RIGHT(N7,1)</f>
        <v>K</v>
      </c>
      <c r="Y7" s="708" cm="1">
        <f t="array" ref="Y7">COUNTIF($AA$2:$AA$9,Q7)+COUNTIF($AA$2:$AA$9,R7)+COUNTIF($AA$2:$AA$9,S7)+COUNTIF($AA$2:$AA$9,T7)+COUNTIF($AA$2:$AA$9,U7)+COUNTIF($AA$2:$AA$9,V7)+COUNTIF($AA$2:$AA$9,W7)+COUNTIF($AA$2:$AA$9,X7)</f>
        <v>5</v>
      </c>
      <c r="Z7" s="589"/>
      <c r="AA7" s="718" t="str" cm="1">
        <f t="array" ref="AA7">BL7</f>
        <v>a</v>
      </c>
      <c r="AB7" s="589"/>
      <c r="AC7" s="716"/>
      <c r="AD7" s="589"/>
      <c r="AE7" s="589"/>
      <c r="AF7" s="589"/>
      <c r="AG7" s="589"/>
      <c r="AH7" s="589"/>
      <c r="AI7" s="589"/>
      <c r="AJ7" s="589"/>
      <c r="AK7" s="589"/>
      <c r="AL7" s="589"/>
      <c r="AM7" s="589"/>
      <c r="AN7" s="589"/>
      <c r="AO7" s="691" t="s">
        <v>177</v>
      </c>
      <c r="AP7" s="589" t="str" cm="1">
        <f t="array" ref="AP7">_xlfn.XLOOKUP($AO7,'Groups Stage'!$Y1:$Y108,'Groups Stage'!Z1:Z108,"-",0)</f>
        <v>Suecia</v>
      </c>
      <c r="AQ7" s="719" cm="1">
        <f t="array" ref="AQ7">_xlfn.XLOOKUP($AO7,'Groups Stage'!$Y1:$Y108,'Groups Stage'!AA1:AA108,"-",0)</f>
        <v>3</v>
      </c>
      <c r="AR7" s="719" cm="1">
        <f t="array" ref="AR7">_xlfn.XLOOKUP($AO7,'Groups Stage'!$Y1:$Y108,'Groups Stage'!AB1:AB108,"-",0)</f>
        <v>1</v>
      </c>
      <c r="AS7" s="719" cm="1">
        <f t="array" ref="AS7">_xlfn.XLOOKUP($AO7,'Groups Stage'!$Y1:$Y108,'Groups Stage'!AC1:AC108,"-",0)</f>
        <v>1</v>
      </c>
      <c r="AT7" s="719" cm="1">
        <f t="array" ref="AT7">_xlfn.XLOOKUP($AO7,'Groups Stage'!$Y1:$Y108,'Groups Stage'!AD1:AD108,"-",0)</f>
        <v>1</v>
      </c>
      <c r="AU7" s="719" cm="1">
        <f t="array" ref="AU7">_xlfn.XLOOKUP($AO7,'Groups Stage'!$Y1:$Y108,'Groups Stage'!AE1:AE108,"-",0)</f>
        <v>0</v>
      </c>
      <c r="AV7" s="719" cm="1">
        <f t="array" ref="AV7">_xlfn.XLOOKUP($AO7,'Groups Stage'!$Y1:$Y108,'Groups Stage'!AF1:AF108,"-",0)</f>
        <v>3</v>
      </c>
      <c r="AW7" s="719" cm="1">
        <f t="array" ref="AW7">_xlfn.XLOOKUP($AO7,'Groups Stage'!$Y1:$Y108,'Groups Stage'!AG1:AG108,"-",0)</f>
        <v>3</v>
      </c>
      <c r="AX7" s="719" cm="1">
        <f t="array" ref="AX7">AR7*3+AS7+AU7/100+AV7/10000</f>
        <v>4.0003000000000002</v>
      </c>
      <c r="AY7" s="715" cm="1">
        <f t="array" ref="AY7">AX7+ROW()/10000000000</f>
        <v>4.0003000007000002</v>
      </c>
      <c r="AZ7" s="720" t="str" cm="1">
        <f t="array" ref="AZ7">'Groups Stage'!CX7</f>
        <v xml:space="preserve"> - </v>
      </c>
      <c r="BA7" s="715" cm="1">
        <f t="array" ref="BA7">AY7+IF(AZ7="IN",1/100000000,0)</f>
        <v>4.0003000007000002</v>
      </c>
      <c r="BB7" s="705"/>
      <c r="BC7" s="715" cm="1">
        <f t="array" ref="BC7">LARGE($AY$2:$AY$13,ROW()-1)</f>
        <v>4.0002000002000004</v>
      </c>
      <c r="BD7" s="589" t="str" cm="1">
        <f t="array" ref="BD7">IF($AQ$15="DONE",_xlfn.XLOOKUP(BC7,$AY$2:$AY$13,$AP$2:$AP$13,"-",0),"--")</f>
        <v>Repubilca Checa</v>
      </c>
      <c r="BE7" s="591" cm="1">
        <f t="array" ref="BE7">_xlfn.XLOOKUP(BD7,$AP$2:$AP$13,$AX$2:$AX$13,"-",0)</f>
        <v>4.0002000000000004</v>
      </c>
      <c r="BF7" s="716" t="str" cm="1">
        <f t="array" ref="BF7">IF(COUNTIF($BE$10:$BE$13,BE7)=0,"-","x")</f>
        <v>-</v>
      </c>
      <c r="BG7" s="589" t="str" cm="1">
        <f t="array" ref="BG7">IF(BF7="x","Draw - Select","IN")</f>
        <v>IN</v>
      </c>
      <c r="BH7" s="589"/>
      <c r="BI7" s="715" cm="1">
        <f t="array" ref="BI7">LARGE($BA$2:$BA$13,ROW()-1)</f>
        <v>4.0002000002000004</v>
      </c>
      <c r="BJ7" s="589" t="str" cm="1">
        <f t="array" ref="BJ7">IF($AQ$15="DONE",_xlfn.XLOOKUP(BI7,$BA$2:$BA$13,$AP$2:$AP$13,"-",0),"--")</f>
        <v>Repubilca Checa</v>
      </c>
      <c r="BK7" s="589" t="str" cm="1">
        <f t="array" ref="BK7">IF($AQ$15="DONE",_xlfn.XLOOKUP(BI7,$BA$2:$BA$13,$AO$2:$AO$13,"-",0),"--")</f>
        <v>3A</v>
      </c>
      <c r="BL7" s="589" t="str" cm="1">
        <f t="array" ref="BL7">LOWER(RIGHT(BK7,1))</f>
        <v>a</v>
      </c>
    </row>
    <row r="8" spans="1:64" ht="15" customHeight="1">
      <c r="A8" s="691" t="s">
        <v>345</v>
      </c>
      <c r="B8" s="589"/>
      <c r="C8" s="589"/>
      <c r="D8" s="589"/>
      <c r="E8" s="589"/>
      <c r="F8" s="591">
        <v>7</v>
      </c>
      <c r="G8" s="691" t="s">
        <v>167</v>
      </c>
      <c r="H8" s="691" t="s">
        <v>187</v>
      </c>
      <c r="I8" s="691" t="s">
        <v>207</v>
      </c>
      <c r="J8" s="691" t="s">
        <v>157</v>
      </c>
      <c r="K8" s="691" t="s">
        <v>197</v>
      </c>
      <c r="L8" s="691" t="s">
        <v>177</v>
      </c>
      <c r="M8" s="691" t="s">
        <v>237</v>
      </c>
      <c r="N8" s="691" t="s">
        <v>227</v>
      </c>
      <c r="O8" s="589"/>
      <c r="P8" s="717" cm="1">
        <f t="array" ref="P8">F8</f>
        <v>7</v>
      </c>
      <c r="Q8" s="620" t="str" cm="1">
        <f t="array" ref="Q8">RIGHT(G8,1)</f>
        <v>E</v>
      </c>
      <c r="R8" s="590" t="str" cm="1">
        <f t="array" ref="R8">RIGHT(H8,1)</f>
        <v>G</v>
      </c>
      <c r="S8" s="590" t="str" cm="1">
        <f t="array" ref="S8">RIGHT(I8,1)</f>
        <v>I</v>
      </c>
      <c r="T8" s="590" t="str" cm="1">
        <f t="array" ref="T8">RIGHT(J8,1)</f>
        <v>D</v>
      </c>
      <c r="U8" s="590" t="str" cm="1">
        <f t="array" ref="U8">RIGHT(K8,1)</f>
        <v>H</v>
      </c>
      <c r="V8" s="590" t="str" cm="1">
        <f t="array" ref="V8">RIGHT(L8,1)</f>
        <v>F</v>
      </c>
      <c r="W8" s="590" t="str" cm="1">
        <f t="array" ref="W8">RIGHT(M8,1)</f>
        <v>L</v>
      </c>
      <c r="X8" s="590" t="str" cm="1">
        <f t="array" ref="X8">RIGHT(N8,1)</f>
        <v>K</v>
      </c>
      <c r="Y8" s="708" cm="1">
        <f t="array" ref="Y8">COUNTIF($AA$2:$AA$9,Q8)+COUNTIF($AA$2:$AA$9,R8)+COUNTIF($AA$2:$AA$9,S8)+COUNTIF($AA$2:$AA$9,T8)+COUNTIF($AA$2:$AA$9,U8)+COUNTIF($AA$2:$AA$9,V8)+COUNTIF($AA$2:$AA$9,W8)+COUNTIF($AA$2:$AA$9,X8)</f>
        <v>5</v>
      </c>
      <c r="Z8" s="589"/>
      <c r="AA8" s="718" t="str" cm="1">
        <f t="array" ref="AA8">BL8</f>
        <v>j</v>
      </c>
      <c r="AB8" s="589"/>
      <c r="AC8" s="716"/>
      <c r="AD8" s="589"/>
      <c r="AE8" s="589"/>
      <c r="AF8" s="589"/>
      <c r="AG8" s="589"/>
      <c r="AH8" s="589"/>
      <c r="AI8" s="589"/>
      <c r="AJ8" s="589"/>
      <c r="AK8" s="589"/>
      <c r="AL8" s="589"/>
      <c r="AM8" s="589"/>
      <c r="AN8" s="589"/>
      <c r="AO8" s="691" t="s">
        <v>187</v>
      </c>
      <c r="AP8" s="589" t="str" cm="1">
        <f t="array" ref="AP8">_xlfn.XLOOKUP($AO8,'Groups Stage'!$Y1:$Y108,'Groups Stage'!Z1:Z108,"-",0)</f>
        <v>Iran</v>
      </c>
      <c r="AQ8" s="719" cm="1">
        <f t="array" ref="AQ8">_xlfn.XLOOKUP($AO8,'Groups Stage'!$Y1:$Y108,'Groups Stage'!AA1:AA108,"-",0)</f>
        <v>3</v>
      </c>
      <c r="AR8" s="719" cm="1">
        <f t="array" ref="AR8">_xlfn.XLOOKUP($AO8,'Groups Stage'!$Y1:$Y108,'Groups Stage'!AB1:AB108,"-",0)</f>
        <v>0</v>
      </c>
      <c r="AS8" s="719" cm="1">
        <f t="array" ref="AS8">_xlfn.XLOOKUP($AO8,'Groups Stage'!$Y1:$Y108,'Groups Stage'!AC1:AC108,"-",0)</f>
        <v>1</v>
      </c>
      <c r="AT8" s="719" cm="1">
        <f t="array" ref="AT8">_xlfn.XLOOKUP($AO8,'Groups Stage'!$Y1:$Y108,'Groups Stage'!AD1:AD108,"-",0)</f>
        <v>2</v>
      </c>
      <c r="AU8" s="719" cm="1">
        <f t="array" ref="AU8">_xlfn.XLOOKUP($AO8,'Groups Stage'!$Y1:$Y108,'Groups Stage'!AE1:AE108,"-",0)</f>
        <v>-3</v>
      </c>
      <c r="AV8" s="719" cm="1">
        <f t="array" ref="AV8">_xlfn.XLOOKUP($AO8,'Groups Stage'!$Y1:$Y108,'Groups Stage'!AF1:AF108,"-",0)</f>
        <v>3</v>
      </c>
      <c r="AW8" s="719" cm="1">
        <f t="array" ref="AW8">_xlfn.XLOOKUP($AO8,'Groups Stage'!$Y1:$Y108,'Groups Stage'!AG1:AG108,"-",0)</f>
        <v>6</v>
      </c>
      <c r="AX8" s="719" cm="1">
        <f t="array" ref="AX8">AR8*3+AS8+AU8/100+AV8/10000</f>
        <v>0.97029999999999994</v>
      </c>
      <c r="AY8" s="715" cm="1">
        <f t="array" ref="AY8">AX8+ROW()/10000000000</f>
        <v>0.9703000007999999</v>
      </c>
      <c r="AZ8" s="720" t="str" cm="1">
        <f t="array" ref="AZ8">'Groups Stage'!CX8</f>
        <v xml:space="preserve"> - </v>
      </c>
      <c r="BA8" s="715" cm="1">
        <f t="array" ref="BA8">AY8+IF(AZ8="IN",1/100000000,0)</f>
        <v>0.9703000007999999</v>
      </c>
      <c r="BB8" s="705"/>
      <c r="BC8" s="715" cm="1">
        <f t="array" ref="BC8">LARGE($AY$2:$AY$13,ROW()-1)</f>
        <v>3.9901000011000005</v>
      </c>
      <c r="BD8" s="589" t="str" cm="1">
        <f t="array" ref="BD8">IF($AQ$15="DONE",_xlfn.XLOOKUP(BC8,$AY$2:$AY$13,$AP$2:$AP$13,"-",0),"--")</f>
        <v>Argelia</v>
      </c>
      <c r="BE8" s="591" cm="1">
        <f t="array" ref="BE8">_xlfn.XLOOKUP(BD8,$AP$2:$AP$13,$AX$2:$AX$13,"-",0)</f>
        <v>3.9901000000000004</v>
      </c>
      <c r="BF8" s="716" t="str" cm="1">
        <f t="array" ref="BF8">IF(COUNTIF($BE$10:$BE$13,BE8)=0,"-","x")</f>
        <v>-</v>
      </c>
      <c r="BG8" s="589" t="str" cm="1">
        <f t="array" ref="BG8">IF(BF8="x","Draw - Select","IN")</f>
        <v>IN</v>
      </c>
      <c r="BH8" s="589"/>
      <c r="BI8" s="715" cm="1">
        <f t="array" ref="BI8">LARGE($BA$2:$BA$13,ROW()-1)</f>
        <v>3.9901000011000005</v>
      </c>
      <c r="BJ8" s="589" t="str" cm="1">
        <f t="array" ref="BJ8">IF($AQ$15="DONE",_xlfn.XLOOKUP(BI8,$BA$2:$BA$13,$AP$2:$AP$13,"-",0),"--")</f>
        <v>Argelia</v>
      </c>
      <c r="BK8" s="589" t="str" cm="1">
        <f t="array" ref="BK8">IF($AQ$15="DONE",_xlfn.XLOOKUP(BI8,$BA$2:$BA$13,$AO$2:$AO$13,"-",0),"--")</f>
        <v>3J</v>
      </c>
      <c r="BL8" s="589" t="str" cm="1">
        <f t="array" ref="BL8">LOWER(RIGHT(BK8,1))</f>
        <v>j</v>
      </c>
    </row>
    <row r="9" spans="1:64" ht="15" customHeight="1">
      <c r="A9" s="691" t="s">
        <v>346</v>
      </c>
      <c r="B9" s="589"/>
      <c r="C9" s="589"/>
      <c r="D9" s="589"/>
      <c r="E9" s="589"/>
      <c r="F9" s="591">
        <v>8</v>
      </c>
      <c r="G9" s="691" t="s">
        <v>167</v>
      </c>
      <c r="H9" s="691" t="s">
        <v>187</v>
      </c>
      <c r="I9" s="691" t="s">
        <v>217</v>
      </c>
      <c r="J9" s="691" t="s">
        <v>157</v>
      </c>
      <c r="K9" s="691" t="s">
        <v>197</v>
      </c>
      <c r="L9" s="691" t="s">
        <v>177</v>
      </c>
      <c r="M9" s="691" t="s">
        <v>237</v>
      </c>
      <c r="N9" s="691" t="s">
        <v>207</v>
      </c>
      <c r="O9" s="589"/>
      <c r="P9" s="717" cm="1">
        <f t="array" ref="P9">F9</f>
        <v>8</v>
      </c>
      <c r="Q9" s="620" t="str" cm="1">
        <f t="array" ref="Q9">RIGHT(G9,1)</f>
        <v>E</v>
      </c>
      <c r="R9" s="590" t="str" cm="1">
        <f t="array" ref="R9">RIGHT(H9,1)</f>
        <v>G</v>
      </c>
      <c r="S9" s="590" t="str" cm="1">
        <f t="array" ref="S9">RIGHT(I9,1)</f>
        <v>J</v>
      </c>
      <c r="T9" s="590" t="str" cm="1">
        <f t="array" ref="T9">RIGHT(J9,1)</f>
        <v>D</v>
      </c>
      <c r="U9" s="590" t="str" cm="1">
        <f t="array" ref="U9">RIGHT(K9,1)</f>
        <v>H</v>
      </c>
      <c r="V9" s="590" t="str" cm="1">
        <f t="array" ref="V9">RIGHT(L9,1)</f>
        <v>F</v>
      </c>
      <c r="W9" s="590" t="str" cm="1">
        <f t="array" ref="W9">RIGHT(M9,1)</f>
        <v>L</v>
      </c>
      <c r="X9" s="590" t="str" cm="1">
        <f t="array" ref="X9">RIGHT(N9,1)</f>
        <v>I</v>
      </c>
      <c r="Y9" s="708" cm="1">
        <f t="array" ref="Y9">COUNTIF($AA$2:$AA$9,Q9)+COUNTIF($AA$2:$AA$9,R9)+COUNTIF($AA$2:$AA$9,S9)+COUNTIF($AA$2:$AA$9,T9)+COUNTIF($AA$2:$AA$9,U9)+COUNTIF($AA$2:$AA$9,V9)+COUNTIF($AA$2:$AA$9,W9)+COUNTIF($AA$2:$AA$9,X9)</f>
        <v>6</v>
      </c>
      <c r="Z9" s="589"/>
      <c r="AA9" s="718" t="str" cm="1">
        <f t="array" ref="AA9">BL9</f>
        <v>c</v>
      </c>
      <c r="AB9" s="589"/>
      <c r="AC9" s="716"/>
      <c r="AD9" s="589"/>
      <c r="AE9" s="589"/>
      <c r="AF9" s="589"/>
      <c r="AG9" s="589"/>
      <c r="AH9" s="589"/>
      <c r="AI9" s="589"/>
      <c r="AJ9" s="589"/>
      <c r="AK9" s="589"/>
      <c r="AL9" s="589"/>
      <c r="AM9" s="589"/>
      <c r="AN9" s="589"/>
      <c r="AO9" s="691" t="s">
        <v>197</v>
      </c>
      <c r="AP9" s="589" t="str" cm="1">
        <f t="array" ref="AP9">_xlfn.XLOOKUP($AO9,'Groups Stage'!$Y1:$Y108,'Groups Stage'!Z1:Z108,"-",0)</f>
        <v>Arabia Saudita</v>
      </c>
      <c r="AQ9" s="719" cm="1">
        <f t="array" ref="AQ9">_xlfn.XLOOKUP($AO9,'Groups Stage'!$Y1:$Y108,'Groups Stage'!AA1:AA108,"-",0)</f>
        <v>3</v>
      </c>
      <c r="AR9" s="719" cm="1">
        <f t="array" ref="AR9">_xlfn.XLOOKUP($AO9,'Groups Stage'!$Y1:$Y108,'Groups Stage'!AB1:AB108,"-",0)</f>
        <v>1</v>
      </c>
      <c r="AS9" s="719" cm="1">
        <f t="array" ref="AS9">_xlfn.XLOOKUP($AO9,'Groups Stage'!$Y1:$Y108,'Groups Stage'!AC1:AC108,"-",0)</f>
        <v>0</v>
      </c>
      <c r="AT9" s="719" cm="1">
        <f t="array" ref="AT9">_xlfn.XLOOKUP($AO9,'Groups Stage'!$Y1:$Y108,'Groups Stage'!AD1:AD108,"-",0)</f>
        <v>2</v>
      </c>
      <c r="AU9" s="719" cm="1">
        <f t="array" ref="AU9">_xlfn.XLOOKUP($AO9,'Groups Stage'!$Y1:$Y108,'Groups Stage'!AE1:AE108,"-",0)</f>
        <v>-1</v>
      </c>
      <c r="AV9" s="719" cm="1">
        <f t="array" ref="AV9">_xlfn.XLOOKUP($AO9,'Groups Stage'!$Y1:$Y108,'Groups Stage'!AF1:AF108,"-",0)</f>
        <v>3</v>
      </c>
      <c r="AW9" s="719" cm="1">
        <f t="array" ref="AW9">_xlfn.XLOOKUP($AO9,'Groups Stage'!$Y1:$Y108,'Groups Stage'!AG1:AG108,"-",0)</f>
        <v>4</v>
      </c>
      <c r="AX9" s="719" cm="1">
        <f t="array" ref="AX9">AR9*3+AS9+AU9/100+AV9/10000</f>
        <v>2.9903000000000004</v>
      </c>
      <c r="AY9" s="715" cm="1">
        <f t="array" ref="AY9">AX9+ROW()/10000000000</f>
        <v>2.9903000009000005</v>
      </c>
      <c r="AZ9" s="720" t="str" cm="1">
        <f t="array" ref="AZ9">'Groups Stage'!CX9</f>
        <v xml:space="preserve"> - </v>
      </c>
      <c r="BA9" s="715" cm="1">
        <f t="array" ref="BA9">AY9+IF(AZ9="IN",1/100000000,0)</f>
        <v>2.9903000009000005</v>
      </c>
      <c r="BB9" s="705"/>
      <c r="BC9" s="715" cm="1">
        <f t="array" ref="BC9">LARGE($AY$2:$AY$13,ROW()-1)</f>
        <v>3.0105000004</v>
      </c>
      <c r="BD9" s="589" t="str" cm="1">
        <f t="array" ref="BD9">IF($AQ$15="DONE",_xlfn.XLOOKUP(BC9,$AY$2:$AY$13,$AP$2:$AP$13,"-",0),"--")</f>
        <v>Escocia</v>
      </c>
      <c r="BE9" s="591" cm="1">
        <f t="array" ref="BE9">_xlfn.XLOOKUP(BD9,$AP$2:$AP$13,$AX$2:$AX$13,"-",0)</f>
        <v>3.0105</v>
      </c>
      <c r="BF9" s="716" t="str" cm="1">
        <f t="array" ref="BF9">IF(COUNTIF($BE$10:$BE$13,BE9)=0,"-","x")</f>
        <v>-</v>
      </c>
      <c r="BG9" s="589" t="str" cm="1">
        <f t="array" ref="BG9">IF(BF9="x","Draw - Select","IN")</f>
        <v>IN</v>
      </c>
      <c r="BH9" s="589"/>
      <c r="BI9" s="715" cm="1">
        <f t="array" ref="BI9">LARGE($BA$2:$BA$13,ROW()-1)</f>
        <v>3.0105000004</v>
      </c>
      <c r="BJ9" s="589" t="str" cm="1">
        <f t="array" ref="BJ9">IF($AQ$15="DONE",_xlfn.XLOOKUP(BI9,$BA$2:$BA$13,$AP$2:$AP$13,"-",0),"--")</f>
        <v>Escocia</v>
      </c>
      <c r="BK9" s="589" t="str" cm="1">
        <f t="array" ref="BK9">IF($AQ$15="DONE",_xlfn.XLOOKUP(BI9,$BA$2:$BA$13,$AO$2:$AO$13,"-",0),"--")</f>
        <v>3C</v>
      </c>
      <c r="BL9" s="589" t="str" cm="1">
        <f t="array" ref="BL9">LOWER(RIGHT(BK9,1))</f>
        <v>c</v>
      </c>
    </row>
    <row r="10" spans="1:64" ht="14.25" customHeight="1">
      <c r="A10" s="691" t="s">
        <v>347</v>
      </c>
      <c r="B10" s="589"/>
      <c r="C10" s="589"/>
      <c r="D10" s="589"/>
      <c r="E10" s="589"/>
      <c r="F10" s="591">
        <v>9</v>
      </c>
      <c r="G10" s="691" t="s">
        <v>167</v>
      </c>
      <c r="H10" s="691" t="s">
        <v>187</v>
      </c>
      <c r="I10" s="691" t="s">
        <v>217</v>
      </c>
      <c r="J10" s="691" t="s">
        <v>157</v>
      </c>
      <c r="K10" s="691" t="s">
        <v>197</v>
      </c>
      <c r="L10" s="691" t="s">
        <v>177</v>
      </c>
      <c r="M10" s="691" t="s">
        <v>207</v>
      </c>
      <c r="N10" s="691" t="s">
        <v>227</v>
      </c>
      <c r="O10" s="589"/>
      <c r="P10" s="717" cm="1">
        <f t="array" ref="P10">F10</f>
        <v>9</v>
      </c>
      <c r="Q10" s="620" t="str" cm="1">
        <f t="array" ref="Q10">RIGHT(G10,1)</f>
        <v>E</v>
      </c>
      <c r="R10" s="590" t="str" cm="1">
        <f t="array" ref="R10">RIGHT(H10,1)</f>
        <v>G</v>
      </c>
      <c r="S10" s="590" t="str" cm="1">
        <f t="array" ref="S10">RIGHT(I10,1)</f>
        <v>J</v>
      </c>
      <c r="T10" s="590" t="str" cm="1">
        <f t="array" ref="T10">RIGHT(J10,1)</f>
        <v>D</v>
      </c>
      <c r="U10" s="590" t="str" cm="1">
        <f t="array" ref="U10">RIGHT(K10,1)</f>
        <v>H</v>
      </c>
      <c r="V10" s="590" t="str" cm="1">
        <f t="array" ref="V10">RIGHT(L10,1)</f>
        <v>F</v>
      </c>
      <c r="W10" s="590" t="str" cm="1">
        <f t="array" ref="W10">RIGHT(M10,1)</f>
        <v>I</v>
      </c>
      <c r="X10" s="590" t="str" cm="1">
        <f t="array" ref="X10">RIGHT(N10,1)</f>
        <v>K</v>
      </c>
      <c r="Y10" s="708" cm="1">
        <f t="array" ref="Y10">COUNTIF($AA$2:$AA$9,Q10)+COUNTIF($AA$2:$AA$9,R10)+COUNTIF($AA$2:$AA$9,S10)+COUNTIF($AA$2:$AA$9,T10)+COUNTIF($AA$2:$AA$9,U10)+COUNTIF($AA$2:$AA$9,V10)+COUNTIF($AA$2:$AA$9,W10)+COUNTIF($AA$2:$AA$9,X10)</f>
        <v>5</v>
      </c>
      <c r="Z10" s="589"/>
      <c r="AA10" s="589"/>
      <c r="AB10" s="589"/>
      <c r="AC10" s="589"/>
      <c r="AD10" s="589"/>
      <c r="AE10" s="589"/>
      <c r="AF10" s="589"/>
      <c r="AG10" s="589"/>
      <c r="AH10" s="589"/>
      <c r="AI10" s="589"/>
      <c r="AJ10" s="589"/>
      <c r="AK10" s="589"/>
      <c r="AL10" s="589"/>
      <c r="AM10" s="589"/>
      <c r="AN10" s="589"/>
      <c r="AO10" s="691" t="s">
        <v>207</v>
      </c>
      <c r="AP10" s="589" t="str" cm="1">
        <f t="array" ref="AP10">_xlfn.XLOOKUP($AO10,'Groups Stage'!$Y1:$Y108,'Groups Stage'!Z1:Z108,"-",0)</f>
        <v>Senegal</v>
      </c>
      <c r="AQ10" s="719" cm="1">
        <f t="array" ref="AQ10">_xlfn.XLOOKUP($AO10,'Groups Stage'!$Y1:$Y108,'Groups Stage'!AA1:AA108,"-",0)</f>
        <v>3</v>
      </c>
      <c r="AR10" s="719" cm="1">
        <f t="array" ref="AR10">_xlfn.XLOOKUP($AO10,'Groups Stage'!$Y1:$Y108,'Groups Stage'!AB1:AB108,"-",0)</f>
        <v>1</v>
      </c>
      <c r="AS10" s="719" cm="1">
        <f t="array" ref="AS10">_xlfn.XLOOKUP($AO10,'Groups Stage'!$Y1:$Y108,'Groups Stage'!AC1:AC108,"-",0)</f>
        <v>1</v>
      </c>
      <c r="AT10" s="719" cm="1">
        <f t="array" ref="AT10">_xlfn.XLOOKUP($AO10,'Groups Stage'!$Y1:$Y108,'Groups Stage'!AD1:AD108,"-",0)</f>
        <v>1</v>
      </c>
      <c r="AU10" s="719" cm="1">
        <f t="array" ref="AU10">_xlfn.XLOOKUP($AO10,'Groups Stage'!$Y1:$Y108,'Groups Stage'!AE1:AE108,"-",0)</f>
        <v>1</v>
      </c>
      <c r="AV10" s="719" cm="1">
        <f t="array" ref="AV10">_xlfn.XLOOKUP($AO10,'Groups Stage'!$Y1:$Y108,'Groups Stage'!AF1:AF108,"-",0)</f>
        <v>5</v>
      </c>
      <c r="AW10" s="719" cm="1">
        <f t="array" ref="AW10">_xlfn.XLOOKUP($AO10,'Groups Stage'!$Y1:$Y108,'Groups Stage'!AG1:AG108,"-",0)</f>
        <v>4</v>
      </c>
      <c r="AX10" s="719" cm="1">
        <f t="array" ref="AX10">AR10*3+AS10+AU10/100+AV10/10000</f>
        <v>4.0104999999999995</v>
      </c>
      <c r="AY10" s="715" cm="1">
        <f t="array" ref="AY10">AX10+ROW()/10000000000</f>
        <v>4.0105000009999996</v>
      </c>
      <c r="AZ10" s="721" cm="1">
        <f t="array" ref="AZ10">'Groups Stage'!CX10</f>
        <v>0</v>
      </c>
      <c r="BA10" s="715" cm="1">
        <f t="array" ref="BA10">AY10+IF(AZ10="IN",1/100000000,0)</f>
        <v>4.0105000009999996</v>
      </c>
      <c r="BB10" s="705"/>
      <c r="BC10" s="715" cm="1">
        <f t="array" ref="BC10">LARGE($AY$2:$AY$13,ROW()-1)</f>
        <v>2.9903000009000005</v>
      </c>
      <c r="BD10" s="589" t="str" cm="1">
        <f t="array" ref="BD10">IF($AQ$15="DONE",_xlfn.XLOOKUP(BC10,$AY$2:$AY$13,$AP$2:$AP$13,"-",0),"--")</f>
        <v>Arabia Saudita</v>
      </c>
      <c r="BE10" s="591" cm="1">
        <f t="array" ref="BE10">_xlfn.XLOOKUP(BD10,$AP$2:$AP$13,$AX$2:$AX$13,"-",0)</f>
        <v>2.9903000000000004</v>
      </c>
      <c r="BF10" s="716" t="str" cm="1">
        <f t="array" ref="BF10">IF(COUNTIF($BE$2:$BE$9,BE10)=0,"-","x")</f>
        <v>-</v>
      </c>
      <c r="BG10" s="589" t="str" cm="1">
        <f t="array" ref="BG10">IF(BF10="x","Draw - Select","OUT")</f>
        <v>OUT</v>
      </c>
      <c r="BH10" s="589"/>
      <c r="BI10" s="705"/>
      <c r="BJ10" s="589"/>
      <c r="BK10" s="589"/>
      <c r="BL10" s="589"/>
    </row>
    <row r="11" spans="1:64" ht="14.25" customHeight="1">
      <c r="A11" s="691" t="s">
        <v>348</v>
      </c>
      <c r="B11" s="589"/>
      <c r="C11" s="589"/>
      <c r="D11" s="589"/>
      <c r="E11" s="589"/>
      <c r="F11" s="591">
        <v>10</v>
      </c>
      <c r="G11" s="691" t="s">
        <v>197</v>
      </c>
      <c r="H11" s="691" t="s">
        <v>187</v>
      </c>
      <c r="I11" s="691" t="s">
        <v>207</v>
      </c>
      <c r="J11" s="691" t="s">
        <v>147</v>
      </c>
      <c r="K11" s="691" t="s">
        <v>217</v>
      </c>
      <c r="L11" s="691" t="s">
        <v>177</v>
      </c>
      <c r="M11" s="691" t="s">
        <v>237</v>
      </c>
      <c r="N11" s="691" t="s">
        <v>227</v>
      </c>
      <c r="O11" s="589"/>
      <c r="P11" s="717" cm="1">
        <f t="array" ref="P11">F11</f>
        <v>10</v>
      </c>
      <c r="Q11" s="620" t="str" cm="1">
        <f t="array" ref="Q11">RIGHT(G11,1)</f>
        <v>H</v>
      </c>
      <c r="R11" s="590" t="str" cm="1">
        <f t="array" ref="R11">RIGHT(H11,1)</f>
        <v>G</v>
      </c>
      <c r="S11" s="590" t="str" cm="1">
        <f t="array" ref="S11">RIGHT(I11,1)</f>
        <v>I</v>
      </c>
      <c r="T11" s="590" t="str" cm="1">
        <f t="array" ref="T11">RIGHT(J11,1)</f>
        <v>C</v>
      </c>
      <c r="U11" s="590" t="str" cm="1">
        <f t="array" ref="U11">RIGHT(K11,1)</f>
        <v>J</v>
      </c>
      <c r="V11" s="590" t="str" cm="1">
        <f t="array" ref="V11">RIGHT(L11,1)</f>
        <v>F</v>
      </c>
      <c r="W11" s="590" t="str" cm="1">
        <f t="array" ref="W11">RIGHT(M11,1)</f>
        <v>L</v>
      </c>
      <c r="X11" s="590" t="str" cm="1">
        <f t="array" ref="X11">RIGHT(N11,1)</f>
        <v>K</v>
      </c>
      <c r="Y11" s="708" cm="1">
        <f t="array" ref="Y11">COUNTIF($AA$2:$AA$9,Q11)+COUNTIF($AA$2:$AA$9,R11)+COUNTIF($AA$2:$AA$9,S11)+COUNTIF($AA$2:$AA$9,T11)+COUNTIF($AA$2:$AA$9,U11)+COUNTIF($AA$2:$AA$9,V11)+COUNTIF($AA$2:$AA$9,W11)+COUNTIF($AA$2:$AA$9,X11)</f>
        <v>5</v>
      </c>
      <c r="Z11" s="589"/>
      <c r="AA11" s="589"/>
      <c r="AB11" s="589"/>
      <c r="AC11" s="589"/>
      <c r="AD11" s="589"/>
      <c r="AE11" s="589"/>
      <c r="AF11" s="589"/>
      <c r="AG11" s="589"/>
      <c r="AH11" s="589"/>
      <c r="AI11" s="589"/>
      <c r="AJ11" s="589"/>
      <c r="AK11" s="589"/>
      <c r="AL11" s="589"/>
      <c r="AM11" s="589"/>
      <c r="AN11" s="589"/>
      <c r="AO11" s="691" t="s">
        <v>217</v>
      </c>
      <c r="AP11" s="589" t="str" cm="1">
        <f t="array" ref="AP11">_xlfn.XLOOKUP($AO11,'Groups Stage'!$Y1:$Y108,'Groups Stage'!Z1:Z108,"-",0)</f>
        <v>Argelia</v>
      </c>
      <c r="AQ11" s="719" cm="1">
        <f t="array" ref="AQ11">_xlfn.XLOOKUP($AO11,'Groups Stage'!$Y1:$Y108,'Groups Stage'!AA1:AA108,"-",0)</f>
        <v>3</v>
      </c>
      <c r="AR11" s="719" cm="1">
        <f t="array" ref="AR11">_xlfn.XLOOKUP($AO11,'Groups Stage'!$Y1:$Y108,'Groups Stage'!AB1:AB108,"-",0)</f>
        <v>1</v>
      </c>
      <c r="AS11" s="719" cm="1">
        <f t="array" ref="AS11">_xlfn.XLOOKUP($AO11,'Groups Stage'!$Y1:$Y108,'Groups Stage'!AC1:AC108,"-",0)</f>
        <v>1</v>
      </c>
      <c r="AT11" s="719" cm="1">
        <f t="array" ref="AT11">_xlfn.XLOOKUP($AO11,'Groups Stage'!$Y1:$Y108,'Groups Stage'!AD1:AD108,"-",0)</f>
        <v>1</v>
      </c>
      <c r="AU11" s="719" cm="1">
        <f t="array" ref="AU11">_xlfn.XLOOKUP($AO11,'Groups Stage'!$Y1:$Y108,'Groups Stage'!AE1:AE108,"-",0)</f>
        <v>-1</v>
      </c>
      <c r="AV11" s="719" cm="1">
        <f t="array" ref="AV11">_xlfn.XLOOKUP($AO11,'Groups Stage'!$Y1:$Y108,'Groups Stage'!AF1:AF108,"-",0)</f>
        <v>1</v>
      </c>
      <c r="AW11" s="719" cm="1">
        <f t="array" ref="AW11">_xlfn.XLOOKUP($AO11,'Groups Stage'!$Y1:$Y108,'Groups Stage'!AG1:AG108,"-",0)</f>
        <v>2</v>
      </c>
      <c r="AX11" s="719" cm="1">
        <f t="array" ref="AX11">AR11*3+AS11+AU11/100+AV11/10000</f>
        <v>3.9901000000000004</v>
      </c>
      <c r="AY11" s="715" cm="1">
        <f t="array" ref="AY11">AX11+ROW()/10000000000</f>
        <v>3.9901000011000005</v>
      </c>
      <c r="AZ11" s="720" t="str" cm="1">
        <f t="array" ref="AZ11">'Groups Stage'!CX11</f>
        <v xml:space="preserve"> - </v>
      </c>
      <c r="BA11" s="715" cm="1">
        <f t="array" ref="BA11">AY11+IF(AZ11="IN",1/100000000,0)</f>
        <v>3.9901000011000005</v>
      </c>
      <c r="BB11" s="705"/>
      <c r="BC11" s="715" cm="1">
        <f t="array" ref="BC11">LARGE($AY$2:$AY$13,ROW()-1)</f>
        <v>0.9801000003</v>
      </c>
      <c r="BD11" s="589" t="str" cm="1">
        <f t="array" ref="BD11">IF($AQ$15="DONE",_xlfn.XLOOKUP(BC11,$AY$2:$AY$13,$AP$2:$AP$13,"-",0),"--")</f>
        <v>Bosnia</v>
      </c>
      <c r="BE11" s="591" cm="1">
        <f t="array" ref="BE11">_xlfn.XLOOKUP(BD11,$AP$2:$AP$13,$AX$2:$AX$13,"-",0)</f>
        <v>0.98009999999999997</v>
      </c>
      <c r="BF11" s="716" t="str" cm="1">
        <f t="array" ref="BF11">IF(COUNTIF($BE$2:$BE$9,BE11)=0,"-","x")</f>
        <v>-</v>
      </c>
      <c r="BG11" s="589" t="str" cm="1">
        <f t="array" ref="BG11">IF(BF11="x","Draw - Select","OUT")</f>
        <v>OUT</v>
      </c>
      <c r="BH11" s="589"/>
      <c r="BI11" s="705"/>
      <c r="BJ11" s="589"/>
      <c r="BK11" s="589"/>
      <c r="BL11" s="589"/>
    </row>
    <row r="12" spans="1:64" ht="14.25" customHeight="1">
      <c r="A12" s="691" t="s">
        <v>349</v>
      </c>
      <c r="B12" s="589"/>
      <c r="C12" s="589"/>
      <c r="D12" s="589"/>
      <c r="E12" s="589"/>
      <c r="F12" s="591">
        <v>11</v>
      </c>
      <c r="G12" s="691" t="s">
        <v>167</v>
      </c>
      <c r="H12" s="691" t="s">
        <v>217</v>
      </c>
      <c r="I12" s="691" t="s">
        <v>207</v>
      </c>
      <c r="J12" s="691" t="s">
        <v>147</v>
      </c>
      <c r="K12" s="691" t="s">
        <v>197</v>
      </c>
      <c r="L12" s="691" t="s">
        <v>187</v>
      </c>
      <c r="M12" s="691" t="s">
        <v>237</v>
      </c>
      <c r="N12" s="691" t="s">
        <v>227</v>
      </c>
      <c r="O12" s="589"/>
      <c r="P12" s="717" cm="1">
        <f t="array" ref="P12">F12</f>
        <v>11</v>
      </c>
      <c r="Q12" s="620" t="str" cm="1">
        <f t="array" ref="Q12">RIGHT(G12,1)</f>
        <v>E</v>
      </c>
      <c r="R12" s="590" t="str" cm="1">
        <f t="array" ref="R12">RIGHT(H12,1)</f>
        <v>J</v>
      </c>
      <c r="S12" s="590" t="str" cm="1">
        <f t="array" ref="S12">RIGHT(I12,1)</f>
        <v>I</v>
      </c>
      <c r="T12" s="590" t="str" cm="1">
        <f t="array" ref="T12">RIGHT(J12,1)</f>
        <v>C</v>
      </c>
      <c r="U12" s="590" t="str" cm="1">
        <f t="array" ref="U12">RIGHT(K12,1)</f>
        <v>H</v>
      </c>
      <c r="V12" s="590" t="str" cm="1">
        <f t="array" ref="V12">RIGHT(L12,1)</f>
        <v>G</v>
      </c>
      <c r="W12" s="590" t="str" cm="1">
        <f t="array" ref="W12">RIGHT(M12,1)</f>
        <v>L</v>
      </c>
      <c r="X12" s="590" t="str" cm="1">
        <f t="array" ref="X12">RIGHT(N12,1)</f>
        <v>K</v>
      </c>
      <c r="Y12" s="708" cm="1">
        <f t="array" ref="Y12">COUNTIF($AA$2:$AA$9,Q12)+COUNTIF($AA$2:$AA$9,R12)+COUNTIF($AA$2:$AA$9,S12)+COUNTIF($AA$2:$AA$9,T12)+COUNTIF($AA$2:$AA$9,U12)+COUNTIF($AA$2:$AA$9,V12)+COUNTIF($AA$2:$AA$9,W12)+COUNTIF($AA$2:$AA$9,X12)</f>
        <v>5</v>
      </c>
      <c r="Z12" s="589"/>
      <c r="AA12" s="589"/>
      <c r="AB12" s="589"/>
      <c r="AC12" s="589"/>
      <c r="AD12" s="589"/>
      <c r="AE12" s="589"/>
      <c r="AF12" s="589"/>
      <c r="AG12" s="589"/>
      <c r="AH12" s="589"/>
      <c r="AI12" s="589"/>
      <c r="AJ12" s="589"/>
      <c r="AK12" s="589"/>
      <c r="AL12" s="589"/>
      <c r="AM12" s="589"/>
      <c r="AN12" s="589"/>
      <c r="AO12" s="691" t="s">
        <v>227</v>
      </c>
      <c r="AP12" s="589" t="str" cm="1">
        <f t="array" ref="AP12">_xlfn.XLOOKUP($AO12,'Groups Stage'!$Y1:$Y108,'Groups Stage'!Z1:Z108,"-",0)</f>
        <v>Congo</v>
      </c>
      <c r="AQ12" s="719" cm="1">
        <f t="array" ref="AQ12">_xlfn.XLOOKUP($AO12,'Groups Stage'!$Y1:$Y108,'Groups Stage'!AA1:AA108,"-",0)</f>
        <v>3</v>
      </c>
      <c r="AR12" s="719" cm="1">
        <f t="array" ref="AR12">_xlfn.XLOOKUP($AO12,'Groups Stage'!$Y1:$Y108,'Groups Stage'!AB1:AB108,"-",0)</f>
        <v>0</v>
      </c>
      <c r="AS12" s="719" cm="1">
        <f t="array" ref="AS12">_xlfn.XLOOKUP($AO12,'Groups Stage'!$Y1:$Y108,'Groups Stage'!AC1:AC108,"-",0)</f>
        <v>1</v>
      </c>
      <c r="AT12" s="719" cm="1">
        <f t="array" ref="AT12">_xlfn.XLOOKUP($AO12,'Groups Stage'!$Y1:$Y108,'Groups Stage'!AD1:AD108,"-",0)</f>
        <v>2</v>
      </c>
      <c r="AU12" s="719" cm="1">
        <f t="array" ref="AU12">_xlfn.XLOOKUP($AO12,'Groups Stage'!$Y1:$Y108,'Groups Stage'!AE1:AE108,"-",0)</f>
        <v>-5</v>
      </c>
      <c r="AV12" s="719" cm="1">
        <f t="array" ref="AV12">_xlfn.XLOOKUP($AO12,'Groups Stage'!$Y1:$Y108,'Groups Stage'!AF1:AF108,"-",0)</f>
        <v>2</v>
      </c>
      <c r="AW12" s="719" cm="1">
        <f t="array" ref="AW12">_xlfn.XLOOKUP($AO12,'Groups Stage'!$Y1:$Y108,'Groups Stage'!AG1:AG108,"-",0)</f>
        <v>7</v>
      </c>
      <c r="AX12" s="719" cm="1">
        <f t="array" ref="AX12">AR12*3+AS12+AU12/100+AV12/10000</f>
        <v>0.95019999999999993</v>
      </c>
      <c r="AY12" s="715" cm="1">
        <f t="array" ref="AY12">AX12+ROW()/10000000000</f>
        <v>0.95020000119999992</v>
      </c>
      <c r="AZ12" s="720" t="str" cm="1">
        <f t="array" ref="AZ12">'Groups Stage'!CX12</f>
        <v xml:space="preserve"> - </v>
      </c>
      <c r="BA12" s="715" cm="1">
        <f t="array" ref="BA12">AY12+IF(AZ12="IN",1/100000000,0)</f>
        <v>0.95020000119999992</v>
      </c>
      <c r="BB12" s="705"/>
      <c r="BC12" s="715" cm="1">
        <f t="array" ref="BC12">LARGE($AY$2:$AY$13,ROW()-1)</f>
        <v>0.9703000007999999</v>
      </c>
      <c r="BD12" s="589" t="str" cm="1">
        <f t="array" ref="BD12">IF($AQ$15="DONE",_xlfn.XLOOKUP(BC12,$AY$2:$AY$13,$AP$2:$AP$13,"-",0),"--")</f>
        <v>Iran</v>
      </c>
      <c r="BE12" s="591" cm="1">
        <f t="array" ref="BE12">_xlfn.XLOOKUP(BD12,$AP$2:$AP$13,$AX$2:$AX$13,"-",0)</f>
        <v>0.97029999999999994</v>
      </c>
      <c r="BF12" s="716" t="str" cm="1">
        <f t="array" ref="BF12">IF(COUNTIF($BE$2:$BE$9,BE12)=0,"-","x")</f>
        <v>-</v>
      </c>
      <c r="BG12" s="589" t="str" cm="1">
        <f t="array" ref="BG12">IF(BF12="x","Draw - Select","OUT")</f>
        <v>OUT</v>
      </c>
      <c r="BH12" s="589"/>
      <c r="BI12" s="705"/>
      <c r="BJ12" s="589"/>
      <c r="BK12" s="589"/>
      <c r="BL12" s="589"/>
    </row>
    <row r="13" spans="1:64" ht="14.25" customHeight="1">
      <c r="A13" s="691" t="s">
        <v>350</v>
      </c>
      <c r="B13" s="589"/>
      <c r="C13" s="589"/>
      <c r="D13" s="589"/>
      <c r="E13" s="589"/>
      <c r="F13" s="591">
        <v>12</v>
      </c>
      <c r="G13" s="691" t="s">
        <v>167</v>
      </c>
      <c r="H13" s="691" t="s">
        <v>217</v>
      </c>
      <c r="I13" s="691" t="s">
        <v>207</v>
      </c>
      <c r="J13" s="691" t="s">
        <v>147</v>
      </c>
      <c r="K13" s="691" t="s">
        <v>197</v>
      </c>
      <c r="L13" s="691" t="s">
        <v>177</v>
      </c>
      <c r="M13" s="691" t="s">
        <v>237</v>
      </c>
      <c r="N13" s="691" t="s">
        <v>227</v>
      </c>
      <c r="O13" s="589"/>
      <c r="P13" s="717" cm="1">
        <f t="array" ref="P13">F13</f>
        <v>12</v>
      </c>
      <c r="Q13" s="620" t="str" cm="1">
        <f t="array" ref="Q13">RIGHT(G13,1)</f>
        <v>E</v>
      </c>
      <c r="R13" s="590" t="str" cm="1">
        <f t="array" ref="R13">RIGHT(H13,1)</f>
        <v>J</v>
      </c>
      <c r="S13" s="590" t="str" cm="1">
        <f t="array" ref="S13">RIGHT(I13,1)</f>
        <v>I</v>
      </c>
      <c r="T13" s="590" t="str" cm="1">
        <f t="array" ref="T13">RIGHT(J13,1)</f>
        <v>C</v>
      </c>
      <c r="U13" s="590" t="str" cm="1">
        <f t="array" ref="U13">RIGHT(K13,1)</f>
        <v>H</v>
      </c>
      <c r="V13" s="590" t="str" cm="1">
        <f t="array" ref="V13">RIGHT(L13,1)</f>
        <v>F</v>
      </c>
      <c r="W13" s="590" t="str" cm="1">
        <f t="array" ref="W13">RIGHT(M13,1)</f>
        <v>L</v>
      </c>
      <c r="X13" s="590" t="str" cm="1">
        <f t="array" ref="X13">RIGHT(N13,1)</f>
        <v>K</v>
      </c>
      <c r="Y13" s="708" cm="1">
        <f t="array" ref="Y13">COUNTIF($AA$2:$AA$9,Q13)+COUNTIF($AA$2:$AA$9,R13)+COUNTIF($AA$2:$AA$9,S13)+COUNTIF($AA$2:$AA$9,T13)+COUNTIF($AA$2:$AA$9,U13)+COUNTIF($AA$2:$AA$9,V13)+COUNTIF($AA$2:$AA$9,W13)+COUNTIF($AA$2:$AA$9,X13)</f>
        <v>6</v>
      </c>
      <c r="Z13" s="589"/>
      <c r="AA13" s="589"/>
      <c r="AB13" s="589"/>
      <c r="AC13" s="589"/>
      <c r="AD13" s="589"/>
      <c r="AE13" s="589"/>
      <c r="AF13" s="589"/>
      <c r="AG13" s="589"/>
      <c r="AH13" s="589"/>
      <c r="AI13" s="589"/>
      <c r="AJ13" s="589"/>
      <c r="AK13" s="589"/>
      <c r="AL13" s="589"/>
      <c r="AM13" s="589"/>
      <c r="AN13" s="589"/>
      <c r="AO13" s="691" t="s">
        <v>237</v>
      </c>
      <c r="AP13" s="589" t="str" cm="1">
        <f t="array" ref="AP13">_xlfn.XLOOKUP($AO13,'Groups Stage'!$Y1:$Y108,'Groups Stage'!Z1:Z108,"-",0)</f>
        <v>Ghana</v>
      </c>
      <c r="AQ13" s="719" cm="1">
        <f t="array" ref="AQ13">_xlfn.XLOOKUP($AO13,'Groups Stage'!$Y1:$Y108,'Groups Stage'!AA1:AA108,"-",0)</f>
        <v>3</v>
      </c>
      <c r="AR13" s="719" cm="1">
        <f t="array" ref="AR13">_xlfn.XLOOKUP($AO13,'Groups Stage'!$Y1:$Y108,'Groups Stage'!AB1:AB108,"-",0)</f>
        <v>1</v>
      </c>
      <c r="AS13" s="719" cm="1">
        <f t="array" ref="AS13">_xlfn.XLOOKUP($AO13,'Groups Stage'!$Y1:$Y108,'Groups Stage'!AC1:AC108,"-",0)</f>
        <v>1</v>
      </c>
      <c r="AT13" s="719" cm="1">
        <f t="array" ref="AT13">_xlfn.XLOOKUP($AO13,'Groups Stage'!$Y1:$Y108,'Groups Stage'!AD1:AD108,"-",0)</f>
        <v>1</v>
      </c>
      <c r="AU13" s="719" cm="1">
        <f t="array" ref="AU13">_xlfn.XLOOKUP($AO13,'Groups Stage'!$Y1:$Y108,'Groups Stage'!AE1:AE108,"-",0)</f>
        <v>0</v>
      </c>
      <c r="AV13" s="719" cm="1">
        <f t="array" ref="AV13">_xlfn.XLOOKUP($AO13,'Groups Stage'!$Y1:$Y108,'Groups Stage'!AF1:AF108,"-",0)</f>
        <v>4</v>
      </c>
      <c r="AW13" s="719" cm="1">
        <f t="array" ref="AW13">_xlfn.XLOOKUP($AO13,'Groups Stage'!$Y1:$Y108,'Groups Stage'!AG1:AG108,"-",0)</f>
        <v>4</v>
      </c>
      <c r="AX13" s="719" cm="1">
        <f t="array" ref="AX13">AR13*3+AS13+AU13/100+AV13/10000</f>
        <v>4.0004</v>
      </c>
      <c r="AY13" s="715" cm="1">
        <f t="array" ref="AY13">AX13+ROW()/10000000000</f>
        <v>4.0004000013000001</v>
      </c>
      <c r="AZ13" s="720" t="str" cm="1">
        <f t="array" ref="AZ13">'Groups Stage'!CX13</f>
        <v xml:space="preserve"> - </v>
      </c>
      <c r="BA13" s="715" cm="1">
        <f t="array" ref="BA13">AY13+IF(AZ13="IN",1/100000000,0)</f>
        <v>4.0004000013000001</v>
      </c>
      <c r="BB13" s="705"/>
      <c r="BC13" s="715" cm="1">
        <f t="array" ref="BC13">LARGE($AY$2:$AY$13,ROW()-1)</f>
        <v>0.95020000119999992</v>
      </c>
      <c r="BD13" s="589" t="str" cm="1">
        <f t="array" ref="BD13">IF($AQ$15="DONE",_xlfn.XLOOKUP(BC13,$AY$2:$AY$13,$AP$2:$AP$13,"-",0),"--")</f>
        <v>Congo</v>
      </c>
      <c r="BE13" s="591" cm="1">
        <f t="array" ref="BE13">_xlfn.XLOOKUP(BD13,$AP$2:$AP$13,$AX$2:$AX$13,"-",0)</f>
        <v>0.95019999999999993</v>
      </c>
      <c r="BF13" s="716" t="str" cm="1">
        <f t="array" ref="BF13">IF(COUNTIF($BE$2:$BE$9,BE13)=0,"-","x")</f>
        <v>-</v>
      </c>
      <c r="BG13" s="589" t="str" cm="1">
        <f t="array" ref="BG13">IF(BF13="x","Draw - Select","OUT")</f>
        <v>OUT</v>
      </c>
      <c r="BH13" s="589"/>
      <c r="BI13" s="705"/>
      <c r="BJ13" s="589"/>
      <c r="BK13" s="589"/>
      <c r="BL13" s="589"/>
    </row>
    <row r="14" spans="1:64" ht="14.25" customHeight="1">
      <c r="A14" s="691" t="s">
        <v>351</v>
      </c>
      <c r="B14" s="589"/>
      <c r="C14" s="589"/>
      <c r="D14" s="589"/>
      <c r="E14" s="589"/>
      <c r="F14" s="591">
        <v>13</v>
      </c>
      <c r="G14" s="691" t="s">
        <v>167</v>
      </c>
      <c r="H14" s="691" t="s">
        <v>187</v>
      </c>
      <c r="I14" s="691" t="s">
        <v>207</v>
      </c>
      <c r="J14" s="691" t="s">
        <v>147</v>
      </c>
      <c r="K14" s="691" t="s">
        <v>217</v>
      </c>
      <c r="L14" s="691" t="s">
        <v>177</v>
      </c>
      <c r="M14" s="691" t="s">
        <v>237</v>
      </c>
      <c r="N14" s="691" t="s">
        <v>227</v>
      </c>
      <c r="O14" s="589"/>
      <c r="P14" s="717" cm="1">
        <f t="array" ref="P14">F14</f>
        <v>13</v>
      </c>
      <c r="Q14" s="620" t="str" cm="1">
        <f t="array" ref="Q14">RIGHT(G14,1)</f>
        <v>E</v>
      </c>
      <c r="R14" s="590" t="str" cm="1">
        <f t="array" ref="R14">RIGHT(H14,1)</f>
        <v>G</v>
      </c>
      <c r="S14" s="590" t="str" cm="1">
        <f t="array" ref="S14">RIGHT(I14,1)</f>
        <v>I</v>
      </c>
      <c r="T14" s="590" t="str" cm="1">
        <f t="array" ref="T14">RIGHT(J14,1)</f>
        <v>C</v>
      </c>
      <c r="U14" s="590" t="str" cm="1">
        <f t="array" ref="U14">RIGHT(K14,1)</f>
        <v>J</v>
      </c>
      <c r="V14" s="590" t="str" cm="1">
        <f t="array" ref="V14">RIGHT(L14,1)</f>
        <v>F</v>
      </c>
      <c r="W14" s="590" t="str" cm="1">
        <f t="array" ref="W14">RIGHT(M14,1)</f>
        <v>L</v>
      </c>
      <c r="X14" s="590" t="str" cm="1">
        <f t="array" ref="X14">RIGHT(N14,1)</f>
        <v>K</v>
      </c>
      <c r="Y14" s="708" cm="1">
        <f t="array" ref="Y14">COUNTIF($AA$2:$AA$9,Q14)+COUNTIF($AA$2:$AA$9,R14)+COUNTIF($AA$2:$AA$9,S14)+COUNTIF($AA$2:$AA$9,T14)+COUNTIF($AA$2:$AA$9,U14)+COUNTIF($AA$2:$AA$9,V14)+COUNTIF($AA$2:$AA$9,W14)+COUNTIF($AA$2:$AA$9,X14)</f>
        <v>6</v>
      </c>
      <c r="Z14" s="589"/>
      <c r="AA14" s="589"/>
      <c r="AB14" s="589"/>
      <c r="AC14" s="589"/>
      <c r="AD14" s="589"/>
      <c r="AE14" s="589"/>
      <c r="AF14" s="589"/>
      <c r="AG14" s="589"/>
      <c r="AH14" s="589"/>
      <c r="AI14" s="589"/>
      <c r="AJ14" s="589"/>
      <c r="AK14" s="589"/>
      <c r="AL14" s="589"/>
      <c r="AM14" s="589"/>
      <c r="AN14" s="589"/>
      <c r="AO14" s="589"/>
      <c r="AP14" s="589"/>
      <c r="AQ14" s="589"/>
      <c r="AR14" s="589"/>
      <c r="AS14" s="589"/>
      <c r="AT14" s="589"/>
      <c r="AU14" s="589"/>
      <c r="AV14" s="589"/>
      <c r="AW14" s="589"/>
      <c r="AX14" s="589"/>
      <c r="AY14" s="589"/>
      <c r="AZ14" s="589"/>
      <c r="BA14" s="589"/>
      <c r="BB14" s="589"/>
      <c r="BC14" s="589"/>
      <c r="BD14" s="589"/>
      <c r="BE14" s="589"/>
      <c r="BF14" s="589"/>
      <c r="BG14" s="589"/>
      <c r="BH14" s="589"/>
      <c r="BI14" s="589"/>
      <c r="BJ14" s="589"/>
      <c r="BK14" s="589"/>
      <c r="BL14" s="589"/>
    </row>
    <row r="15" spans="1:64" ht="14.25" customHeight="1">
      <c r="A15" s="691" t="s">
        <v>352</v>
      </c>
      <c r="B15" s="589"/>
      <c r="C15" s="589"/>
      <c r="D15" s="589"/>
      <c r="E15" s="589"/>
      <c r="F15" s="591">
        <v>14</v>
      </c>
      <c r="G15" s="691" t="s">
        <v>167</v>
      </c>
      <c r="H15" s="691" t="s">
        <v>187</v>
      </c>
      <c r="I15" s="691" t="s">
        <v>217</v>
      </c>
      <c r="J15" s="691" t="s">
        <v>147</v>
      </c>
      <c r="K15" s="691" t="s">
        <v>197</v>
      </c>
      <c r="L15" s="691" t="s">
        <v>177</v>
      </c>
      <c r="M15" s="691" t="s">
        <v>237</v>
      </c>
      <c r="N15" s="691" t="s">
        <v>227</v>
      </c>
      <c r="O15" s="589"/>
      <c r="P15" s="717" cm="1">
        <f t="array" ref="P15">F15</f>
        <v>14</v>
      </c>
      <c r="Q15" s="620" t="str" cm="1">
        <f t="array" ref="Q15">RIGHT(G15,1)</f>
        <v>E</v>
      </c>
      <c r="R15" s="590" t="str" cm="1">
        <f t="array" ref="R15">RIGHT(H15,1)</f>
        <v>G</v>
      </c>
      <c r="S15" s="590" t="str" cm="1">
        <f t="array" ref="S15">RIGHT(I15,1)</f>
        <v>J</v>
      </c>
      <c r="T15" s="590" t="str" cm="1">
        <f t="array" ref="T15">RIGHT(J15,1)</f>
        <v>C</v>
      </c>
      <c r="U15" s="590" t="str" cm="1">
        <f t="array" ref="U15">RIGHT(K15,1)</f>
        <v>H</v>
      </c>
      <c r="V15" s="590" t="str" cm="1">
        <f t="array" ref="V15">RIGHT(L15,1)</f>
        <v>F</v>
      </c>
      <c r="W15" s="590" t="str" cm="1">
        <f t="array" ref="W15">RIGHT(M15,1)</f>
        <v>L</v>
      </c>
      <c r="X15" s="590" t="str" cm="1">
        <f t="array" ref="X15">RIGHT(N15,1)</f>
        <v>K</v>
      </c>
      <c r="Y15" s="708" cm="1">
        <f t="array" ref="Y15">COUNTIF($AA$2:$AA$9,Q15)+COUNTIF($AA$2:$AA$9,R15)+COUNTIF($AA$2:$AA$9,S15)+COUNTIF($AA$2:$AA$9,T15)+COUNTIF($AA$2:$AA$9,U15)+COUNTIF($AA$2:$AA$9,V15)+COUNTIF($AA$2:$AA$9,W15)+COUNTIF($AA$2:$AA$9,X15)</f>
        <v>5</v>
      </c>
      <c r="Z15" s="589"/>
      <c r="AA15" s="589"/>
      <c r="AB15" s="589"/>
      <c r="AC15" s="589"/>
      <c r="AD15" s="589"/>
      <c r="AE15" s="589"/>
      <c r="AF15" s="589"/>
      <c r="AG15" s="589"/>
      <c r="AH15" s="589"/>
      <c r="AI15" s="589"/>
      <c r="AJ15" s="589"/>
      <c r="AK15" s="589"/>
      <c r="AL15" s="589"/>
      <c r="AM15" s="589"/>
      <c r="AN15" s="589"/>
      <c r="AO15" s="589"/>
      <c r="AP15" s="589"/>
      <c r="AQ15" s="716" t="str" cm="1">
        <f t="array" ref="AQ15">IF(SUM(AQ2:AQ13)=3*12,"DONE","-")</f>
        <v>DONE</v>
      </c>
      <c r="AR15" s="589"/>
      <c r="AS15" s="589"/>
      <c r="AT15" s="589"/>
      <c r="AU15" s="589"/>
      <c r="AV15" s="589"/>
      <c r="AW15" s="589"/>
      <c r="AX15" s="589"/>
      <c r="AY15" s="589"/>
      <c r="AZ15" s="589"/>
      <c r="BA15" s="589"/>
      <c r="BB15" s="589"/>
      <c r="BC15" s="589"/>
      <c r="BD15" s="589"/>
      <c r="BE15" s="589"/>
      <c r="BF15" s="589"/>
      <c r="BG15" s="589"/>
      <c r="BH15" s="589"/>
      <c r="BI15" s="589"/>
      <c r="BJ15" s="589"/>
      <c r="BK15" s="589"/>
      <c r="BL15" s="589"/>
    </row>
    <row r="16" spans="1:64" ht="14.25" customHeight="1">
      <c r="A16" s="691" t="s">
        <v>353</v>
      </c>
      <c r="B16" s="589"/>
      <c r="C16" s="589"/>
      <c r="D16" s="589"/>
      <c r="E16" s="589"/>
      <c r="F16" s="591">
        <v>15</v>
      </c>
      <c r="G16" s="691" t="s">
        <v>167</v>
      </c>
      <c r="H16" s="691" t="s">
        <v>187</v>
      </c>
      <c r="I16" s="691" t="s">
        <v>207</v>
      </c>
      <c r="J16" s="691" t="s">
        <v>147</v>
      </c>
      <c r="K16" s="691" t="s">
        <v>197</v>
      </c>
      <c r="L16" s="691" t="s">
        <v>177</v>
      </c>
      <c r="M16" s="691" t="s">
        <v>237</v>
      </c>
      <c r="N16" s="691" t="s">
        <v>227</v>
      </c>
      <c r="O16" s="589"/>
      <c r="P16" s="717" cm="1">
        <f t="array" ref="P16">F16</f>
        <v>15</v>
      </c>
      <c r="Q16" s="620" t="str" cm="1">
        <f t="array" ref="Q16">RIGHT(G16,1)</f>
        <v>E</v>
      </c>
      <c r="R16" s="590" t="str" cm="1">
        <f t="array" ref="R16">RIGHT(H16,1)</f>
        <v>G</v>
      </c>
      <c r="S16" s="590" t="str" cm="1">
        <f t="array" ref="S16">RIGHT(I16,1)</f>
        <v>I</v>
      </c>
      <c r="T16" s="590" t="str" cm="1">
        <f t="array" ref="T16">RIGHT(J16,1)</f>
        <v>C</v>
      </c>
      <c r="U16" s="590" t="str" cm="1">
        <f t="array" ref="U16">RIGHT(K16,1)</f>
        <v>H</v>
      </c>
      <c r="V16" s="590" t="str" cm="1">
        <f t="array" ref="V16">RIGHT(L16,1)</f>
        <v>F</v>
      </c>
      <c r="W16" s="590" t="str" cm="1">
        <f t="array" ref="W16">RIGHT(M16,1)</f>
        <v>L</v>
      </c>
      <c r="X16" s="590" t="str" cm="1">
        <f t="array" ref="X16">RIGHT(N16,1)</f>
        <v>K</v>
      </c>
      <c r="Y16" s="708" cm="1">
        <f t="array" ref="Y16">COUNTIF($AA$2:$AA$9,Q16)+COUNTIF($AA$2:$AA$9,R16)+COUNTIF($AA$2:$AA$9,S16)+COUNTIF($AA$2:$AA$9,T16)+COUNTIF($AA$2:$AA$9,U16)+COUNTIF($AA$2:$AA$9,V16)+COUNTIF($AA$2:$AA$9,W16)+COUNTIF($AA$2:$AA$9,X16)</f>
        <v>5</v>
      </c>
      <c r="Z16" s="589"/>
      <c r="AA16" s="589"/>
      <c r="AB16" s="589"/>
      <c r="AC16" s="589"/>
      <c r="AD16" s="589"/>
      <c r="AE16" s="589"/>
      <c r="AF16" s="589"/>
      <c r="AG16" s="589"/>
      <c r="AH16" s="589"/>
      <c r="AI16" s="589"/>
      <c r="AJ16" s="589"/>
      <c r="AK16" s="589"/>
      <c r="AL16" s="589"/>
      <c r="AM16" s="589"/>
      <c r="AN16" s="589"/>
      <c r="AO16" s="589"/>
      <c r="AP16" s="589"/>
      <c r="AQ16" s="589"/>
      <c r="AR16" s="589"/>
      <c r="AS16" s="589"/>
      <c r="AT16" s="589"/>
      <c r="AU16" s="589"/>
      <c r="AV16" s="589"/>
      <c r="AW16" s="589"/>
      <c r="AX16" s="589"/>
      <c r="AY16" s="589"/>
      <c r="AZ16" s="589"/>
      <c r="BA16" s="589"/>
      <c r="BB16" s="589"/>
      <c r="BC16" s="589"/>
      <c r="BD16" s="589"/>
      <c r="BE16" s="589"/>
      <c r="BF16" s="589"/>
      <c r="BG16" s="589"/>
      <c r="BH16" s="589"/>
      <c r="BI16" s="589"/>
      <c r="BJ16" s="589"/>
      <c r="BK16" s="589"/>
      <c r="BL16" s="589"/>
    </row>
    <row r="17" spans="1:64" ht="14.25" customHeight="1">
      <c r="A17" s="691" t="s">
        <v>354</v>
      </c>
      <c r="B17" s="589"/>
      <c r="C17" s="589"/>
      <c r="D17" s="589"/>
      <c r="E17" s="589"/>
      <c r="F17" s="591">
        <v>16</v>
      </c>
      <c r="G17" s="691" t="s">
        <v>167</v>
      </c>
      <c r="H17" s="691" t="s">
        <v>187</v>
      </c>
      <c r="I17" s="691" t="s">
        <v>217</v>
      </c>
      <c r="J17" s="691" t="s">
        <v>147</v>
      </c>
      <c r="K17" s="691" t="s">
        <v>197</v>
      </c>
      <c r="L17" s="691" t="s">
        <v>177</v>
      </c>
      <c r="M17" s="691" t="s">
        <v>237</v>
      </c>
      <c r="N17" s="691" t="s">
        <v>207</v>
      </c>
      <c r="O17" s="589"/>
      <c r="P17" s="717" cm="1">
        <f t="array" ref="P17">F17</f>
        <v>16</v>
      </c>
      <c r="Q17" s="620" t="str" cm="1">
        <f t="array" ref="Q17">RIGHT(G17,1)</f>
        <v>E</v>
      </c>
      <c r="R17" s="590" t="str" cm="1">
        <f t="array" ref="R17">RIGHT(H17,1)</f>
        <v>G</v>
      </c>
      <c r="S17" s="590" t="str" cm="1">
        <f t="array" ref="S17">RIGHT(I17,1)</f>
        <v>J</v>
      </c>
      <c r="T17" s="590" t="str" cm="1">
        <f t="array" ref="T17">RIGHT(J17,1)</f>
        <v>C</v>
      </c>
      <c r="U17" s="590" t="str" cm="1">
        <f t="array" ref="U17">RIGHT(K17,1)</f>
        <v>H</v>
      </c>
      <c r="V17" s="590" t="str" cm="1">
        <f t="array" ref="V17">RIGHT(L17,1)</f>
        <v>F</v>
      </c>
      <c r="W17" s="590" t="str" cm="1">
        <f t="array" ref="W17">RIGHT(M17,1)</f>
        <v>L</v>
      </c>
      <c r="X17" s="590" t="str" cm="1">
        <f t="array" ref="X17">RIGHT(N17,1)</f>
        <v>I</v>
      </c>
      <c r="Y17" s="708" cm="1">
        <f t="array" ref="Y17">COUNTIF($AA$2:$AA$9,Q17)+COUNTIF($AA$2:$AA$9,R17)+COUNTIF($AA$2:$AA$9,S17)+COUNTIF($AA$2:$AA$9,T17)+COUNTIF($AA$2:$AA$9,U17)+COUNTIF($AA$2:$AA$9,V17)+COUNTIF($AA$2:$AA$9,W17)+COUNTIF($AA$2:$AA$9,X17)</f>
        <v>6</v>
      </c>
      <c r="Z17" s="589"/>
      <c r="AA17" s="589"/>
      <c r="AB17" s="589"/>
      <c r="AC17" s="589"/>
      <c r="AD17" s="589"/>
      <c r="AE17" s="589"/>
      <c r="AF17" s="589"/>
      <c r="AG17" s="589"/>
      <c r="AH17" s="589"/>
      <c r="AI17" s="589"/>
      <c r="AJ17" s="589"/>
      <c r="AK17" s="589"/>
      <c r="AL17" s="589"/>
      <c r="AM17" s="589"/>
      <c r="AN17" s="589"/>
      <c r="AO17" s="589"/>
      <c r="AP17" s="589"/>
      <c r="AQ17" s="589"/>
      <c r="AR17" s="589"/>
      <c r="AS17" s="589"/>
      <c r="AT17" s="589"/>
      <c r="AU17" s="589"/>
      <c r="AV17" s="589"/>
      <c r="AW17" s="589"/>
      <c r="AX17" s="589"/>
      <c r="AY17" s="589"/>
      <c r="AZ17" s="589"/>
      <c r="BA17" s="589"/>
      <c r="BB17" s="589"/>
      <c r="BC17" s="589"/>
      <c r="BD17" s="589"/>
      <c r="BE17" s="589"/>
      <c r="BF17" s="589"/>
      <c r="BG17" s="589"/>
      <c r="BH17" s="589"/>
      <c r="BI17" s="589"/>
      <c r="BJ17" s="589"/>
      <c r="BK17" s="589"/>
      <c r="BL17" s="589"/>
    </row>
    <row r="18" spans="1:64" ht="14.25" customHeight="1">
      <c r="A18" s="691" t="s">
        <v>355</v>
      </c>
      <c r="B18" s="589"/>
      <c r="C18" s="589"/>
      <c r="D18" s="589"/>
      <c r="E18" s="589"/>
      <c r="F18" s="591">
        <v>17</v>
      </c>
      <c r="G18" s="691" t="s">
        <v>167</v>
      </c>
      <c r="H18" s="691" t="s">
        <v>187</v>
      </c>
      <c r="I18" s="691" t="s">
        <v>217</v>
      </c>
      <c r="J18" s="691" t="s">
        <v>147</v>
      </c>
      <c r="K18" s="691" t="s">
        <v>197</v>
      </c>
      <c r="L18" s="691" t="s">
        <v>177</v>
      </c>
      <c r="M18" s="691" t="s">
        <v>207</v>
      </c>
      <c r="N18" s="691" t="s">
        <v>227</v>
      </c>
      <c r="O18" s="589"/>
      <c r="P18" s="717" cm="1">
        <f t="array" ref="P18">F18</f>
        <v>17</v>
      </c>
      <c r="Q18" s="620" t="str" cm="1">
        <f t="array" ref="Q18">RIGHT(G18,1)</f>
        <v>E</v>
      </c>
      <c r="R18" s="590" t="str" cm="1">
        <f t="array" ref="R18">RIGHT(H18,1)</f>
        <v>G</v>
      </c>
      <c r="S18" s="590" t="str" cm="1">
        <f t="array" ref="S18">RIGHT(I18,1)</f>
        <v>J</v>
      </c>
      <c r="T18" s="590" t="str" cm="1">
        <f t="array" ref="T18">RIGHT(J18,1)</f>
        <v>C</v>
      </c>
      <c r="U18" s="590" t="str" cm="1">
        <f t="array" ref="U18">RIGHT(K18,1)</f>
        <v>H</v>
      </c>
      <c r="V18" s="590" t="str" cm="1">
        <f t="array" ref="V18">RIGHT(L18,1)</f>
        <v>F</v>
      </c>
      <c r="W18" s="590" t="str" cm="1">
        <f t="array" ref="W18">RIGHT(M18,1)</f>
        <v>I</v>
      </c>
      <c r="X18" s="590" t="str" cm="1">
        <f t="array" ref="X18">RIGHT(N18,1)</f>
        <v>K</v>
      </c>
      <c r="Y18" s="708" cm="1">
        <f t="array" ref="Y18">COUNTIF($AA$2:$AA$9,Q18)+COUNTIF($AA$2:$AA$9,R18)+COUNTIF($AA$2:$AA$9,S18)+COUNTIF($AA$2:$AA$9,T18)+COUNTIF($AA$2:$AA$9,U18)+COUNTIF($AA$2:$AA$9,V18)+COUNTIF($AA$2:$AA$9,W18)+COUNTIF($AA$2:$AA$9,X18)</f>
        <v>5</v>
      </c>
      <c r="Z18" s="589"/>
      <c r="AA18" s="589"/>
      <c r="AB18" s="589"/>
      <c r="AC18" s="589"/>
      <c r="AD18" s="589"/>
      <c r="AE18" s="589"/>
      <c r="AF18" s="589"/>
      <c r="AG18" s="589"/>
      <c r="AH18" s="589"/>
      <c r="AI18" s="589"/>
      <c r="AJ18" s="589"/>
      <c r="AK18" s="589"/>
      <c r="AL18" s="589"/>
      <c r="AM18" s="589"/>
      <c r="AN18" s="589"/>
      <c r="AO18" s="589"/>
      <c r="AP18" s="589"/>
      <c r="AQ18" s="589"/>
      <c r="AR18" s="589"/>
      <c r="AS18" s="589"/>
      <c r="AT18" s="589"/>
      <c r="AU18" s="589"/>
      <c r="AV18" s="589"/>
      <c r="AW18" s="589"/>
      <c r="AX18" s="589"/>
      <c r="AY18" s="589"/>
      <c r="AZ18" s="589"/>
      <c r="BA18" s="589"/>
      <c r="BB18" s="589"/>
      <c r="BC18" s="589"/>
      <c r="BD18" s="589"/>
      <c r="BE18" s="589"/>
      <c r="BF18" s="589"/>
      <c r="BG18" s="589"/>
      <c r="BH18" s="589"/>
      <c r="BI18" s="589"/>
      <c r="BJ18" s="589"/>
      <c r="BK18" s="589"/>
      <c r="BL18" s="589"/>
    </row>
    <row r="19" spans="1:64" ht="14.25" customHeight="1">
      <c r="A19" s="691" t="s">
        <v>356</v>
      </c>
      <c r="B19" s="589"/>
      <c r="C19" s="589"/>
      <c r="D19" s="589"/>
      <c r="E19" s="589"/>
      <c r="F19" s="591">
        <v>18</v>
      </c>
      <c r="G19" s="691" t="s">
        <v>197</v>
      </c>
      <c r="H19" s="691" t="s">
        <v>187</v>
      </c>
      <c r="I19" s="691" t="s">
        <v>207</v>
      </c>
      <c r="J19" s="691" t="s">
        <v>147</v>
      </c>
      <c r="K19" s="691" t="s">
        <v>217</v>
      </c>
      <c r="L19" s="691" t="s">
        <v>157</v>
      </c>
      <c r="M19" s="691" t="s">
        <v>237</v>
      </c>
      <c r="N19" s="691" t="s">
        <v>227</v>
      </c>
      <c r="O19" s="589"/>
      <c r="P19" s="717" cm="1">
        <f t="array" ref="P19">F19</f>
        <v>18</v>
      </c>
      <c r="Q19" s="620" t="str" cm="1">
        <f t="array" ref="Q19">RIGHT(G19,1)</f>
        <v>H</v>
      </c>
      <c r="R19" s="590" t="str" cm="1">
        <f t="array" ref="R19">RIGHT(H19,1)</f>
        <v>G</v>
      </c>
      <c r="S19" s="590" t="str" cm="1">
        <f t="array" ref="S19">RIGHT(I19,1)</f>
        <v>I</v>
      </c>
      <c r="T19" s="590" t="str" cm="1">
        <f t="array" ref="T19">RIGHT(J19,1)</f>
        <v>C</v>
      </c>
      <c r="U19" s="590" t="str" cm="1">
        <f t="array" ref="U19">RIGHT(K19,1)</f>
        <v>J</v>
      </c>
      <c r="V19" s="590" t="str" cm="1">
        <f t="array" ref="V19">RIGHT(L19,1)</f>
        <v>D</v>
      </c>
      <c r="W19" s="590" t="str" cm="1">
        <f t="array" ref="W19">RIGHT(M19,1)</f>
        <v>L</v>
      </c>
      <c r="X19" s="590" t="str" cm="1">
        <f t="array" ref="X19">RIGHT(N19,1)</f>
        <v>K</v>
      </c>
      <c r="Y19" s="708" cm="1">
        <f t="array" ref="Y19">COUNTIF($AA$2:$AA$9,Q19)+COUNTIF($AA$2:$AA$9,R19)+COUNTIF($AA$2:$AA$9,S19)+COUNTIF($AA$2:$AA$9,T19)+COUNTIF($AA$2:$AA$9,U19)+COUNTIF($AA$2:$AA$9,V19)+COUNTIF($AA$2:$AA$9,W19)+COUNTIF($AA$2:$AA$9,X19)</f>
        <v>5</v>
      </c>
      <c r="Z19" s="589"/>
      <c r="AA19" s="589"/>
      <c r="AB19" s="589"/>
      <c r="AC19" s="589"/>
      <c r="AD19" s="589"/>
      <c r="AE19" s="589"/>
      <c r="AF19" s="589"/>
      <c r="AG19" s="589"/>
      <c r="AH19" s="589"/>
      <c r="AI19" s="589"/>
      <c r="AJ19" s="589"/>
      <c r="AK19" s="589"/>
      <c r="AL19" s="589"/>
      <c r="AM19" s="589"/>
      <c r="AN19" s="589"/>
      <c r="AO19" s="589"/>
      <c r="AP19" s="589"/>
      <c r="AQ19" s="589"/>
      <c r="AR19" s="589"/>
      <c r="AS19" s="589"/>
      <c r="AT19" s="589"/>
      <c r="AU19" s="589"/>
      <c r="AV19" s="589"/>
      <c r="AW19" s="589"/>
      <c r="AX19" s="589"/>
      <c r="AY19" s="589"/>
      <c r="AZ19" s="589"/>
      <c r="BA19" s="589"/>
      <c r="BB19" s="589"/>
      <c r="BC19" s="589"/>
      <c r="BD19" s="589"/>
      <c r="BE19" s="589"/>
      <c r="BF19" s="589"/>
      <c r="BG19" s="589"/>
      <c r="BH19" s="589"/>
      <c r="BI19" s="589"/>
      <c r="BJ19" s="589"/>
      <c r="BK19" s="589"/>
      <c r="BL19" s="589"/>
    </row>
    <row r="20" spans="1:64" ht="14.25" customHeight="1">
      <c r="A20" s="691" t="s">
        <v>357</v>
      </c>
      <c r="B20" s="589"/>
      <c r="C20" s="589"/>
      <c r="D20" s="589"/>
      <c r="E20" s="589"/>
      <c r="F20" s="591">
        <v>19</v>
      </c>
      <c r="G20" s="691" t="s">
        <v>147</v>
      </c>
      <c r="H20" s="691" t="s">
        <v>217</v>
      </c>
      <c r="I20" s="691" t="s">
        <v>207</v>
      </c>
      <c r="J20" s="691" t="s">
        <v>157</v>
      </c>
      <c r="K20" s="691" t="s">
        <v>197</v>
      </c>
      <c r="L20" s="691" t="s">
        <v>177</v>
      </c>
      <c r="M20" s="691" t="s">
        <v>237</v>
      </c>
      <c r="N20" s="691" t="s">
        <v>227</v>
      </c>
      <c r="O20" s="589"/>
      <c r="P20" s="717" cm="1">
        <f t="array" ref="P20">F20</f>
        <v>19</v>
      </c>
      <c r="Q20" s="620" t="str" cm="1">
        <f t="array" ref="Q20">RIGHT(G20,1)</f>
        <v>C</v>
      </c>
      <c r="R20" s="590" t="str" cm="1">
        <f t="array" ref="R20">RIGHT(H20,1)</f>
        <v>J</v>
      </c>
      <c r="S20" s="590" t="str" cm="1">
        <f t="array" ref="S20">RIGHT(I20,1)</f>
        <v>I</v>
      </c>
      <c r="T20" s="590" t="str" cm="1">
        <f t="array" ref="T20">RIGHT(J20,1)</f>
        <v>D</v>
      </c>
      <c r="U20" s="590" t="str" cm="1">
        <f t="array" ref="U20">RIGHT(K20,1)</f>
        <v>H</v>
      </c>
      <c r="V20" s="590" t="str" cm="1">
        <f t="array" ref="V20">RIGHT(L20,1)</f>
        <v>F</v>
      </c>
      <c r="W20" s="590" t="str" cm="1">
        <f t="array" ref="W20">RIGHT(M20,1)</f>
        <v>L</v>
      </c>
      <c r="X20" s="590" t="str" cm="1">
        <f t="array" ref="X20">RIGHT(N20,1)</f>
        <v>K</v>
      </c>
      <c r="Y20" s="708" cm="1">
        <f t="array" ref="Y20">COUNTIF($AA$2:$AA$9,Q20)+COUNTIF($AA$2:$AA$9,R20)+COUNTIF($AA$2:$AA$9,S20)+COUNTIF($AA$2:$AA$9,T20)+COUNTIF($AA$2:$AA$9,U20)+COUNTIF($AA$2:$AA$9,V20)+COUNTIF($AA$2:$AA$9,W20)+COUNTIF($AA$2:$AA$9,X20)</f>
        <v>6</v>
      </c>
      <c r="Z20" s="589"/>
      <c r="AA20" s="589"/>
      <c r="AB20" s="589"/>
      <c r="AC20" s="589"/>
      <c r="AD20" s="589"/>
      <c r="AE20" s="589"/>
      <c r="AF20" s="589"/>
      <c r="AG20" s="589"/>
      <c r="AH20" s="589"/>
      <c r="AI20" s="589"/>
      <c r="AJ20" s="589"/>
      <c r="AK20" s="589"/>
      <c r="AL20" s="589"/>
      <c r="AM20" s="589"/>
      <c r="AN20" s="589"/>
      <c r="AO20" s="589"/>
      <c r="AP20" s="589"/>
      <c r="AQ20" s="589"/>
      <c r="AR20" s="589"/>
      <c r="AS20" s="589"/>
      <c r="AT20" s="589"/>
      <c r="AU20" s="589"/>
      <c r="AV20" s="589"/>
      <c r="AW20" s="589"/>
      <c r="AX20" s="589"/>
      <c r="AY20" s="589"/>
      <c r="AZ20" s="589"/>
      <c r="BA20" s="589"/>
      <c r="BB20" s="589"/>
      <c r="BC20" s="589"/>
      <c r="BD20" s="589"/>
      <c r="BE20" s="589"/>
      <c r="BF20" s="589"/>
      <c r="BG20" s="589"/>
      <c r="BH20" s="589"/>
      <c r="BI20" s="589"/>
      <c r="BJ20" s="589"/>
      <c r="BK20" s="589"/>
      <c r="BL20" s="589"/>
    </row>
    <row r="21" spans="1:64" ht="14.25" customHeight="1">
      <c r="A21" s="691" t="s">
        <v>358</v>
      </c>
      <c r="B21" s="589"/>
      <c r="C21" s="589"/>
      <c r="D21" s="589"/>
      <c r="E21" s="589"/>
      <c r="F21" s="591">
        <v>20</v>
      </c>
      <c r="G21" s="691" t="s">
        <v>147</v>
      </c>
      <c r="H21" s="691" t="s">
        <v>187</v>
      </c>
      <c r="I21" s="691" t="s">
        <v>207</v>
      </c>
      <c r="J21" s="691" t="s">
        <v>157</v>
      </c>
      <c r="K21" s="691" t="s">
        <v>217</v>
      </c>
      <c r="L21" s="691" t="s">
        <v>177</v>
      </c>
      <c r="M21" s="691" t="s">
        <v>237</v>
      </c>
      <c r="N21" s="691" t="s">
        <v>227</v>
      </c>
      <c r="O21" s="589"/>
      <c r="P21" s="717" cm="1">
        <f t="array" ref="P21">F21</f>
        <v>20</v>
      </c>
      <c r="Q21" s="620" t="str" cm="1">
        <f t="array" ref="Q21">RIGHT(G21,1)</f>
        <v>C</v>
      </c>
      <c r="R21" s="590" t="str" cm="1">
        <f t="array" ref="R21">RIGHT(H21,1)</f>
        <v>G</v>
      </c>
      <c r="S21" s="590" t="str" cm="1">
        <f t="array" ref="S21">RIGHT(I21,1)</f>
        <v>I</v>
      </c>
      <c r="T21" s="590" t="str" cm="1">
        <f t="array" ref="T21">RIGHT(J21,1)</f>
        <v>D</v>
      </c>
      <c r="U21" s="590" t="str" cm="1">
        <f t="array" ref="U21">RIGHT(K21,1)</f>
        <v>J</v>
      </c>
      <c r="V21" s="590" t="str" cm="1">
        <f t="array" ref="V21">RIGHT(L21,1)</f>
        <v>F</v>
      </c>
      <c r="W21" s="590" t="str" cm="1">
        <f t="array" ref="W21">RIGHT(M21,1)</f>
        <v>L</v>
      </c>
      <c r="X21" s="590" t="str" cm="1">
        <f t="array" ref="X21">RIGHT(N21,1)</f>
        <v>K</v>
      </c>
      <c r="Y21" s="708" cm="1">
        <f t="array" ref="Y21">COUNTIF($AA$2:$AA$9,Q21)+COUNTIF($AA$2:$AA$9,R21)+COUNTIF($AA$2:$AA$9,S21)+COUNTIF($AA$2:$AA$9,T21)+COUNTIF($AA$2:$AA$9,U21)+COUNTIF($AA$2:$AA$9,V21)+COUNTIF($AA$2:$AA$9,W21)+COUNTIF($AA$2:$AA$9,X21)</f>
        <v>6</v>
      </c>
      <c r="Z21" s="589"/>
      <c r="AA21" s="589"/>
      <c r="AB21" s="589"/>
      <c r="AC21" s="589"/>
      <c r="AD21" s="589"/>
      <c r="AE21" s="589"/>
      <c r="AF21" s="589"/>
      <c r="AG21" s="589"/>
      <c r="AH21" s="589"/>
      <c r="AI21" s="589"/>
      <c r="AJ21" s="589"/>
      <c r="AK21" s="589"/>
      <c r="AL21" s="589"/>
      <c r="AM21" s="589"/>
      <c r="AN21" s="589"/>
      <c r="AO21" s="589"/>
      <c r="AP21" s="589"/>
      <c r="AQ21" s="589"/>
      <c r="AR21" s="589"/>
      <c r="AS21" s="589"/>
      <c r="AT21" s="589"/>
      <c r="AU21" s="589"/>
      <c r="AV21" s="589"/>
      <c r="AW21" s="589"/>
      <c r="AX21" s="589"/>
      <c r="AY21" s="589"/>
      <c r="AZ21" s="589"/>
      <c r="BA21" s="589"/>
      <c r="BB21" s="589"/>
      <c r="BC21" s="589"/>
      <c r="BD21" s="589"/>
      <c r="BE21" s="589"/>
      <c r="BF21" s="589"/>
      <c r="BG21" s="589"/>
      <c r="BH21" s="589"/>
      <c r="BI21" s="589"/>
      <c r="BJ21" s="589"/>
      <c r="BK21" s="589"/>
      <c r="BL21" s="589"/>
    </row>
    <row r="22" spans="1:64" ht="14.25" customHeight="1">
      <c r="A22" s="691" t="s">
        <v>359</v>
      </c>
      <c r="B22" s="589"/>
      <c r="C22" s="589"/>
      <c r="D22" s="589"/>
      <c r="E22" s="589"/>
      <c r="F22" s="591">
        <v>21</v>
      </c>
      <c r="G22" s="691" t="s">
        <v>147</v>
      </c>
      <c r="H22" s="691" t="s">
        <v>187</v>
      </c>
      <c r="I22" s="691" t="s">
        <v>217</v>
      </c>
      <c r="J22" s="691" t="s">
        <v>157</v>
      </c>
      <c r="K22" s="691" t="s">
        <v>197</v>
      </c>
      <c r="L22" s="691" t="s">
        <v>177</v>
      </c>
      <c r="M22" s="691" t="s">
        <v>237</v>
      </c>
      <c r="N22" s="691" t="s">
        <v>227</v>
      </c>
      <c r="O22" s="589"/>
      <c r="P22" s="717" cm="1">
        <f t="array" ref="P22">F22</f>
        <v>21</v>
      </c>
      <c r="Q22" s="620" t="str" cm="1">
        <f t="array" ref="Q22">RIGHT(G22,1)</f>
        <v>C</v>
      </c>
      <c r="R22" s="590" t="str" cm="1">
        <f t="array" ref="R22">RIGHT(H22,1)</f>
        <v>G</v>
      </c>
      <c r="S22" s="590" t="str" cm="1">
        <f t="array" ref="S22">RIGHT(I22,1)</f>
        <v>J</v>
      </c>
      <c r="T22" s="590" t="str" cm="1">
        <f t="array" ref="T22">RIGHT(J22,1)</f>
        <v>D</v>
      </c>
      <c r="U22" s="590" t="str" cm="1">
        <f t="array" ref="U22">RIGHT(K22,1)</f>
        <v>H</v>
      </c>
      <c r="V22" s="590" t="str" cm="1">
        <f t="array" ref="V22">RIGHT(L22,1)</f>
        <v>F</v>
      </c>
      <c r="W22" s="590" t="str" cm="1">
        <f t="array" ref="W22">RIGHT(M22,1)</f>
        <v>L</v>
      </c>
      <c r="X22" s="590" t="str" cm="1">
        <f t="array" ref="X22">RIGHT(N22,1)</f>
        <v>K</v>
      </c>
      <c r="Y22" s="708" cm="1">
        <f t="array" ref="Y22">COUNTIF($AA$2:$AA$9,Q22)+COUNTIF($AA$2:$AA$9,R22)+COUNTIF($AA$2:$AA$9,S22)+COUNTIF($AA$2:$AA$9,T22)+COUNTIF($AA$2:$AA$9,U22)+COUNTIF($AA$2:$AA$9,V22)+COUNTIF($AA$2:$AA$9,W22)+COUNTIF($AA$2:$AA$9,X22)</f>
        <v>5</v>
      </c>
      <c r="Z22" s="589"/>
      <c r="AA22" s="589"/>
      <c r="AB22" s="589"/>
      <c r="AC22" s="589"/>
      <c r="AD22" s="589"/>
      <c r="AE22" s="589"/>
      <c r="AF22" s="589"/>
      <c r="AG22" s="589"/>
      <c r="AH22" s="589"/>
      <c r="AI22" s="589"/>
      <c r="AJ22" s="589"/>
      <c r="AK22" s="589"/>
      <c r="AL22" s="589"/>
      <c r="AM22" s="589"/>
      <c r="AN22" s="589"/>
      <c r="AO22" s="589"/>
      <c r="AP22" s="589"/>
      <c r="AQ22" s="589"/>
      <c r="AR22" s="589"/>
      <c r="AS22" s="589"/>
      <c r="AT22" s="589"/>
      <c r="AU22" s="589"/>
      <c r="AV22" s="589"/>
      <c r="AW22" s="589"/>
      <c r="AX22" s="589"/>
      <c r="AY22" s="589"/>
      <c r="AZ22" s="589"/>
      <c r="BA22" s="589"/>
      <c r="BB22" s="589"/>
      <c r="BC22" s="589"/>
      <c r="BD22" s="589"/>
      <c r="BE22" s="589"/>
      <c r="BF22" s="589"/>
      <c r="BG22" s="589"/>
      <c r="BH22" s="589"/>
      <c r="BI22" s="589"/>
      <c r="BJ22" s="589"/>
      <c r="BK22" s="589"/>
      <c r="BL22" s="589"/>
    </row>
    <row r="23" spans="1:64" ht="14.25" customHeight="1">
      <c r="A23" s="691" t="s">
        <v>360</v>
      </c>
      <c r="B23" s="589"/>
      <c r="C23" s="589"/>
      <c r="D23" s="589"/>
      <c r="E23" s="589"/>
      <c r="F23" s="591">
        <v>22</v>
      </c>
      <c r="G23" s="691" t="s">
        <v>147</v>
      </c>
      <c r="H23" s="691" t="s">
        <v>187</v>
      </c>
      <c r="I23" s="691" t="s">
        <v>207</v>
      </c>
      <c r="J23" s="691" t="s">
        <v>157</v>
      </c>
      <c r="K23" s="691" t="s">
        <v>197</v>
      </c>
      <c r="L23" s="691" t="s">
        <v>177</v>
      </c>
      <c r="M23" s="691" t="s">
        <v>237</v>
      </c>
      <c r="N23" s="691" t="s">
        <v>227</v>
      </c>
      <c r="O23" s="589"/>
      <c r="P23" s="717" cm="1">
        <f t="array" ref="P23">F23</f>
        <v>22</v>
      </c>
      <c r="Q23" s="620" t="str" cm="1">
        <f t="array" ref="Q23">RIGHT(G23,1)</f>
        <v>C</v>
      </c>
      <c r="R23" s="590" t="str" cm="1">
        <f t="array" ref="R23">RIGHT(H23,1)</f>
        <v>G</v>
      </c>
      <c r="S23" s="590" t="str" cm="1">
        <f t="array" ref="S23">RIGHT(I23,1)</f>
        <v>I</v>
      </c>
      <c r="T23" s="590" t="str" cm="1">
        <f t="array" ref="T23">RIGHT(J23,1)</f>
        <v>D</v>
      </c>
      <c r="U23" s="590" t="str" cm="1">
        <f t="array" ref="U23">RIGHT(K23,1)</f>
        <v>H</v>
      </c>
      <c r="V23" s="590" t="str" cm="1">
        <f t="array" ref="V23">RIGHT(L23,1)</f>
        <v>F</v>
      </c>
      <c r="W23" s="590" t="str" cm="1">
        <f t="array" ref="W23">RIGHT(M23,1)</f>
        <v>L</v>
      </c>
      <c r="X23" s="590" t="str" cm="1">
        <f t="array" ref="X23">RIGHT(N23,1)</f>
        <v>K</v>
      </c>
      <c r="Y23" s="708" cm="1">
        <f t="array" ref="Y23">COUNTIF($AA$2:$AA$9,Q23)+COUNTIF($AA$2:$AA$9,R23)+COUNTIF($AA$2:$AA$9,S23)+COUNTIF($AA$2:$AA$9,T23)+COUNTIF($AA$2:$AA$9,U23)+COUNTIF($AA$2:$AA$9,V23)+COUNTIF($AA$2:$AA$9,W23)+COUNTIF($AA$2:$AA$9,X23)</f>
        <v>5</v>
      </c>
      <c r="Z23" s="589"/>
      <c r="AA23" s="589"/>
      <c r="AB23" s="589"/>
      <c r="AC23" s="589"/>
      <c r="AD23" s="589"/>
      <c r="AE23" s="589"/>
      <c r="AF23" s="589"/>
      <c r="AG23" s="589"/>
      <c r="AH23" s="589"/>
      <c r="AI23" s="589"/>
      <c r="AJ23" s="589"/>
      <c r="AK23" s="589"/>
      <c r="AL23" s="589"/>
      <c r="AM23" s="589"/>
      <c r="AN23" s="589"/>
      <c r="AO23" s="589"/>
      <c r="AP23" s="589"/>
      <c r="AQ23" s="589"/>
      <c r="AR23" s="589"/>
      <c r="AS23" s="589"/>
      <c r="AT23" s="589"/>
      <c r="AU23" s="589"/>
      <c r="AV23" s="589"/>
      <c r="AW23" s="589"/>
      <c r="AX23" s="589"/>
      <c r="AY23" s="589"/>
      <c r="AZ23" s="589"/>
      <c r="BA23" s="589"/>
      <c r="BB23" s="589"/>
      <c r="BC23" s="589"/>
      <c r="BD23" s="589"/>
      <c r="BE23" s="589"/>
      <c r="BF23" s="589"/>
      <c r="BG23" s="589"/>
      <c r="BH23" s="589"/>
      <c r="BI23" s="589"/>
      <c r="BJ23" s="589"/>
      <c r="BK23" s="589"/>
      <c r="BL23" s="589"/>
    </row>
    <row r="24" spans="1:64" ht="14.25" customHeight="1">
      <c r="A24" s="691" t="s">
        <v>361</v>
      </c>
      <c r="B24" s="589"/>
      <c r="C24" s="589"/>
      <c r="D24" s="589"/>
      <c r="E24" s="589"/>
      <c r="F24" s="591">
        <v>23</v>
      </c>
      <c r="G24" s="691" t="s">
        <v>147</v>
      </c>
      <c r="H24" s="691" t="s">
        <v>187</v>
      </c>
      <c r="I24" s="691" t="s">
        <v>217</v>
      </c>
      <c r="J24" s="691" t="s">
        <v>157</v>
      </c>
      <c r="K24" s="691" t="s">
        <v>197</v>
      </c>
      <c r="L24" s="691" t="s">
        <v>177</v>
      </c>
      <c r="M24" s="691" t="s">
        <v>237</v>
      </c>
      <c r="N24" s="691" t="s">
        <v>207</v>
      </c>
      <c r="O24" s="589"/>
      <c r="P24" s="717" cm="1">
        <f t="array" ref="P24">F24</f>
        <v>23</v>
      </c>
      <c r="Q24" s="620" t="str" cm="1">
        <f t="array" ref="Q24">RIGHT(G24,1)</f>
        <v>C</v>
      </c>
      <c r="R24" s="590" t="str" cm="1">
        <f t="array" ref="R24">RIGHT(H24,1)</f>
        <v>G</v>
      </c>
      <c r="S24" s="590" t="str" cm="1">
        <f t="array" ref="S24">RIGHT(I24,1)</f>
        <v>J</v>
      </c>
      <c r="T24" s="590" t="str" cm="1">
        <f t="array" ref="T24">RIGHT(J24,1)</f>
        <v>D</v>
      </c>
      <c r="U24" s="590" t="str" cm="1">
        <f t="array" ref="U24">RIGHT(K24,1)</f>
        <v>H</v>
      </c>
      <c r="V24" s="590" t="str" cm="1">
        <f t="array" ref="V24">RIGHT(L24,1)</f>
        <v>F</v>
      </c>
      <c r="W24" s="590" t="str" cm="1">
        <f t="array" ref="W24">RIGHT(M24,1)</f>
        <v>L</v>
      </c>
      <c r="X24" s="590" t="str" cm="1">
        <f t="array" ref="X24">RIGHT(N24,1)</f>
        <v>I</v>
      </c>
      <c r="Y24" s="708" cm="1">
        <f t="array" ref="Y24">COUNTIF($AA$2:$AA$9,Q24)+COUNTIF($AA$2:$AA$9,R24)+COUNTIF($AA$2:$AA$9,S24)+COUNTIF($AA$2:$AA$9,T24)+COUNTIF($AA$2:$AA$9,U24)+COUNTIF($AA$2:$AA$9,V24)+COUNTIF($AA$2:$AA$9,W24)+COUNTIF($AA$2:$AA$9,X24)</f>
        <v>6</v>
      </c>
      <c r="Z24" s="589"/>
      <c r="AA24" s="589"/>
      <c r="AB24" s="589"/>
      <c r="AC24" s="589"/>
      <c r="AD24" s="589"/>
      <c r="AE24" s="589"/>
      <c r="AF24" s="589"/>
      <c r="AG24" s="589"/>
      <c r="AH24" s="589"/>
      <c r="AI24" s="589"/>
      <c r="AJ24" s="589"/>
      <c r="AK24" s="589"/>
      <c r="AL24" s="589"/>
      <c r="AM24" s="589"/>
      <c r="AN24" s="589"/>
      <c r="AO24" s="589"/>
      <c r="AP24" s="589"/>
      <c r="AQ24" s="589"/>
      <c r="AR24" s="589"/>
      <c r="AS24" s="589"/>
      <c r="AT24" s="589"/>
      <c r="AU24" s="589"/>
      <c r="AV24" s="589"/>
      <c r="AW24" s="589"/>
      <c r="AX24" s="589"/>
      <c r="AY24" s="589"/>
      <c r="AZ24" s="589"/>
      <c r="BA24" s="589"/>
      <c r="BB24" s="589"/>
      <c r="BC24" s="589"/>
      <c r="BD24" s="589"/>
      <c r="BE24" s="589"/>
      <c r="BF24" s="589"/>
      <c r="BG24" s="589"/>
      <c r="BH24" s="589"/>
      <c r="BI24" s="589"/>
      <c r="BJ24" s="589"/>
      <c r="BK24" s="589"/>
      <c r="BL24" s="589"/>
    </row>
    <row r="25" spans="1:64" ht="14.25" customHeight="1">
      <c r="A25" s="691" t="s">
        <v>362</v>
      </c>
      <c r="B25" s="589"/>
      <c r="C25" s="589"/>
      <c r="D25" s="589"/>
      <c r="E25" s="589"/>
      <c r="F25" s="591">
        <v>24</v>
      </c>
      <c r="G25" s="691" t="s">
        <v>147</v>
      </c>
      <c r="H25" s="691" t="s">
        <v>187</v>
      </c>
      <c r="I25" s="691" t="s">
        <v>217</v>
      </c>
      <c r="J25" s="691" t="s">
        <v>157</v>
      </c>
      <c r="K25" s="691" t="s">
        <v>197</v>
      </c>
      <c r="L25" s="691" t="s">
        <v>177</v>
      </c>
      <c r="M25" s="691" t="s">
        <v>207</v>
      </c>
      <c r="N25" s="691" t="s">
        <v>227</v>
      </c>
      <c r="O25" s="589"/>
      <c r="P25" s="717" cm="1">
        <f t="array" ref="P25">F25</f>
        <v>24</v>
      </c>
      <c r="Q25" s="620" t="str" cm="1">
        <f t="array" ref="Q25">RIGHT(G25,1)</f>
        <v>C</v>
      </c>
      <c r="R25" s="590" t="str" cm="1">
        <f t="array" ref="R25">RIGHT(H25,1)</f>
        <v>G</v>
      </c>
      <c r="S25" s="590" t="str" cm="1">
        <f t="array" ref="S25">RIGHT(I25,1)</f>
        <v>J</v>
      </c>
      <c r="T25" s="590" t="str" cm="1">
        <f t="array" ref="T25">RIGHT(J25,1)</f>
        <v>D</v>
      </c>
      <c r="U25" s="590" t="str" cm="1">
        <f t="array" ref="U25">RIGHT(K25,1)</f>
        <v>H</v>
      </c>
      <c r="V25" s="590" t="str" cm="1">
        <f t="array" ref="V25">RIGHT(L25,1)</f>
        <v>F</v>
      </c>
      <c r="W25" s="590" t="str" cm="1">
        <f t="array" ref="W25">RIGHT(M25,1)</f>
        <v>I</v>
      </c>
      <c r="X25" s="590" t="str" cm="1">
        <f t="array" ref="X25">RIGHT(N25,1)</f>
        <v>K</v>
      </c>
      <c r="Y25" s="708" cm="1">
        <f t="array" ref="Y25">COUNTIF($AA$2:$AA$9,Q25)+COUNTIF($AA$2:$AA$9,R25)+COUNTIF($AA$2:$AA$9,S25)+COUNTIF($AA$2:$AA$9,T25)+COUNTIF($AA$2:$AA$9,U25)+COUNTIF($AA$2:$AA$9,V25)+COUNTIF($AA$2:$AA$9,W25)+COUNTIF($AA$2:$AA$9,X25)</f>
        <v>5</v>
      </c>
      <c r="Z25" s="589"/>
      <c r="AA25" s="589"/>
      <c r="AB25" s="589"/>
      <c r="AC25" s="589"/>
      <c r="AD25" s="589"/>
      <c r="AE25" s="589"/>
      <c r="AF25" s="589"/>
      <c r="AG25" s="589"/>
      <c r="AH25" s="589"/>
      <c r="AI25" s="589"/>
      <c r="AJ25" s="589"/>
      <c r="AK25" s="589"/>
      <c r="AL25" s="589"/>
      <c r="AM25" s="589"/>
      <c r="AN25" s="589"/>
      <c r="AO25" s="589"/>
      <c r="AP25" s="589"/>
      <c r="AQ25" s="589"/>
      <c r="AR25" s="589"/>
      <c r="AS25" s="589"/>
      <c r="AT25" s="589"/>
      <c r="AU25" s="589"/>
      <c r="AV25" s="589"/>
      <c r="AW25" s="589"/>
      <c r="AX25" s="589"/>
      <c r="AY25" s="589"/>
      <c r="AZ25" s="589"/>
      <c r="BA25" s="589"/>
      <c r="BB25" s="589"/>
      <c r="BC25" s="589"/>
      <c r="BD25" s="589"/>
      <c r="BE25" s="589"/>
      <c r="BF25" s="589"/>
      <c r="BG25" s="589"/>
      <c r="BH25" s="589"/>
      <c r="BI25" s="589"/>
      <c r="BJ25" s="589"/>
      <c r="BK25" s="589"/>
      <c r="BL25" s="589"/>
    </row>
    <row r="26" spans="1:64" ht="14.25" customHeight="1">
      <c r="A26" s="691" t="s">
        <v>363</v>
      </c>
      <c r="B26" s="589"/>
      <c r="C26" s="589"/>
      <c r="D26" s="589"/>
      <c r="E26" s="589"/>
      <c r="F26" s="591">
        <v>25</v>
      </c>
      <c r="G26" s="691" t="s">
        <v>167</v>
      </c>
      <c r="H26" s="691" t="s">
        <v>217</v>
      </c>
      <c r="I26" s="691" t="s">
        <v>207</v>
      </c>
      <c r="J26" s="691" t="s">
        <v>147</v>
      </c>
      <c r="K26" s="691" t="s">
        <v>197</v>
      </c>
      <c r="L26" s="691" t="s">
        <v>157</v>
      </c>
      <c r="M26" s="691" t="s">
        <v>237</v>
      </c>
      <c r="N26" s="691" t="s">
        <v>227</v>
      </c>
      <c r="O26" s="589"/>
      <c r="P26" s="717" cm="1">
        <f t="array" ref="P26">F26</f>
        <v>25</v>
      </c>
      <c r="Q26" s="620" t="str" cm="1">
        <f t="array" ref="Q26">RIGHT(G26,1)</f>
        <v>E</v>
      </c>
      <c r="R26" s="590" t="str" cm="1">
        <f t="array" ref="R26">RIGHT(H26,1)</f>
        <v>J</v>
      </c>
      <c r="S26" s="590" t="str" cm="1">
        <f t="array" ref="S26">RIGHT(I26,1)</f>
        <v>I</v>
      </c>
      <c r="T26" s="590" t="str" cm="1">
        <f t="array" ref="T26">RIGHT(J26,1)</f>
        <v>C</v>
      </c>
      <c r="U26" s="590" t="str" cm="1">
        <f t="array" ref="U26">RIGHT(K26,1)</f>
        <v>H</v>
      </c>
      <c r="V26" s="590" t="str" cm="1">
        <f t="array" ref="V26">RIGHT(L26,1)</f>
        <v>D</v>
      </c>
      <c r="W26" s="590" t="str" cm="1">
        <f t="array" ref="W26">RIGHT(M26,1)</f>
        <v>L</v>
      </c>
      <c r="X26" s="590" t="str" cm="1">
        <f t="array" ref="X26">RIGHT(N26,1)</f>
        <v>K</v>
      </c>
      <c r="Y26" s="708" cm="1">
        <f t="array" ref="Y26">COUNTIF($AA$2:$AA$9,Q26)+COUNTIF($AA$2:$AA$9,R26)+COUNTIF($AA$2:$AA$9,S26)+COUNTIF($AA$2:$AA$9,T26)+COUNTIF($AA$2:$AA$9,U26)+COUNTIF($AA$2:$AA$9,V26)+COUNTIF($AA$2:$AA$9,W26)+COUNTIF($AA$2:$AA$9,X26)</f>
        <v>6</v>
      </c>
      <c r="Z26" s="589"/>
      <c r="AA26" s="589"/>
      <c r="AB26" s="589"/>
      <c r="AC26" s="589"/>
      <c r="AD26" s="589"/>
      <c r="AE26" s="589"/>
      <c r="AF26" s="589"/>
      <c r="AG26" s="589"/>
      <c r="AH26" s="589"/>
      <c r="AI26" s="589"/>
      <c r="AJ26" s="589"/>
      <c r="AK26" s="589"/>
      <c r="AL26" s="589"/>
      <c r="AM26" s="589"/>
      <c r="AN26" s="589"/>
      <c r="AO26" s="589"/>
      <c r="AP26" s="589"/>
      <c r="AQ26" s="589"/>
      <c r="AR26" s="589"/>
      <c r="AS26" s="589"/>
      <c r="AT26" s="589"/>
      <c r="AU26" s="589"/>
      <c r="AV26" s="589"/>
      <c r="AW26" s="589"/>
      <c r="AX26" s="589"/>
      <c r="AY26" s="589"/>
      <c r="AZ26" s="589"/>
      <c r="BA26" s="589"/>
      <c r="BB26" s="589"/>
      <c r="BC26" s="589"/>
      <c r="BD26" s="589"/>
      <c r="BE26" s="589"/>
      <c r="BF26" s="589"/>
      <c r="BG26" s="589"/>
      <c r="BH26" s="589"/>
      <c r="BI26" s="589"/>
      <c r="BJ26" s="589"/>
      <c r="BK26" s="589"/>
      <c r="BL26" s="589"/>
    </row>
    <row r="27" spans="1:64" ht="14.25" customHeight="1">
      <c r="A27" s="691" t="s">
        <v>364</v>
      </c>
      <c r="B27" s="589"/>
      <c r="C27" s="589"/>
      <c r="D27" s="589"/>
      <c r="E27" s="589"/>
      <c r="F27" s="591">
        <v>26</v>
      </c>
      <c r="G27" s="691" t="s">
        <v>167</v>
      </c>
      <c r="H27" s="691" t="s">
        <v>187</v>
      </c>
      <c r="I27" s="691" t="s">
        <v>207</v>
      </c>
      <c r="J27" s="691" t="s">
        <v>147</v>
      </c>
      <c r="K27" s="691" t="s">
        <v>217</v>
      </c>
      <c r="L27" s="691" t="s">
        <v>157</v>
      </c>
      <c r="M27" s="691" t="s">
        <v>237</v>
      </c>
      <c r="N27" s="691" t="s">
        <v>227</v>
      </c>
      <c r="O27" s="589"/>
      <c r="P27" s="717" cm="1">
        <f t="array" ref="P27">F27</f>
        <v>26</v>
      </c>
      <c r="Q27" s="620" t="str" cm="1">
        <f t="array" ref="Q27">RIGHT(G27,1)</f>
        <v>E</v>
      </c>
      <c r="R27" s="590" t="str" cm="1">
        <f t="array" ref="R27">RIGHT(H27,1)</f>
        <v>G</v>
      </c>
      <c r="S27" s="590" t="str" cm="1">
        <f t="array" ref="S27">RIGHT(I27,1)</f>
        <v>I</v>
      </c>
      <c r="T27" s="590" t="str" cm="1">
        <f t="array" ref="T27">RIGHT(J27,1)</f>
        <v>C</v>
      </c>
      <c r="U27" s="590" t="str" cm="1">
        <f t="array" ref="U27">RIGHT(K27,1)</f>
        <v>J</v>
      </c>
      <c r="V27" s="590" t="str" cm="1">
        <f t="array" ref="V27">RIGHT(L27,1)</f>
        <v>D</v>
      </c>
      <c r="W27" s="590" t="str" cm="1">
        <f t="array" ref="W27">RIGHT(M27,1)</f>
        <v>L</v>
      </c>
      <c r="X27" s="590" t="str" cm="1">
        <f t="array" ref="X27">RIGHT(N27,1)</f>
        <v>K</v>
      </c>
      <c r="Y27" s="708" cm="1">
        <f t="array" ref="Y27">COUNTIF($AA$2:$AA$9,Q27)+COUNTIF($AA$2:$AA$9,R27)+COUNTIF($AA$2:$AA$9,S27)+COUNTIF($AA$2:$AA$9,T27)+COUNTIF($AA$2:$AA$9,U27)+COUNTIF($AA$2:$AA$9,V27)+COUNTIF($AA$2:$AA$9,W27)+COUNTIF($AA$2:$AA$9,X27)</f>
        <v>6</v>
      </c>
      <c r="Z27" s="589"/>
      <c r="AA27" s="589"/>
      <c r="AB27" s="589"/>
      <c r="AC27" s="589"/>
      <c r="AD27" s="589"/>
      <c r="AE27" s="589"/>
      <c r="AF27" s="589"/>
      <c r="AG27" s="589"/>
      <c r="AH27" s="589"/>
      <c r="AI27" s="589"/>
      <c r="AJ27" s="589"/>
      <c r="AK27" s="589"/>
      <c r="AL27" s="589"/>
      <c r="AM27" s="589"/>
      <c r="AN27" s="589"/>
      <c r="AO27" s="589"/>
      <c r="AP27" s="589"/>
      <c r="AQ27" s="589"/>
      <c r="AR27" s="589"/>
      <c r="AS27" s="589"/>
      <c r="AT27" s="589"/>
      <c r="AU27" s="589"/>
      <c r="AV27" s="589"/>
      <c r="AW27" s="589"/>
      <c r="AX27" s="589"/>
      <c r="AY27" s="589"/>
      <c r="AZ27" s="589"/>
      <c r="BA27" s="589"/>
      <c r="BB27" s="589"/>
      <c r="BC27" s="589"/>
      <c r="BD27" s="589"/>
      <c r="BE27" s="589"/>
      <c r="BF27" s="589"/>
      <c r="BG27" s="589"/>
      <c r="BH27" s="589"/>
      <c r="BI27" s="589"/>
      <c r="BJ27" s="589"/>
      <c r="BK27" s="589"/>
      <c r="BL27" s="589"/>
    </row>
    <row r="28" spans="1:64" ht="14.25" customHeight="1">
      <c r="A28" s="691" t="s">
        <v>365</v>
      </c>
      <c r="B28" s="589"/>
      <c r="C28" s="589"/>
      <c r="D28" s="589"/>
      <c r="E28" s="589"/>
      <c r="F28" s="591">
        <v>27</v>
      </c>
      <c r="G28" s="691" t="s">
        <v>167</v>
      </c>
      <c r="H28" s="691" t="s">
        <v>187</v>
      </c>
      <c r="I28" s="691" t="s">
        <v>217</v>
      </c>
      <c r="J28" s="691" t="s">
        <v>147</v>
      </c>
      <c r="K28" s="691" t="s">
        <v>197</v>
      </c>
      <c r="L28" s="691" t="s">
        <v>157</v>
      </c>
      <c r="M28" s="691" t="s">
        <v>237</v>
      </c>
      <c r="N28" s="691" t="s">
        <v>227</v>
      </c>
      <c r="O28" s="589"/>
      <c r="P28" s="717" cm="1">
        <f t="array" ref="P28">F28</f>
        <v>27</v>
      </c>
      <c r="Q28" s="620" t="str" cm="1">
        <f t="array" ref="Q28">RIGHT(G28,1)</f>
        <v>E</v>
      </c>
      <c r="R28" s="590" t="str" cm="1">
        <f t="array" ref="R28">RIGHT(H28,1)</f>
        <v>G</v>
      </c>
      <c r="S28" s="590" t="str" cm="1">
        <f t="array" ref="S28">RIGHT(I28,1)</f>
        <v>J</v>
      </c>
      <c r="T28" s="590" t="str" cm="1">
        <f t="array" ref="T28">RIGHT(J28,1)</f>
        <v>C</v>
      </c>
      <c r="U28" s="590" t="str" cm="1">
        <f t="array" ref="U28">RIGHT(K28,1)</f>
        <v>H</v>
      </c>
      <c r="V28" s="590" t="str" cm="1">
        <f t="array" ref="V28">RIGHT(L28,1)</f>
        <v>D</v>
      </c>
      <c r="W28" s="590" t="str" cm="1">
        <f t="array" ref="W28">RIGHT(M28,1)</f>
        <v>L</v>
      </c>
      <c r="X28" s="590" t="str" cm="1">
        <f t="array" ref="X28">RIGHT(N28,1)</f>
        <v>K</v>
      </c>
      <c r="Y28" s="708" cm="1">
        <f t="array" ref="Y28">COUNTIF($AA$2:$AA$9,Q28)+COUNTIF($AA$2:$AA$9,R28)+COUNTIF($AA$2:$AA$9,S28)+COUNTIF($AA$2:$AA$9,T28)+COUNTIF($AA$2:$AA$9,U28)+COUNTIF($AA$2:$AA$9,V28)+COUNTIF($AA$2:$AA$9,W28)+COUNTIF($AA$2:$AA$9,X28)</f>
        <v>5</v>
      </c>
      <c r="Z28" s="589"/>
      <c r="AA28" s="589"/>
      <c r="AB28" s="589"/>
      <c r="AC28" s="589"/>
      <c r="AD28" s="589"/>
      <c r="AE28" s="589"/>
      <c r="AF28" s="589"/>
      <c r="AG28" s="589"/>
      <c r="AH28" s="589"/>
      <c r="AI28" s="589"/>
      <c r="AJ28" s="589"/>
      <c r="AK28" s="589"/>
      <c r="AL28" s="589"/>
      <c r="AM28" s="589"/>
      <c r="AN28" s="589"/>
      <c r="AO28" s="589"/>
      <c r="AP28" s="589"/>
      <c r="AQ28" s="589"/>
      <c r="AR28" s="589"/>
      <c r="AS28" s="589"/>
      <c r="AT28" s="589"/>
      <c r="AU28" s="589"/>
      <c r="AV28" s="589"/>
      <c r="AW28" s="589"/>
      <c r="AX28" s="589"/>
      <c r="AY28" s="589"/>
      <c r="AZ28" s="589"/>
      <c r="BA28" s="589"/>
      <c r="BB28" s="589"/>
      <c r="BC28" s="589"/>
      <c r="BD28" s="589"/>
      <c r="BE28" s="589"/>
      <c r="BF28" s="589"/>
      <c r="BG28" s="589"/>
      <c r="BH28" s="589"/>
      <c r="BI28" s="589"/>
      <c r="BJ28" s="589"/>
      <c r="BK28" s="589"/>
      <c r="BL28" s="589"/>
    </row>
    <row r="29" spans="1:64" ht="14.25" customHeight="1">
      <c r="A29" s="691" t="s">
        <v>366</v>
      </c>
      <c r="B29" s="589"/>
      <c r="C29" s="589"/>
      <c r="D29" s="589"/>
      <c r="E29" s="589"/>
      <c r="F29" s="591">
        <v>28</v>
      </c>
      <c r="G29" s="691" t="s">
        <v>167</v>
      </c>
      <c r="H29" s="691" t="s">
        <v>187</v>
      </c>
      <c r="I29" s="691" t="s">
        <v>207</v>
      </c>
      <c r="J29" s="691" t="s">
        <v>147</v>
      </c>
      <c r="K29" s="691" t="s">
        <v>197</v>
      </c>
      <c r="L29" s="691" t="s">
        <v>157</v>
      </c>
      <c r="M29" s="691" t="s">
        <v>237</v>
      </c>
      <c r="N29" s="691" t="s">
        <v>227</v>
      </c>
      <c r="O29" s="589"/>
      <c r="P29" s="717" cm="1">
        <f t="array" ref="P29">F29</f>
        <v>28</v>
      </c>
      <c r="Q29" s="620" t="str" cm="1">
        <f t="array" ref="Q29">RIGHT(G29,1)</f>
        <v>E</v>
      </c>
      <c r="R29" s="590" t="str" cm="1">
        <f t="array" ref="R29">RIGHT(H29,1)</f>
        <v>G</v>
      </c>
      <c r="S29" s="590" t="str" cm="1">
        <f t="array" ref="S29">RIGHT(I29,1)</f>
        <v>I</v>
      </c>
      <c r="T29" s="590" t="str" cm="1">
        <f t="array" ref="T29">RIGHT(J29,1)</f>
        <v>C</v>
      </c>
      <c r="U29" s="590" t="str" cm="1">
        <f t="array" ref="U29">RIGHT(K29,1)</f>
        <v>H</v>
      </c>
      <c r="V29" s="590" t="str" cm="1">
        <f t="array" ref="V29">RIGHT(L29,1)</f>
        <v>D</v>
      </c>
      <c r="W29" s="590" t="str" cm="1">
        <f t="array" ref="W29">RIGHT(M29,1)</f>
        <v>L</v>
      </c>
      <c r="X29" s="590" t="str" cm="1">
        <f t="array" ref="X29">RIGHT(N29,1)</f>
        <v>K</v>
      </c>
      <c r="Y29" s="708" cm="1">
        <f t="array" ref="Y29">COUNTIF($AA$2:$AA$9,Q29)+COUNTIF($AA$2:$AA$9,R29)+COUNTIF($AA$2:$AA$9,S29)+COUNTIF($AA$2:$AA$9,T29)+COUNTIF($AA$2:$AA$9,U29)+COUNTIF($AA$2:$AA$9,V29)+COUNTIF($AA$2:$AA$9,W29)+COUNTIF($AA$2:$AA$9,X29)</f>
        <v>5</v>
      </c>
      <c r="Z29" s="589"/>
      <c r="AA29" s="589"/>
      <c r="AB29" s="589"/>
      <c r="AC29" s="589"/>
      <c r="AD29" s="589"/>
      <c r="AE29" s="589"/>
      <c r="AF29" s="589"/>
      <c r="AG29" s="589"/>
      <c r="AH29" s="589"/>
      <c r="AI29" s="589"/>
      <c r="AJ29" s="589"/>
      <c r="AK29" s="589"/>
      <c r="AL29" s="589"/>
      <c r="AM29" s="589"/>
      <c r="AN29" s="589"/>
      <c r="AO29" s="589"/>
      <c r="AP29" s="589"/>
      <c r="AQ29" s="589"/>
      <c r="AR29" s="589"/>
      <c r="AS29" s="589"/>
      <c r="AT29" s="589"/>
      <c r="AU29" s="589"/>
      <c r="AV29" s="589"/>
      <c r="AW29" s="589"/>
      <c r="AX29" s="589"/>
      <c r="AY29" s="589"/>
      <c r="AZ29" s="589"/>
      <c r="BA29" s="589"/>
      <c r="BB29" s="589"/>
      <c r="BC29" s="589"/>
      <c r="BD29" s="589"/>
      <c r="BE29" s="589"/>
      <c r="BF29" s="589"/>
      <c r="BG29" s="589"/>
      <c r="BH29" s="589"/>
      <c r="BI29" s="589"/>
      <c r="BJ29" s="589"/>
      <c r="BK29" s="589"/>
      <c r="BL29" s="589"/>
    </row>
    <row r="30" spans="1:64" ht="14.25" customHeight="1">
      <c r="A30" s="691" t="s">
        <v>367</v>
      </c>
      <c r="B30" s="589"/>
      <c r="C30" s="589"/>
      <c r="D30" s="589"/>
      <c r="E30" s="589"/>
      <c r="F30" s="591">
        <v>29</v>
      </c>
      <c r="G30" s="691" t="s">
        <v>167</v>
      </c>
      <c r="H30" s="691" t="s">
        <v>187</v>
      </c>
      <c r="I30" s="691" t="s">
        <v>217</v>
      </c>
      <c r="J30" s="691" t="s">
        <v>147</v>
      </c>
      <c r="K30" s="691" t="s">
        <v>197</v>
      </c>
      <c r="L30" s="691" t="s">
        <v>157</v>
      </c>
      <c r="M30" s="691" t="s">
        <v>237</v>
      </c>
      <c r="N30" s="691" t="s">
        <v>207</v>
      </c>
      <c r="O30" s="589"/>
      <c r="P30" s="717" cm="1">
        <f t="array" ref="P30">F30</f>
        <v>29</v>
      </c>
      <c r="Q30" s="620" t="str" cm="1">
        <f t="array" ref="Q30">RIGHT(G30,1)</f>
        <v>E</v>
      </c>
      <c r="R30" s="590" t="str" cm="1">
        <f t="array" ref="R30">RIGHT(H30,1)</f>
        <v>G</v>
      </c>
      <c r="S30" s="590" t="str" cm="1">
        <f t="array" ref="S30">RIGHT(I30,1)</f>
        <v>J</v>
      </c>
      <c r="T30" s="590" t="str" cm="1">
        <f t="array" ref="T30">RIGHT(J30,1)</f>
        <v>C</v>
      </c>
      <c r="U30" s="590" t="str" cm="1">
        <f t="array" ref="U30">RIGHT(K30,1)</f>
        <v>H</v>
      </c>
      <c r="V30" s="590" t="str" cm="1">
        <f t="array" ref="V30">RIGHT(L30,1)</f>
        <v>D</v>
      </c>
      <c r="W30" s="590" t="str" cm="1">
        <f t="array" ref="W30">RIGHT(M30,1)</f>
        <v>L</v>
      </c>
      <c r="X30" s="590" t="str" cm="1">
        <f t="array" ref="X30">RIGHT(N30,1)</f>
        <v>I</v>
      </c>
      <c r="Y30" s="708" cm="1">
        <f t="array" ref="Y30">COUNTIF($AA$2:$AA$9,Q30)+COUNTIF($AA$2:$AA$9,R30)+COUNTIF($AA$2:$AA$9,S30)+COUNTIF($AA$2:$AA$9,T30)+COUNTIF($AA$2:$AA$9,U30)+COUNTIF($AA$2:$AA$9,V30)+COUNTIF($AA$2:$AA$9,W30)+COUNTIF($AA$2:$AA$9,X30)</f>
        <v>6</v>
      </c>
      <c r="Z30" s="589"/>
      <c r="AA30" s="589"/>
      <c r="AB30" s="589"/>
      <c r="AC30" s="589"/>
      <c r="AD30" s="589"/>
      <c r="AE30" s="589"/>
      <c r="AF30" s="589"/>
      <c r="AG30" s="589"/>
      <c r="AH30" s="589"/>
      <c r="AI30" s="589"/>
      <c r="AJ30" s="589"/>
      <c r="AK30" s="589"/>
      <c r="AL30" s="589"/>
      <c r="AM30" s="589"/>
      <c r="AN30" s="589"/>
      <c r="AO30" s="589"/>
      <c r="AP30" s="589"/>
      <c r="AQ30" s="589"/>
      <c r="AR30" s="589"/>
      <c r="AS30" s="589"/>
      <c r="AT30" s="589"/>
      <c r="AU30" s="589"/>
      <c r="AV30" s="589"/>
      <c r="AW30" s="589"/>
      <c r="AX30" s="589"/>
      <c r="AY30" s="589"/>
      <c r="AZ30" s="589"/>
      <c r="BA30" s="589"/>
      <c r="BB30" s="589"/>
      <c r="BC30" s="589"/>
      <c r="BD30" s="589"/>
      <c r="BE30" s="589"/>
      <c r="BF30" s="589"/>
      <c r="BG30" s="589"/>
      <c r="BH30" s="589"/>
      <c r="BI30" s="589"/>
      <c r="BJ30" s="589"/>
      <c r="BK30" s="589"/>
      <c r="BL30" s="589"/>
    </row>
    <row r="31" spans="1:64" ht="14.25" customHeight="1">
      <c r="A31" s="691" t="s">
        <v>368</v>
      </c>
      <c r="B31" s="589"/>
      <c r="C31" s="589"/>
      <c r="D31" s="589"/>
      <c r="E31" s="589"/>
      <c r="F31" s="591">
        <v>30</v>
      </c>
      <c r="G31" s="691" t="s">
        <v>167</v>
      </c>
      <c r="H31" s="691" t="s">
        <v>187</v>
      </c>
      <c r="I31" s="691" t="s">
        <v>217</v>
      </c>
      <c r="J31" s="691" t="s">
        <v>147</v>
      </c>
      <c r="K31" s="691" t="s">
        <v>197</v>
      </c>
      <c r="L31" s="691" t="s">
        <v>157</v>
      </c>
      <c r="M31" s="691" t="s">
        <v>207</v>
      </c>
      <c r="N31" s="691" t="s">
        <v>227</v>
      </c>
      <c r="O31" s="589"/>
      <c r="P31" s="717" cm="1">
        <f t="array" ref="P31">F31</f>
        <v>30</v>
      </c>
      <c r="Q31" s="620" t="str" cm="1">
        <f t="array" ref="Q31">RIGHT(G31,1)</f>
        <v>E</v>
      </c>
      <c r="R31" s="590" t="str" cm="1">
        <f t="array" ref="R31">RIGHT(H31,1)</f>
        <v>G</v>
      </c>
      <c r="S31" s="590" t="str" cm="1">
        <f t="array" ref="S31">RIGHT(I31,1)</f>
        <v>J</v>
      </c>
      <c r="T31" s="590" t="str" cm="1">
        <f t="array" ref="T31">RIGHT(J31,1)</f>
        <v>C</v>
      </c>
      <c r="U31" s="590" t="str" cm="1">
        <f t="array" ref="U31">RIGHT(K31,1)</f>
        <v>H</v>
      </c>
      <c r="V31" s="590" t="str" cm="1">
        <f t="array" ref="V31">RIGHT(L31,1)</f>
        <v>D</v>
      </c>
      <c r="W31" s="590" t="str" cm="1">
        <f t="array" ref="W31">RIGHT(M31,1)</f>
        <v>I</v>
      </c>
      <c r="X31" s="590" t="str" cm="1">
        <f t="array" ref="X31">RIGHT(N31,1)</f>
        <v>K</v>
      </c>
      <c r="Y31" s="708" cm="1">
        <f t="array" ref="Y31">COUNTIF($AA$2:$AA$9,Q31)+COUNTIF($AA$2:$AA$9,R31)+COUNTIF($AA$2:$AA$9,S31)+COUNTIF($AA$2:$AA$9,T31)+COUNTIF($AA$2:$AA$9,U31)+COUNTIF($AA$2:$AA$9,V31)+COUNTIF($AA$2:$AA$9,W31)+COUNTIF($AA$2:$AA$9,X31)</f>
        <v>5</v>
      </c>
      <c r="Z31" s="589"/>
      <c r="AA31" s="589"/>
      <c r="AB31" s="589"/>
      <c r="AC31" s="589"/>
      <c r="AD31" s="589"/>
      <c r="AE31" s="589"/>
      <c r="AF31" s="589"/>
      <c r="AG31" s="589"/>
      <c r="AH31" s="589"/>
      <c r="AI31" s="589"/>
      <c r="AJ31" s="589"/>
      <c r="AK31" s="589"/>
      <c r="AL31" s="589"/>
      <c r="AM31" s="589"/>
      <c r="AN31" s="589"/>
      <c r="AO31" s="589"/>
      <c r="AP31" s="589"/>
      <c r="AQ31" s="589"/>
      <c r="AR31" s="589"/>
      <c r="AS31" s="589"/>
      <c r="AT31" s="589"/>
      <c r="AU31" s="589"/>
      <c r="AV31" s="589"/>
      <c r="AW31" s="589"/>
      <c r="AX31" s="589"/>
      <c r="AY31" s="589"/>
      <c r="AZ31" s="589"/>
      <c r="BA31" s="589"/>
      <c r="BB31" s="589"/>
      <c r="BC31" s="589"/>
      <c r="BD31" s="589"/>
      <c r="BE31" s="589"/>
      <c r="BF31" s="589"/>
      <c r="BG31" s="589"/>
      <c r="BH31" s="589"/>
      <c r="BI31" s="589"/>
      <c r="BJ31" s="589"/>
      <c r="BK31" s="589"/>
      <c r="BL31" s="589"/>
    </row>
    <row r="32" spans="1:64" ht="14.25" customHeight="1">
      <c r="A32" s="691" t="s">
        <v>369</v>
      </c>
      <c r="B32" s="589"/>
      <c r="C32" s="589"/>
      <c r="D32" s="589"/>
      <c r="E32" s="589"/>
      <c r="F32" s="591">
        <v>31</v>
      </c>
      <c r="G32" s="691" t="s">
        <v>147</v>
      </c>
      <c r="H32" s="691" t="s">
        <v>217</v>
      </c>
      <c r="I32" s="691" t="s">
        <v>167</v>
      </c>
      <c r="J32" s="691" t="s">
        <v>157</v>
      </c>
      <c r="K32" s="691" t="s">
        <v>207</v>
      </c>
      <c r="L32" s="691" t="s">
        <v>177</v>
      </c>
      <c r="M32" s="691" t="s">
        <v>237</v>
      </c>
      <c r="N32" s="691" t="s">
        <v>227</v>
      </c>
      <c r="O32" s="589"/>
      <c r="P32" s="717" cm="1">
        <f t="array" ref="P32">F32</f>
        <v>31</v>
      </c>
      <c r="Q32" s="620" t="str" cm="1">
        <f t="array" ref="Q32">RIGHT(G32,1)</f>
        <v>C</v>
      </c>
      <c r="R32" s="590" t="str" cm="1">
        <f t="array" ref="R32">RIGHT(H32,1)</f>
        <v>J</v>
      </c>
      <c r="S32" s="590" t="str" cm="1">
        <f t="array" ref="S32">RIGHT(I32,1)</f>
        <v>E</v>
      </c>
      <c r="T32" s="590" t="str" cm="1">
        <f t="array" ref="T32">RIGHT(J32,1)</f>
        <v>D</v>
      </c>
      <c r="U32" s="590" t="str" cm="1">
        <f t="array" ref="U32">RIGHT(K32,1)</f>
        <v>I</v>
      </c>
      <c r="V32" s="590" t="str" cm="1">
        <f t="array" ref="V32">RIGHT(L32,1)</f>
        <v>F</v>
      </c>
      <c r="W32" s="590" t="str" cm="1">
        <f t="array" ref="W32">RIGHT(M32,1)</f>
        <v>L</v>
      </c>
      <c r="X32" s="590" t="str" cm="1">
        <f t="array" ref="X32">RIGHT(N32,1)</f>
        <v>K</v>
      </c>
      <c r="Y32" s="708" cm="1">
        <f t="array" ref="Y32">COUNTIF($AA$2:$AA$9,Q32)+COUNTIF($AA$2:$AA$9,R32)+COUNTIF($AA$2:$AA$9,S32)+COUNTIF($AA$2:$AA$9,T32)+COUNTIF($AA$2:$AA$9,U32)+COUNTIF($AA$2:$AA$9,V32)+COUNTIF($AA$2:$AA$9,W32)+COUNTIF($AA$2:$AA$9,X32)</f>
        <v>7</v>
      </c>
      <c r="Z32" s="589"/>
      <c r="AA32" s="589"/>
      <c r="AB32" s="589"/>
      <c r="AC32" s="589"/>
      <c r="AD32" s="589"/>
      <c r="AE32" s="589"/>
      <c r="AF32" s="589"/>
      <c r="AG32" s="589"/>
      <c r="AH32" s="589"/>
      <c r="AI32" s="589"/>
      <c r="AJ32" s="589"/>
      <c r="AK32" s="589"/>
      <c r="AL32" s="589"/>
      <c r="AM32" s="589"/>
      <c r="AN32" s="589"/>
      <c r="AO32" s="589"/>
      <c r="AP32" s="589"/>
      <c r="AQ32" s="589"/>
      <c r="AR32" s="589"/>
      <c r="AS32" s="589"/>
      <c r="AT32" s="589"/>
      <c r="AU32" s="589"/>
      <c r="AV32" s="589"/>
      <c r="AW32" s="589"/>
      <c r="AX32" s="589"/>
      <c r="AY32" s="589"/>
      <c r="AZ32" s="589"/>
      <c r="BA32" s="589"/>
      <c r="BB32" s="589"/>
      <c r="BC32" s="589"/>
      <c r="BD32" s="589"/>
      <c r="BE32" s="589"/>
      <c r="BF32" s="589"/>
      <c r="BG32" s="589"/>
      <c r="BH32" s="589"/>
      <c r="BI32" s="589"/>
      <c r="BJ32" s="589"/>
      <c r="BK32" s="589"/>
      <c r="BL32" s="589"/>
    </row>
    <row r="33" spans="1:64" ht="14.25" customHeight="1">
      <c r="A33" s="691" t="s">
        <v>370</v>
      </c>
      <c r="B33" s="589"/>
      <c r="C33" s="589"/>
      <c r="D33" s="589"/>
      <c r="E33" s="589"/>
      <c r="F33" s="591">
        <v>32</v>
      </c>
      <c r="G33" s="691" t="s">
        <v>147</v>
      </c>
      <c r="H33" s="691" t="s">
        <v>217</v>
      </c>
      <c r="I33" s="691" t="s">
        <v>167</v>
      </c>
      <c r="J33" s="691" t="s">
        <v>157</v>
      </c>
      <c r="K33" s="691" t="s">
        <v>197</v>
      </c>
      <c r="L33" s="691" t="s">
        <v>177</v>
      </c>
      <c r="M33" s="691" t="s">
        <v>237</v>
      </c>
      <c r="N33" s="691" t="s">
        <v>227</v>
      </c>
      <c r="O33" s="589"/>
      <c r="P33" s="717" cm="1">
        <f t="array" ref="P33">F33</f>
        <v>32</v>
      </c>
      <c r="Q33" s="620" t="str" cm="1">
        <f t="array" ref="Q33">RIGHT(G33,1)</f>
        <v>C</v>
      </c>
      <c r="R33" s="590" t="str" cm="1">
        <f t="array" ref="R33">RIGHT(H33,1)</f>
        <v>J</v>
      </c>
      <c r="S33" s="590" t="str" cm="1">
        <f t="array" ref="S33">RIGHT(I33,1)</f>
        <v>E</v>
      </c>
      <c r="T33" s="590" t="str" cm="1">
        <f t="array" ref="T33">RIGHT(J33,1)</f>
        <v>D</v>
      </c>
      <c r="U33" s="590" t="str" cm="1">
        <f t="array" ref="U33">RIGHT(K33,1)</f>
        <v>H</v>
      </c>
      <c r="V33" s="590" t="str" cm="1">
        <f t="array" ref="V33">RIGHT(L33,1)</f>
        <v>F</v>
      </c>
      <c r="W33" s="590" t="str" cm="1">
        <f t="array" ref="W33">RIGHT(M33,1)</f>
        <v>L</v>
      </c>
      <c r="X33" s="590" t="str" cm="1">
        <f t="array" ref="X33">RIGHT(N33,1)</f>
        <v>K</v>
      </c>
      <c r="Y33" s="708" cm="1">
        <f t="array" ref="Y33">COUNTIF($AA$2:$AA$9,Q33)+COUNTIF($AA$2:$AA$9,R33)+COUNTIF($AA$2:$AA$9,S33)+COUNTIF($AA$2:$AA$9,T33)+COUNTIF($AA$2:$AA$9,U33)+COUNTIF($AA$2:$AA$9,V33)+COUNTIF($AA$2:$AA$9,W33)+COUNTIF($AA$2:$AA$9,X33)</f>
        <v>6</v>
      </c>
      <c r="Z33" s="589"/>
      <c r="AA33" s="589"/>
      <c r="AB33" s="589"/>
      <c r="AC33" s="589"/>
      <c r="AD33" s="589"/>
      <c r="AE33" s="589"/>
      <c r="AF33" s="589"/>
      <c r="AG33" s="589"/>
      <c r="AH33" s="589"/>
      <c r="AI33" s="589"/>
      <c r="AJ33" s="589"/>
      <c r="AK33" s="589"/>
      <c r="AL33" s="589"/>
      <c r="AM33" s="589"/>
      <c r="AN33" s="589"/>
      <c r="AO33" s="589"/>
      <c r="AP33" s="589"/>
      <c r="AQ33" s="589"/>
      <c r="AR33" s="589"/>
      <c r="AS33" s="589"/>
      <c r="AT33" s="589"/>
      <c r="AU33" s="589"/>
      <c r="AV33" s="589"/>
      <c r="AW33" s="589"/>
      <c r="AX33" s="589"/>
      <c r="AY33" s="589"/>
      <c r="AZ33" s="589"/>
      <c r="BA33" s="589"/>
      <c r="BB33" s="589"/>
      <c r="BC33" s="589"/>
      <c r="BD33" s="589"/>
      <c r="BE33" s="589"/>
      <c r="BF33" s="589"/>
      <c r="BG33" s="589"/>
      <c r="BH33" s="589"/>
      <c r="BI33" s="589"/>
      <c r="BJ33" s="589"/>
      <c r="BK33" s="589"/>
      <c r="BL33" s="589"/>
    </row>
    <row r="34" spans="1:64" ht="14.25" customHeight="1">
      <c r="A34" s="691" t="s">
        <v>371</v>
      </c>
      <c r="B34" s="589"/>
      <c r="C34" s="589"/>
      <c r="D34" s="589"/>
      <c r="E34" s="589"/>
      <c r="F34" s="591">
        <v>33</v>
      </c>
      <c r="G34" s="691" t="s">
        <v>147</v>
      </c>
      <c r="H34" s="691" t="s">
        <v>167</v>
      </c>
      <c r="I34" s="691" t="s">
        <v>207</v>
      </c>
      <c r="J34" s="691" t="s">
        <v>157</v>
      </c>
      <c r="K34" s="691" t="s">
        <v>197</v>
      </c>
      <c r="L34" s="691" t="s">
        <v>177</v>
      </c>
      <c r="M34" s="691" t="s">
        <v>237</v>
      </c>
      <c r="N34" s="691" t="s">
        <v>227</v>
      </c>
      <c r="O34" s="589"/>
      <c r="P34" s="717" cm="1">
        <f t="array" ref="P34">F34</f>
        <v>33</v>
      </c>
      <c r="Q34" s="620" t="str" cm="1">
        <f t="array" ref="Q34">RIGHT(G34,1)</f>
        <v>C</v>
      </c>
      <c r="R34" s="590" t="str" cm="1">
        <f t="array" ref="R34">RIGHT(H34,1)</f>
        <v>E</v>
      </c>
      <c r="S34" s="590" t="str" cm="1">
        <f t="array" ref="S34">RIGHT(I34,1)</f>
        <v>I</v>
      </c>
      <c r="T34" s="590" t="str" cm="1">
        <f t="array" ref="T34">RIGHT(J34,1)</f>
        <v>D</v>
      </c>
      <c r="U34" s="590" t="str" cm="1">
        <f t="array" ref="U34">RIGHT(K34,1)</f>
        <v>H</v>
      </c>
      <c r="V34" s="590" t="str" cm="1">
        <f t="array" ref="V34">RIGHT(L34,1)</f>
        <v>F</v>
      </c>
      <c r="W34" s="590" t="str" cm="1">
        <f t="array" ref="W34">RIGHT(M34,1)</f>
        <v>L</v>
      </c>
      <c r="X34" s="590" t="str" cm="1">
        <f t="array" ref="X34">RIGHT(N34,1)</f>
        <v>K</v>
      </c>
      <c r="Y34" s="708" cm="1">
        <f t="array" ref="Y34">COUNTIF($AA$2:$AA$9,Q34)+COUNTIF($AA$2:$AA$9,R34)+COUNTIF($AA$2:$AA$9,S34)+COUNTIF($AA$2:$AA$9,T34)+COUNTIF($AA$2:$AA$9,U34)+COUNTIF($AA$2:$AA$9,V34)+COUNTIF($AA$2:$AA$9,W34)+COUNTIF($AA$2:$AA$9,X34)</f>
        <v>6</v>
      </c>
      <c r="Z34" s="589"/>
      <c r="AA34" s="589"/>
      <c r="AB34" s="589"/>
      <c r="AC34" s="589"/>
      <c r="AD34" s="589"/>
      <c r="AE34" s="589"/>
      <c r="AF34" s="589"/>
      <c r="AG34" s="589"/>
      <c r="AH34" s="589"/>
      <c r="AI34" s="589"/>
      <c r="AJ34" s="589"/>
      <c r="AK34" s="589"/>
      <c r="AL34" s="589"/>
      <c r="AM34" s="589"/>
      <c r="AN34" s="589"/>
      <c r="AO34" s="589"/>
      <c r="AP34" s="589"/>
      <c r="AQ34" s="589"/>
      <c r="AR34" s="589"/>
      <c r="AS34" s="589"/>
      <c r="AT34" s="589"/>
      <c r="AU34" s="589"/>
      <c r="AV34" s="589"/>
      <c r="AW34" s="589"/>
      <c r="AX34" s="589"/>
      <c r="AY34" s="589"/>
      <c r="AZ34" s="589"/>
      <c r="BA34" s="589"/>
      <c r="BB34" s="589"/>
      <c r="BC34" s="589"/>
      <c r="BD34" s="589"/>
      <c r="BE34" s="589"/>
      <c r="BF34" s="589"/>
      <c r="BG34" s="589"/>
      <c r="BH34" s="589"/>
      <c r="BI34" s="589"/>
      <c r="BJ34" s="589"/>
      <c r="BK34" s="589"/>
      <c r="BL34" s="589"/>
    </row>
    <row r="35" spans="1:64" ht="14.25" customHeight="1">
      <c r="A35" s="691" t="s">
        <v>372</v>
      </c>
      <c r="B35" s="589"/>
      <c r="C35" s="589"/>
      <c r="D35" s="589"/>
      <c r="E35" s="589"/>
      <c r="F35" s="591">
        <v>34</v>
      </c>
      <c r="G35" s="691" t="s">
        <v>147</v>
      </c>
      <c r="H35" s="691" t="s">
        <v>217</v>
      </c>
      <c r="I35" s="691" t="s">
        <v>167</v>
      </c>
      <c r="J35" s="691" t="s">
        <v>157</v>
      </c>
      <c r="K35" s="691" t="s">
        <v>197</v>
      </c>
      <c r="L35" s="691" t="s">
        <v>177</v>
      </c>
      <c r="M35" s="691" t="s">
        <v>237</v>
      </c>
      <c r="N35" s="691" t="s">
        <v>207</v>
      </c>
      <c r="O35" s="589"/>
      <c r="P35" s="717" cm="1">
        <f t="array" ref="P35">F35</f>
        <v>34</v>
      </c>
      <c r="Q35" s="620" t="str" cm="1">
        <f t="array" ref="Q35">RIGHT(G35,1)</f>
        <v>C</v>
      </c>
      <c r="R35" s="590" t="str" cm="1">
        <f t="array" ref="R35">RIGHT(H35,1)</f>
        <v>J</v>
      </c>
      <c r="S35" s="590" t="str" cm="1">
        <f t="array" ref="S35">RIGHT(I35,1)</f>
        <v>E</v>
      </c>
      <c r="T35" s="590" t="str" cm="1">
        <f t="array" ref="T35">RIGHT(J35,1)</f>
        <v>D</v>
      </c>
      <c r="U35" s="590" t="str" cm="1">
        <f t="array" ref="U35">RIGHT(K35,1)</f>
        <v>H</v>
      </c>
      <c r="V35" s="590" t="str" cm="1">
        <f t="array" ref="V35">RIGHT(L35,1)</f>
        <v>F</v>
      </c>
      <c r="W35" s="590" t="str" cm="1">
        <f t="array" ref="W35">RIGHT(M35,1)</f>
        <v>L</v>
      </c>
      <c r="X35" s="590" t="str" cm="1">
        <f t="array" ref="X35">RIGHT(N35,1)</f>
        <v>I</v>
      </c>
      <c r="Y35" s="708" cm="1">
        <f t="array" ref="Y35">COUNTIF($AA$2:$AA$9,Q35)+COUNTIF($AA$2:$AA$9,R35)+COUNTIF($AA$2:$AA$9,S35)+COUNTIF($AA$2:$AA$9,T35)+COUNTIF($AA$2:$AA$9,U35)+COUNTIF($AA$2:$AA$9,V35)+COUNTIF($AA$2:$AA$9,W35)+COUNTIF($AA$2:$AA$9,X35)</f>
        <v>7</v>
      </c>
      <c r="Z35" s="589"/>
      <c r="AA35" s="589"/>
      <c r="AB35" s="589"/>
      <c r="AC35" s="589"/>
      <c r="AD35" s="589"/>
      <c r="AE35" s="589"/>
      <c r="AF35" s="589"/>
      <c r="AG35" s="589"/>
      <c r="AH35" s="589"/>
      <c r="AI35" s="589"/>
      <c r="AJ35" s="589"/>
      <c r="AK35" s="589"/>
      <c r="AL35" s="589"/>
      <c r="AM35" s="589"/>
      <c r="AN35" s="589"/>
      <c r="AO35" s="589"/>
      <c r="AP35" s="589"/>
      <c r="AQ35" s="589"/>
      <c r="AR35" s="589"/>
      <c r="AS35" s="589"/>
      <c r="AT35" s="589"/>
      <c r="AU35" s="589"/>
      <c r="AV35" s="589"/>
      <c r="AW35" s="589"/>
      <c r="AX35" s="589"/>
      <c r="AY35" s="589"/>
      <c r="AZ35" s="589"/>
      <c r="BA35" s="589"/>
      <c r="BB35" s="589"/>
      <c r="BC35" s="589"/>
      <c r="BD35" s="589"/>
      <c r="BE35" s="589"/>
      <c r="BF35" s="589"/>
      <c r="BG35" s="589"/>
      <c r="BH35" s="589"/>
      <c r="BI35" s="589"/>
      <c r="BJ35" s="589"/>
      <c r="BK35" s="589"/>
      <c r="BL35" s="589"/>
    </row>
    <row r="36" spans="1:64" ht="14.25" customHeight="1">
      <c r="A36" s="691" t="s">
        <v>373</v>
      </c>
      <c r="B36" s="589"/>
      <c r="C36" s="589"/>
      <c r="D36" s="589"/>
      <c r="E36" s="589"/>
      <c r="F36" s="591">
        <v>35</v>
      </c>
      <c r="G36" s="691" t="s">
        <v>147</v>
      </c>
      <c r="H36" s="691" t="s">
        <v>217</v>
      </c>
      <c r="I36" s="691" t="s">
        <v>167</v>
      </c>
      <c r="J36" s="691" t="s">
        <v>157</v>
      </c>
      <c r="K36" s="691" t="s">
        <v>197</v>
      </c>
      <c r="L36" s="691" t="s">
        <v>177</v>
      </c>
      <c r="M36" s="691" t="s">
        <v>207</v>
      </c>
      <c r="N36" s="691" t="s">
        <v>227</v>
      </c>
      <c r="O36" s="589"/>
      <c r="P36" s="717" cm="1">
        <f t="array" ref="P36">F36</f>
        <v>35</v>
      </c>
      <c r="Q36" s="620" t="str" cm="1">
        <f t="array" ref="Q36">RIGHT(G36,1)</f>
        <v>C</v>
      </c>
      <c r="R36" s="590" t="str" cm="1">
        <f t="array" ref="R36">RIGHT(H36,1)</f>
        <v>J</v>
      </c>
      <c r="S36" s="590" t="str" cm="1">
        <f t="array" ref="S36">RIGHT(I36,1)</f>
        <v>E</v>
      </c>
      <c r="T36" s="590" t="str" cm="1">
        <f t="array" ref="T36">RIGHT(J36,1)</f>
        <v>D</v>
      </c>
      <c r="U36" s="590" t="str" cm="1">
        <f t="array" ref="U36">RIGHT(K36,1)</f>
        <v>H</v>
      </c>
      <c r="V36" s="590" t="str" cm="1">
        <f t="array" ref="V36">RIGHT(L36,1)</f>
        <v>F</v>
      </c>
      <c r="W36" s="590" t="str" cm="1">
        <f t="array" ref="W36">RIGHT(M36,1)</f>
        <v>I</v>
      </c>
      <c r="X36" s="590" t="str" cm="1">
        <f t="array" ref="X36">RIGHT(N36,1)</f>
        <v>K</v>
      </c>
      <c r="Y36" s="708" cm="1">
        <f t="array" ref="Y36">COUNTIF($AA$2:$AA$9,Q36)+COUNTIF($AA$2:$AA$9,R36)+COUNTIF($AA$2:$AA$9,S36)+COUNTIF($AA$2:$AA$9,T36)+COUNTIF($AA$2:$AA$9,U36)+COUNTIF($AA$2:$AA$9,V36)+COUNTIF($AA$2:$AA$9,W36)+COUNTIF($AA$2:$AA$9,X36)</f>
        <v>6</v>
      </c>
      <c r="Z36" s="589"/>
      <c r="AA36" s="589"/>
      <c r="AB36" s="589"/>
      <c r="AC36" s="589"/>
      <c r="AD36" s="589"/>
      <c r="AE36" s="589"/>
      <c r="AF36" s="589"/>
      <c r="AG36" s="589"/>
      <c r="AH36" s="589"/>
      <c r="AI36" s="589"/>
      <c r="AJ36" s="589"/>
      <c r="AK36" s="589"/>
      <c r="AL36" s="589"/>
      <c r="AM36" s="589"/>
      <c r="AN36" s="589"/>
      <c r="AO36" s="589"/>
      <c r="AP36" s="589"/>
      <c r="AQ36" s="589"/>
      <c r="AR36" s="589"/>
      <c r="AS36" s="589"/>
      <c r="AT36" s="589"/>
      <c r="AU36" s="589"/>
      <c r="AV36" s="589"/>
      <c r="AW36" s="589"/>
      <c r="AX36" s="589"/>
      <c r="AY36" s="589"/>
      <c r="AZ36" s="589"/>
      <c r="BA36" s="589"/>
      <c r="BB36" s="589"/>
      <c r="BC36" s="589"/>
      <c r="BD36" s="589"/>
      <c r="BE36" s="589"/>
      <c r="BF36" s="589"/>
      <c r="BG36" s="589"/>
      <c r="BH36" s="589"/>
      <c r="BI36" s="589"/>
      <c r="BJ36" s="589"/>
      <c r="BK36" s="589"/>
      <c r="BL36" s="589"/>
    </row>
    <row r="37" spans="1:64" ht="14.25" customHeight="1">
      <c r="A37" s="691" t="s">
        <v>374</v>
      </c>
      <c r="B37" s="589"/>
      <c r="C37" s="589"/>
      <c r="D37" s="589"/>
      <c r="E37" s="589"/>
      <c r="F37" s="591">
        <v>36</v>
      </c>
      <c r="G37" s="691" t="s">
        <v>147</v>
      </c>
      <c r="H37" s="691" t="s">
        <v>187</v>
      </c>
      <c r="I37" s="691" t="s">
        <v>167</v>
      </c>
      <c r="J37" s="691" t="s">
        <v>157</v>
      </c>
      <c r="K37" s="691" t="s">
        <v>217</v>
      </c>
      <c r="L37" s="691" t="s">
        <v>177</v>
      </c>
      <c r="M37" s="691" t="s">
        <v>237</v>
      </c>
      <c r="N37" s="691" t="s">
        <v>227</v>
      </c>
      <c r="O37" s="589"/>
      <c r="P37" s="717" cm="1">
        <f t="array" ref="P37">F37</f>
        <v>36</v>
      </c>
      <c r="Q37" s="620" t="str" cm="1">
        <f t="array" ref="Q37">RIGHT(G37,1)</f>
        <v>C</v>
      </c>
      <c r="R37" s="590" t="str" cm="1">
        <f t="array" ref="R37">RIGHT(H37,1)</f>
        <v>G</v>
      </c>
      <c r="S37" s="590" t="str" cm="1">
        <f t="array" ref="S37">RIGHT(I37,1)</f>
        <v>E</v>
      </c>
      <c r="T37" s="590" t="str" cm="1">
        <f t="array" ref="T37">RIGHT(J37,1)</f>
        <v>D</v>
      </c>
      <c r="U37" s="590" t="str" cm="1">
        <f t="array" ref="U37">RIGHT(K37,1)</f>
        <v>J</v>
      </c>
      <c r="V37" s="590" t="str" cm="1">
        <f t="array" ref="V37">RIGHT(L37,1)</f>
        <v>F</v>
      </c>
      <c r="W37" s="590" t="str" cm="1">
        <f t="array" ref="W37">RIGHT(M37,1)</f>
        <v>L</v>
      </c>
      <c r="X37" s="590" t="str" cm="1">
        <f t="array" ref="X37">RIGHT(N37,1)</f>
        <v>K</v>
      </c>
      <c r="Y37" s="708" cm="1">
        <f t="array" ref="Y37">COUNTIF($AA$2:$AA$9,Q37)+COUNTIF($AA$2:$AA$9,R37)+COUNTIF($AA$2:$AA$9,S37)+COUNTIF($AA$2:$AA$9,T37)+COUNTIF($AA$2:$AA$9,U37)+COUNTIF($AA$2:$AA$9,V37)+COUNTIF($AA$2:$AA$9,W37)+COUNTIF($AA$2:$AA$9,X37)</f>
        <v>6</v>
      </c>
      <c r="Z37" s="589"/>
      <c r="AA37" s="589"/>
      <c r="AB37" s="589"/>
      <c r="AC37" s="589"/>
      <c r="AD37" s="589"/>
      <c r="AE37" s="589"/>
      <c r="AF37" s="589"/>
      <c r="AG37" s="589"/>
      <c r="AH37" s="589"/>
      <c r="AI37" s="589"/>
      <c r="AJ37" s="589"/>
      <c r="AK37" s="589"/>
      <c r="AL37" s="589"/>
      <c r="AM37" s="589"/>
      <c r="AN37" s="589"/>
      <c r="AO37" s="589"/>
      <c r="AP37" s="589"/>
      <c r="AQ37" s="589"/>
      <c r="AR37" s="589"/>
      <c r="AS37" s="589"/>
      <c r="AT37" s="589"/>
      <c r="AU37" s="589"/>
      <c r="AV37" s="589"/>
      <c r="AW37" s="589"/>
      <c r="AX37" s="589"/>
      <c r="AY37" s="589"/>
      <c r="AZ37" s="589"/>
      <c r="BA37" s="589"/>
      <c r="BB37" s="589"/>
      <c r="BC37" s="589"/>
      <c r="BD37" s="589"/>
      <c r="BE37" s="589"/>
      <c r="BF37" s="589"/>
      <c r="BG37" s="589"/>
      <c r="BH37" s="589"/>
      <c r="BI37" s="589"/>
      <c r="BJ37" s="589"/>
      <c r="BK37" s="589"/>
      <c r="BL37" s="589"/>
    </row>
    <row r="38" spans="1:64" ht="14.25" customHeight="1">
      <c r="A38" s="691" t="s">
        <v>375</v>
      </c>
      <c r="B38" s="589"/>
      <c r="C38" s="589"/>
      <c r="D38" s="589"/>
      <c r="E38" s="589"/>
      <c r="F38" s="591">
        <v>37</v>
      </c>
      <c r="G38" s="691" t="s">
        <v>147</v>
      </c>
      <c r="H38" s="691" t="s">
        <v>187</v>
      </c>
      <c r="I38" s="691" t="s">
        <v>167</v>
      </c>
      <c r="J38" s="691" t="s">
        <v>157</v>
      </c>
      <c r="K38" s="691" t="s">
        <v>207</v>
      </c>
      <c r="L38" s="691" t="s">
        <v>177</v>
      </c>
      <c r="M38" s="691" t="s">
        <v>237</v>
      </c>
      <c r="N38" s="691" t="s">
        <v>227</v>
      </c>
      <c r="O38" s="589"/>
      <c r="P38" s="717" cm="1">
        <f t="array" ref="P38">F38</f>
        <v>37</v>
      </c>
      <c r="Q38" s="620" t="str" cm="1">
        <f t="array" ref="Q38">RIGHT(G38,1)</f>
        <v>C</v>
      </c>
      <c r="R38" s="590" t="str" cm="1">
        <f t="array" ref="R38">RIGHT(H38,1)</f>
        <v>G</v>
      </c>
      <c r="S38" s="590" t="str" cm="1">
        <f t="array" ref="S38">RIGHT(I38,1)</f>
        <v>E</v>
      </c>
      <c r="T38" s="590" t="str" cm="1">
        <f t="array" ref="T38">RIGHT(J38,1)</f>
        <v>D</v>
      </c>
      <c r="U38" s="590" t="str" cm="1">
        <f t="array" ref="U38">RIGHT(K38,1)</f>
        <v>I</v>
      </c>
      <c r="V38" s="590" t="str" cm="1">
        <f t="array" ref="V38">RIGHT(L38,1)</f>
        <v>F</v>
      </c>
      <c r="W38" s="590" t="str" cm="1">
        <f t="array" ref="W38">RIGHT(M38,1)</f>
        <v>L</v>
      </c>
      <c r="X38" s="590" t="str" cm="1">
        <f t="array" ref="X38">RIGHT(N38,1)</f>
        <v>K</v>
      </c>
      <c r="Y38" s="708" cm="1">
        <f t="array" ref="Y38">COUNTIF($AA$2:$AA$9,Q38)+COUNTIF($AA$2:$AA$9,R38)+COUNTIF($AA$2:$AA$9,S38)+COUNTIF($AA$2:$AA$9,T38)+COUNTIF($AA$2:$AA$9,U38)+COUNTIF($AA$2:$AA$9,V38)+COUNTIF($AA$2:$AA$9,W38)+COUNTIF($AA$2:$AA$9,X38)</f>
        <v>6</v>
      </c>
      <c r="Z38" s="589"/>
      <c r="AA38" s="589"/>
      <c r="AB38" s="589"/>
      <c r="AC38" s="589"/>
      <c r="AD38" s="589"/>
      <c r="AE38" s="589"/>
      <c r="AF38" s="589"/>
      <c r="AG38" s="589"/>
      <c r="AH38" s="589"/>
      <c r="AI38" s="589"/>
      <c r="AJ38" s="589"/>
      <c r="AK38" s="589"/>
      <c r="AL38" s="589"/>
      <c r="AM38" s="589"/>
      <c r="AN38" s="589"/>
      <c r="AO38" s="589"/>
      <c r="AP38" s="589"/>
      <c r="AQ38" s="589"/>
      <c r="AR38" s="589"/>
      <c r="AS38" s="589"/>
      <c r="AT38" s="589"/>
      <c r="AU38" s="589"/>
      <c r="AV38" s="589"/>
      <c r="AW38" s="589"/>
      <c r="AX38" s="589"/>
      <c r="AY38" s="589"/>
      <c r="AZ38" s="589"/>
      <c r="BA38" s="589"/>
      <c r="BB38" s="589"/>
      <c r="BC38" s="589"/>
      <c r="BD38" s="589"/>
      <c r="BE38" s="589"/>
      <c r="BF38" s="589"/>
      <c r="BG38" s="589"/>
      <c r="BH38" s="589"/>
      <c r="BI38" s="589"/>
      <c r="BJ38" s="589"/>
      <c r="BK38" s="589"/>
      <c r="BL38" s="589"/>
    </row>
    <row r="39" spans="1:64" ht="14.25" customHeight="1">
      <c r="A39" s="691" t="s">
        <v>376</v>
      </c>
      <c r="B39" s="589"/>
      <c r="C39" s="589"/>
      <c r="D39" s="589"/>
      <c r="E39" s="589"/>
      <c r="F39" s="591">
        <v>38</v>
      </c>
      <c r="G39" s="691" t="s">
        <v>147</v>
      </c>
      <c r="H39" s="691" t="s">
        <v>187</v>
      </c>
      <c r="I39" s="691" t="s">
        <v>167</v>
      </c>
      <c r="J39" s="691" t="s">
        <v>157</v>
      </c>
      <c r="K39" s="691" t="s">
        <v>217</v>
      </c>
      <c r="L39" s="691" t="s">
        <v>177</v>
      </c>
      <c r="M39" s="691" t="s">
        <v>237</v>
      </c>
      <c r="N39" s="691" t="s">
        <v>207</v>
      </c>
      <c r="O39" s="589"/>
      <c r="P39" s="717" cm="1">
        <f t="array" ref="P39">F39</f>
        <v>38</v>
      </c>
      <c r="Q39" s="620" t="str" cm="1">
        <f t="array" ref="Q39">RIGHT(G39,1)</f>
        <v>C</v>
      </c>
      <c r="R39" s="590" t="str" cm="1">
        <f t="array" ref="R39">RIGHT(H39,1)</f>
        <v>G</v>
      </c>
      <c r="S39" s="590" t="str" cm="1">
        <f t="array" ref="S39">RIGHT(I39,1)</f>
        <v>E</v>
      </c>
      <c r="T39" s="590" t="str" cm="1">
        <f t="array" ref="T39">RIGHT(J39,1)</f>
        <v>D</v>
      </c>
      <c r="U39" s="590" t="str" cm="1">
        <f t="array" ref="U39">RIGHT(K39,1)</f>
        <v>J</v>
      </c>
      <c r="V39" s="590" t="str" cm="1">
        <f t="array" ref="V39">RIGHT(L39,1)</f>
        <v>F</v>
      </c>
      <c r="W39" s="590" t="str" cm="1">
        <f t="array" ref="W39">RIGHT(M39,1)</f>
        <v>L</v>
      </c>
      <c r="X39" s="590" t="str" cm="1">
        <f t="array" ref="X39">RIGHT(N39,1)</f>
        <v>I</v>
      </c>
      <c r="Y39" s="708" cm="1">
        <f t="array" ref="Y39">COUNTIF($AA$2:$AA$9,Q39)+COUNTIF($AA$2:$AA$9,R39)+COUNTIF($AA$2:$AA$9,S39)+COUNTIF($AA$2:$AA$9,T39)+COUNTIF($AA$2:$AA$9,U39)+COUNTIF($AA$2:$AA$9,V39)+COUNTIF($AA$2:$AA$9,W39)+COUNTIF($AA$2:$AA$9,X39)</f>
        <v>7</v>
      </c>
      <c r="Z39" s="589"/>
      <c r="AA39" s="589"/>
      <c r="AB39" s="589"/>
      <c r="AC39" s="589"/>
      <c r="AD39" s="589"/>
      <c r="AE39" s="589"/>
      <c r="AF39" s="589"/>
      <c r="AG39" s="589"/>
      <c r="AH39" s="589"/>
      <c r="AI39" s="589"/>
      <c r="AJ39" s="589"/>
      <c r="AK39" s="589"/>
      <c r="AL39" s="589"/>
      <c r="AM39" s="589"/>
      <c r="AN39" s="589"/>
      <c r="AO39" s="589"/>
      <c r="AP39" s="589"/>
      <c r="AQ39" s="589"/>
      <c r="AR39" s="589"/>
      <c r="AS39" s="589"/>
      <c r="AT39" s="589"/>
      <c r="AU39" s="589"/>
      <c r="AV39" s="589"/>
      <c r="AW39" s="589"/>
      <c r="AX39" s="589"/>
      <c r="AY39" s="589"/>
      <c r="AZ39" s="589"/>
      <c r="BA39" s="589"/>
      <c r="BB39" s="589"/>
      <c r="BC39" s="589"/>
      <c r="BD39" s="589"/>
      <c r="BE39" s="589"/>
      <c r="BF39" s="589"/>
      <c r="BG39" s="589"/>
      <c r="BH39" s="589"/>
      <c r="BI39" s="589"/>
      <c r="BJ39" s="589"/>
      <c r="BK39" s="589"/>
      <c r="BL39" s="589"/>
    </row>
    <row r="40" spans="1:64" ht="14.25" customHeight="1">
      <c r="A40" s="691" t="s">
        <v>377</v>
      </c>
      <c r="B40" s="589"/>
      <c r="C40" s="589"/>
      <c r="D40" s="589"/>
      <c r="E40" s="589"/>
      <c r="F40" s="591">
        <v>39</v>
      </c>
      <c r="G40" s="691" t="s">
        <v>147</v>
      </c>
      <c r="H40" s="691" t="s">
        <v>187</v>
      </c>
      <c r="I40" s="691" t="s">
        <v>167</v>
      </c>
      <c r="J40" s="691" t="s">
        <v>157</v>
      </c>
      <c r="K40" s="691" t="s">
        <v>217</v>
      </c>
      <c r="L40" s="691" t="s">
        <v>177</v>
      </c>
      <c r="M40" s="691" t="s">
        <v>207</v>
      </c>
      <c r="N40" s="691" t="s">
        <v>227</v>
      </c>
      <c r="O40" s="589"/>
      <c r="P40" s="717" cm="1">
        <f t="array" ref="P40">F40</f>
        <v>39</v>
      </c>
      <c r="Q40" s="620" t="str" cm="1">
        <f t="array" ref="Q40">RIGHT(G40,1)</f>
        <v>C</v>
      </c>
      <c r="R40" s="590" t="str" cm="1">
        <f t="array" ref="R40">RIGHT(H40,1)</f>
        <v>G</v>
      </c>
      <c r="S40" s="590" t="str" cm="1">
        <f t="array" ref="S40">RIGHT(I40,1)</f>
        <v>E</v>
      </c>
      <c r="T40" s="590" t="str" cm="1">
        <f t="array" ref="T40">RIGHT(J40,1)</f>
        <v>D</v>
      </c>
      <c r="U40" s="590" t="str" cm="1">
        <f t="array" ref="U40">RIGHT(K40,1)</f>
        <v>J</v>
      </c>
      <c r="V40" s="590" t="str" cm="1">
        <f t="array" ref="V40">RIGHT(L40,1)</f>
        <v>F</v>
      </c>
      <c r="W40" s="590" t="str" cm="1">
        <f t="array" ref="W40">RIGHT(M40,1)</f>
        <v>I</v>
      </c>
      <c r="X40" s="590" t="str" cm="1">
        <f t="array" ref="X40">RIGHT(N40,1)</f>
        <v>K</v>
      </c>
      <c r="Y40" s="708" cm="1">
        <f t="array" ref="Y40">COUNTIF($AA$2:$AA$9,Q40)+COUNTIF($AA$2:$AA$9,R40)+COUNTIF($AA$2:$AA$9,S40)+COUNTIF($AA$2:$AA$9,T40)+COUNTIF($AA$2:$AA$9,U40)+COUNTIF($AA$2:$AA$9,V40)+COUNTIF($AA$2:$AA$9,W40)+COUNTIF($AA$2:$AA$9,X40)</f>
        <v>6</v>
      </c>
      <c r="Z40" s="589"/>
      <c r="AA40" s="589"/>
      <c r="AB40" s="589"/>
      <c r="AC40" s="589"/>
      <c r="AD40" s="589"/>
      <c r="AE40" s="589"/>
      <c r="AF40" s="589"/>
      <c r="AG40" s="589"/>
      <c r="AH40" s="589"/>
      <c r="AI40" s="589"/>
      <c r="AJ40" s="589"/>
      <c r="AK40" s="589"/>
      <c r="AL40" s="589"/>
      <c r="AM40" s="589"/>
      <c r="AN40" s="589"/>
      <c r="AO40" s="589"/>
      <c r="AP40" s="589"/>
      <c r="AQ40" s="589"/>
      <c r="AR40" s="589"/>
      <c r="AS40" s="589"/>
      <c r="AT40" s="589"/>
      <c r="AU40" s="589"/>
      <c r="AV40" s="589"/>
      <c r="AW40" s="589"/>
      <c r="AX40" s="589"/>
      <c r="AY40" s="589"/>
      <c r="AZ40" s="589"/>
      <c r="BA40" s="589"/>
      <c r="BB40" s="589"/>
      <c r="BC40" s="589"/>
      <c r="BD40" s="589"/>
      <c r="BE40" s="589"/>
      <c r="BF40" s="589"/>
      <c r="BG40" s="589"/>
      <c r="BH40" s="589"/>
      <c r="BI40" s="589"/>
      <c r="BJ40" s="589"/>
      <c r="BK40" s="589"/>
      <c r="BL40" s="589"/>
    </row>
    <row r="41" spans="1:64" ht="14.25" customHeight="1">
      <c r="A41" s="691" t="s">
        <v>378</v>
      </c>
      <c r="B41" s="589"/>
      <c r="C41" s="589"/>
      <c r="D41" s="589"/>
      <c r="E41" s="589"/>
      <c r="F41" s="591">
        <v>40</v>
      </c>
      <c r="G41" s="691" t="s">
        <v>147</v>
      </c>
      <c r="H41" s="691" t="s">
        <v>187</v>
      </c>
      <c r="I41" s="691" t="s">
        <v>167</v>
      </c>
      <c r="J41" s="691" t="s">
        <v>157</v>
      </c>
      <c r="K41" s="691" t="s">
        <v>197</v>
      </c>
      <c r="L41" s="691" t="s">
        <v>177</v>
      </c>
      <c r="M41" s="691" t="s">
        <v>237</v>
      </c>
      <c r="N41" s="691" t="s">
        <v>227</v>
      </c>
      <c r="O41" s="589"/>
      <c r="P41" s="717" cm="1">
        <f t="array" ref="P41">F41</f>
        <v>40</v>
      </c>
      <c r="Q41" s="620" t="str" cm="1">
        <f t="array" ref="Q41">RIGHT(G41,1)</f>
        <v>C</v>
      </c>
      <c r="R41" s="590" t="str" cm="1">
        <f t="array" ref="R41">RIGHT(H41,1)</f>
        <v>G</v>
      </c>
      <c r="S41" s="590" t="str" cm="1">
        <f t="array" ref="S41">RIGHT(I41,1)</f>
        <v>E</v>
      </c>
      <c r="T41" s="590" t="str" cm="1">
        <f t="array" ref="T41">RIGHT(J41,1)</f>
        <v>D</v>
      </c>
      <c r="U41" s="590" t="str" cm="1">
        <f t="array" ref="U41">RIGHT(K41,1)</f>
        <v>H</v>
      </c>
      <c r="V41" s="590" t="str" cm="1">
        <f t="array" ref="V41">RIGHT(L41,1)</f>
        <v>F</v>
      </c>
      <c r="W41" s="590" t="str" cm="1">
        <f t="array" ref="W41">RIGHT(M41,1)</f>
        <v>L</v>
      </c>
      <c r="X41" s="590" t="str" cm="1">
        <f t="array" ref="X41">RIGHT(N41,1)</f>
        <v>K</v>
      </c>
      <c r="Y41" s="708" cm="1">
        <f t="array" ref="Y41">COUNTIF($AA$2:$AA$9,Q41)+COUNTIF($AA$2:$AA$9,R41)+COUNTIF($AA$2:$AA$9,S41)+COUNTIF($AA$2:$AA$9,T41)+COUNTIF($AA$2:$AA$9,U41)+COUNTIF($AA$2:$AA$9,V41)+COUNTIF($AA$2:$AA$9,W41)+COUNTIF($AA$2:$AA$9,X41)</f>
        <v>5</v>
      </c>
      <c r="Z41" s="589"/>
      <c r="AA41" s="589"/>
      <c r="AB41" s="589"/>
      <c r="AC41" s="589"/>
      <c r="AD41" s="589"/>
      <c r="AE41" s="589"/>
      <c r="AF41" s="589"/>
      <c r="AG41" s="589"/>
      <c r="AH41" s="589"/>
      <c r="AI41" s="589"/>
      <c r="AJ41" s="589"/>
      <c r="AK41" s="589"/>
      <c r="AL41" s="589"/>
      <c r="AM41" s="589"/>
      <c r="AN41" s="589"/>
      <c r="AO41" s="589"/>
      <c r="AP41" s="589"/>
      <c r="AQ41" s="589"/>
      <c r="AR41" s="589"/>
      <c r="AS41" s="589"/>
      <c r="AT41" s="589"/>
      <c r="AU41" s="589"/>
      <c r="AV41" s="589"/>
      <c r="AW41" s="589"/>
      <c r="AX41" s="589"/>
      <c r="AY41" s="589"/>
      <c r="AZ41" s="589"/>
      <c r="BA41" s="589"/>
      <c r="BB41" s="589"/>
      <c r="BC41" s="589"/>
      <c r="BD41" s="589"/>
      <c r="BE41" s="589"/>
      <c r="BF41" s="589"/>
      <c r="BG41" s="589"/>
      <c r="BH41" s="589"/>
      <c r="BI41" s="589"/>
      <c r="BJ41" s="589"/>
      <c r="BK41" s="589"/>
      <c r="BL41" s="589"/>
    </row>
    <row r="42" spans="1:64" ht="14.25" customHeight="1">
      <c r="A42" s="691" t="s">
        <v>379</v>
      </c>
      <c r="B42" s="589"/>
      <c r="C42" s="589"/>
      <c r="D42" s="589"/>
      <c r="E42" s="589"/>
      <c r="F42" s="591">
        <v>41</v>
      </c>
      <c r="G42" s="691" t="s">
        <v>147</v>
      </c>
      <c r="H42" s="691" t="s">
        <v>187</v>
      </c>
      <c r="I42" s="691" t="s">
        <v>217</v>
      </c>
      <c r="J42" s="691" t="s">
        <v>157</v>
      </c>
      <c r="K42" s="691" t="s">
        <v>197</v>
      </c>
      <c r="L42" s="691" t="s">
        <v>177</v>
      </c>
      <c r="M42" s="691" t="s">
        <v>237</v>
      </c>
      <c r="N42" s="691" t="s">
        <v>167</v>
      </c>
      <c r="O42" s="589"/>
      <c r="P42" s="717" cm="1">
        <f t="array" ref="P42">F42</f>
        <v>41</v>
      </c>
      <c r="Q42" s="620" t="str" cm="1">
        <f t="array" ref="Q42">RIGHT(G42,1)</f>
        <v>C</v>
      </c>
      <c r="R42" s="590" t="str" cm="1">
        <f t="array" ref="R42">RIGHT(H42,1)</f>
        <v>G</v>
      </c>
      <c r="S42" s="590" t="str" cm="1">
        <f t="array" ref="S42">RIGHT(I42,1)</f>
        <v>J</v>
      </c>
      <c r="T42" s="590" t="str" cm="1">
        <f t="array" ref="T42">RIGHT(J42,1)</f>
        <v>D</v>
      </c>
      <c r="U42" s="590" t="str" cm="1">
        <f t="array" ref="U42">RIGHT(K42,1)</f>
        <v>H</v>
      </c>
      <c r="V42" s="590" t="str" cm="1">
        <f t="array" ref="V42">RIGHT(L42,1)</f>
        <v>F</v>
      </c>
      <c r="W42" s="590" t="str" cm="1">
        <f t="array" ref="W42">RIGHT(M42,1)</f>
        <v>L</v>
      </c>
      <c r="X42" s="590" t="str" cm="1">
        <f t="array" ref="X42">RIGHT(N42,1)</f>
        <v>E</v>
      </c>
      <c r="Y42" s="708" cm="1">
        <f t="array" ref="Y42">COUNTIF($AA$2:$AA$9,Q42)+COUNTIF($AA$2:$AA$9,R42)+COUNTIF($AA$2:$AA$9,S42)+COUNTIF($AA$2:$AA$9,T42)+COUNTIF($AA$2:$AA$9,U42)+COUNTIF($AA$2:$AA$9,V42)+COUNTIF($AA$2:$AA$9,W42)+COUNTIF($AA$2:$AA$9,X42)</f>
        <v>6</v>
      </c>
      <c r="Z42" s="589"/>
      <c r="AA42" s="589"/>
      <c r="AB42" s="589"/>
      <c r="AC42" s="589"/>
      <c r="AD42" s="589"/>
      <c r="AE42" s="589"/>
      <c r="AF42" s="589"/>
      <c r="AG42" s="589"/>
      <c r="AH42" s="589"/>
      <c r="AI42" s="589"/>
      <c r="AJ42" s="589"/>
      <c r="AK42" s="589"/>
      <c r="AL42" s="589"/>
      <c r="AM42" s="589"/>
      <c r="AN42" s="589"/>
      <c r="AO42" s="589"/>
      <c r="AP42" s="589"/>
      <c r="AQ42" s="589"/>
      <c r="AR42" s="589"/>
      <c r="AS42" s="589"/>
      <c r="AT42" s="589"/>
      <c r="AU42" s="589"/>
      <c r="AV42" s="589"/>
      <c r="AW42" s="589"/>
      <c r="AX42" s="589"/>
      <c r="AY42" s="589"/>
      <c r="AZ42" s="589"/>
      <c r="BA42" s="589"/>
      <c r="BB42" s="589"/>
      <c r="BC42" s="589"/>
      <c r="BD42" s="589"/>
      <c r="BE42" s="589"/>
      <c r="BF42" s="589"/>
      <c r="BG42" s="589"/>
      <c r="BH42" s="589"/>
      <c r="BI42" s="589"/>
      <c r="BJ42" s="589"/>
      <c r="BK42" s="589"/>
      <c r="BL42" s="589"/>
    </row>
    <row r="43" spans="1:64" ht="14.25" customHeight="1">
      <c r="A43" s="691" t="s">
        <v>380</v>
      </c>
      <c r="B43" s="589"/>
      <c r="C43" s="589"/>
      <c r="D43" s="589"/>
      <c r="E43" s="589"/>
      <c r="F43" s="591">
        <v>42</v>
      </c>
      <c r="G43" s="691" t="s">
        <v>147</v>
      </c>
      <c r="H43" s="691" t="s">
        <v>187</v>
      </c>
      <c r="I43" s="691" t="s">
        <v>217</v>
      </c>
      <c r="J43" s="691" t="s">
        <v>157</v>
      </c>
      <c r="K43" s="691" t="s">
        <v>197</v>
      </c>
      <c r="L43" s="691" t="s">
        <v>177</v>
      </c>
      <c r="M43" s="691" t="s">
        <v>167</v>
      </c>
      <c r="N43" s="691" t="s">
        <v>227</v>
      </c>
      <c r="O43" s="589"/>
      <c r="P43" s="717" cm="1">
        <f t="array" ref="P43">F43</f>
        <v>42</v>
      </c>
      <c r="Q43" s="620" t="str" cm="1">
        <f t="array" ref="Q43">RIGHT(G43,1)</f>
        <v>C</v>
      </c>
      <c r="R43" s="590" t="str" cm="1">
        <f t="array" ref="R43">RIGHT(H43,1)</f>
        <v>G</v>
      </c>
      <c r="S43" s="590" t="str" cm="1">
        <f t="array" ref="S43">RIGHT(I43,1)</f>
        <v>J</v>
      </c>
      <c r="T43" s="590" t="str" cm="1">
        <f t="array" ref="T43">RIGHT(J43,1)</f>
        <v>D</v>
      </c>
      <c r="U43" s="590" t="str" cm="1">
        <f t="array" ref="U43">RIGHT(K43,1)</f>
        <v>H</v>
      </c>
      <c r="V43" s="590" t="str" cm="1">
        <f t="array" ref="V43">RIGHT(L43,1)</f>
        <v>F</v>
      </c>
      <c r="W43" s="590" t="str" cm="1">
        <f t="array" ref="W43">RIGHT(M43,1)</f>
        <v>E</v>
      </c>
      <c r="X43" s="590" t="str" cm="1">
        <f t="array" ref="X43">RIGHT(N43,1)</f>
        <v>K</v>
      </c>
      <c r="Y43" s="708" cm="1">
        <f t="array" ref="Y43">COUNTIF($AA$2:$AA$9,Q43)+COUNTIF($AA$2:$AA$9,R43)+COUNTIF($AA$2:$AA$9,S43)+COUNTIF($AA$2:$AA$9,T43)+COUNTIF($AA$2:$AA$9,U43)+COUNTIF($AA$2:$AA$9,V43)+COUNTIF($AA$2:$AA$9,W43)+COUNTIF($AA$2:$AA$9,X43)</f>
        <v>5</v>
      </c>
      <c r="Z43" s="589"/>
      <c r="AA43" s="589"/>
      <c r="AB43" s="589"/>
      <c r="AC43" s="589"/>
      <c r="AD43" s="589"/>
      <c r="AE43" s="589"/>
      <c r="AF43" s="589"/>
      <c r="AG43" s="589"/>
      <c r="AH43" s="589"/>
      <c r="AI43" s="589"/>
      <c r="AJ43" s="589"/>
      <c r="AK43" s="589"/>
      <c r="AL43" s="589"/>
      <c r="AM43" s="589"/>
      <c r="AN43" s="589"/>
      <c r="AO43" s="589"/>
      <c r="AP43" s="589"/>
      <c r="AQ43" s="589"/>
      <c r="AR43" s="589"/>
      <c r="AS43" s="589"/>
      <c r="AT43" s="589"/>
      <c r="AU43" s="589"/>
      <c r="AV43" s="589"/>
      <c r="AW43" s="589"/>
      <c r="AX43" s="589"/>
      <c r="AY43" s="589"/>
      <c r="AZ43" s="589"/>
      <c r="BA43" s="589"/>
      <c r="BB43" s="589"/>
      <c r="BC43" s="589"/>
      <c r="BD43" s="589"/>
      <c r="BE43" s="589"/>
      <c r="BF43" s="589"/>
      <c r="BG43" s="589"/>
      <c r="BH43" s="589"/>
      <c r="BI43" s="589"/>
      <c r="BJ43" s="589"/>
      <c r="BK43" s="589"/>
      <c r="BL43" s="589"/>
    </row>
    <row r="44" spans="1:64" ht="14.25" customHeight="1">
      <c r="A44" s="691" t="s">
        <v>381</v>
      </c>
      <c r="B44" s="589"/>
      <c r="C44" s="589"/>
      <c r="D44" s="589"/>
      <c r="E44" s="589"/>
      <c r="F44" s="591">
        <v>43</v>
      </c>
      <c r="G44" s="691" t="s">
        <v>147</v>
      </c>
      <c r="H44" s="691" t="s">
        <v>187</v>
      </c>
      <c r="I44" s="691" t="s">
        <v>167</v>
      </c>
      <c r="J44" s="691" t="s">
        <v>157</v>
      </c>
      <c r="K44" s="691" t="s">
        <v>197</v>
      </c>
      <c r="L44" s="691" t="s">
        <v>177</v>
      </c>
      <c r="M44" s="691" t="s">
        <v>237</v>
      </c>
      <c r="N44" s="691" t="s">
        <v>207</v>
      </c>
      <c r="O44" s="589"/>
      <c r="P44" s="717" cm="1">
        <f t="array" ref="P44">F44</f>
        <v>43</v>
      </c>
      <c r="Q44" s="620" t="str" cm="1">
        <f t="array" ref="Q44">RIGHT(G44,1)</f>
        <v>C</v>
      </c>
      <c r="R44" s="590" t="str" cm="1">
        <f t="array" ref="R44">RIGHT(H44,1)</f>
        <v>G</v>
      </c>
      <c r="S44" s="590" t="str" cm="1">
        <f t="array" ref="S44">RIGHT(I44,1)</f>
        <v>E</v>
      </c>
      <c r="T44" s="590" t="str" cm="1">
        <f t="array" ref="T44">RIGHT(J44,1)</f>
        <v>D</v>
      </c>
      <c r="U44" s="590" t="str" cm="1">
        <f t="array" ref="U44">RIGHT(K44,1)</f>
        <v>H</v>
      </c>
      <c r="V44" s="590" t="str" cm="1">
        <f t="array" ref="V44">RIGHT(L44,1)</f>
        <v>F</v>
      </c>
      <c r="W44" s="590" t="str" cm="1">
        <f t="array" ref="W44">RIGHT(M44,1)</f>
        <v>L</v>
      </c>
      <c r="X44" s="590" t="str" cm="1">
        <f t="array" ref="X44">RIGHT(N44,1)</f>
        <v>I</v>
      </c>
      <c r="Y44" s="708" cm="1">
        <f t="array" ref="Y44">COUNTIF($AA$2:$AA$9,Q44)+COUNTIF($AA$2:$AA$9,R44)+COUNTIF($AA$2:$AA$9,S44)+COUNTIF($AA$2:$AA$9,T44)+COUNTIF($AA$2:$AA$9,U44)+COUNTIF($AA$2:$AA$9,V44)+COUNTIF($AA$2:$AA$9,W44)+COUNTIF($AA$2:$AA$9,X44)</f>
        <v>6</v>
      </c>
      <c r="Z44" s="589"/>
      <c r="AA44" s="589"/>
      <c r="AB44" s="589"/>
      <c r="AC44" s="589"/>
      <c r="AD44" s="589"/>
      <c r="AE44" s="589"/>
      <c r="AF44" s="589"/>
      <c r="AG44" s="589"/>
      <c r="AH44" s="589"/>
      <c r="AI44" s="589"/>
      <c r="AJ44" s="589"/>
      <c r="AK44" s="589"/>
      <c r="AL44" s="589"/>
      <c r="AM44" s="589"/>
      <c r="AN44" s="589"/>
      <c r="AO44" s="589"/>
      <c r="AP44" s="589"/>
      <c r="AQ44" s="589"/>
      <c r="AR44" s="589"/>
      <c r="AS44" s="589"/>
      <c r="AT44" s="589"/>
      <c r="AU44" s="589"/>
      <c r="AV44" s="589"/>
      <c r="AW44" s="589"/>
      <c r="AX44" s="589"/>
      <c r="AY44" s="589"/>
      <c r="AZ44" s="589"/>
      <c r="BA44" s="589"/>
      <c r="BB44" s="589"/>
      <c r="BC44" s="589"/>
      <c r="BD44" s="589"/>
      <c r="BE44" s="589"/>
      <c r="BF44" s="589"/>
      <c r="BG44" s="589"/>
      <c r="BH44" s="589"/>
      <c r="BI44" s="589"/>
      <c r="BJ44" s="589"/>
      <c r="BK44" s="589"/>
      <c r="BL44" s="589"/>
    </row>
    <row r="45" spans="1:64" ht="14.25" customHeight="1">
      <c r="A45" s="691" t="s">
        <v>382</v>
      </c>
      <c r="B45" s="589"/>
      <c r="C45" s="589"/>
      <c r="D45" s="589"/>
      <c r="E45" s="589"/>
      <c r="F45" s="591">
        <v>44</v>
      </c>
      <c r="G45" s="691" t="s">
        <v>147</v>
      </c>
      <c r="H45" s="691" t="s">
        <v>187</v>
      </c>
      <c r="I45" s="691" t="s">
        <v>167</v>
      </c>
      <c r="J45" s="691" t="s">
        <v>157</v>
      </c>
      <c r="K45" s="691" t="s">
        <v>197</v>
      </c>
      <c r="L45" s="691" t="s">
        <v>177</v>
      </c>
      <c r="M45" s="691" t="s">
        <v>207</v>
      </c>
      <c r="N45" s="691" t="s">
        <v>227</v>
      </c>
      <c r="O45" s="589"/>
      <c r="P45" s="717" cm="1">
        <f t="array" ref="P45">F45</f>
        <v>44</v>
      </c>
      <c r="Q45" s="620" t="str" cm="1">
        <f t="array" ref="Q45">RIGHT(G45,1)</f>
        <v>C</v>
      </c>
      <c r="R45" s="590" t="str" cm="1">
        <f t="array" ref="R45">RIGHT(H45,1)</f>
        <v>G</v>
      </c>
      <c r="S45" s="590" t="str" cm="1">
        <f t="array" ref="S45">RIGHT(I45,1)</f>
        <v>E</v>
      </c>
      <c r="T45" s="590" t="str" cm="1">
        <f t="array" ref="T45">RIGHT(J45,1)</f>
        <v>D</v>
      </c>
      <c r="U45" s="590" t="str" cm="1">
        <f t="array" ref="U45">RIGHT(K45,1)</f>
        <v>H</v>
      </c>
      <c r="V45" s="590" t="str" cm="1">
        <f t="array" ref="V45">RIGHT(L45,1)</f>
        <v>F</v>
      </c>
      <c r="W45" s="590" t="str" cm="1">
        <f t="array" ref="W45">RIGHT(M45,1)</f>
        <v>I</v>
      </c>
      <c r="X45" s="590" t="str" cm="1">
        <f t="array" ref="X45">RIGHT(N45,1)</f>
        <v>K</v>
      </c>
      <c r="Y45" s="708" cm="1">
        <f t="array" ref="Y45">COUNTIF($AA$2:$AA$9,Q45)+COUNTIF($AA$2:$AA$9,R45)+COUNTIF($AA$2:$AA$9,S45)+COUNTIF($AA$2:$AA$9,T45)+COUNTIF($AA$2:$AA$9,U45)+COUNTIF($AA$2:$AA$9,V45)+COUNTIF($AA$2:$AA$9,W45)+COUNTIF($AA$2:$AA$9,X45)</f>
        <v>5</v>
      </c>
      <c r="Z45" s="589"/>
      <c r="AA45" s="589"/>
      <c r="AB45" s="589"/>
      <c r="AC45" s="589"/>
      <c r="AD45" s="589"/>
      <c r="AE45" s="589"/>
      <c r="AF45" s="589"/>
      <c r="AG45" s="589"/>
      <c r="AH45" s="589"/>
      <c r="AI45" s="589"/>
      <c r="AJ45" s="589"/>
      <c r="AK45" s="589"/>
      <c r="AL45" s="589"/>
      <c r="AM45" s="589"/>
      <c r="AN45" s="589"/>
      <c r="AO45" s="589"/>
      <c r="AP45" s="589"/>
      <c r="AQ45" s="589"/>
      <c r="AR45" s="589"/>
      <c r="AS45" s="589"/>
      <c r="AT45" s="589"/>
      <c r="AU45" s="589"/>
      <c r="AV45" s="589"/>
      <c r="AW45" s="589"/>
      <c r="AX45" s="589"/>
      <c r="AY45" s="589"/>
      <c r="AZ45" s="589"/>
      <c r="BA45" s="589"/>
      <c r="BB45" s="589"/>
      <c r="BC45" s="589"/>
      <c r="BD45" s="589"/>
      <c r="BE45" s="589"/>
      <c r="BF45" s="589"/>
      <c r="BG45" s="589"/>
      <c r="BH45" s="589"/>
      <c r="BI45" s="589"/>
      <c r="BJ45" s="589"/>
      <c r="BK45" s="589"/>
      <c r="BL45" s="589"/>
    </row>
    <row r="46" spans="1:64" ht="14.25" customHeight="1">
      <c r="A46" s="691" t="s">
        <v>383</v>
      </c>
      <c r="B46" s="589"/>
      <c r="C46" s="589"/>
      <c r="D46" s="589"/>
      <c r="E46" s="589"/>
      <c r="F46" s="591">
        <v>45</v>
      </c>
      <c r="G46" s="691" t="s">
        <v>147</v>
      </c>
      <c r="H46" s="691" t="s">
        <v>187</v>
      </c>
      <c r="I46" s="691" t="s">
        <v>217</v>
      </c>
      <c r="J46" s="691" t="s">
        <v>157</v>
      </c>
      <c r="K46" s="691" t="s">
        <v>197</v>
      </c>
      <c r="L46" s="691" t="s">
        <v>177</v>
      </c>
      <c r="M46" s="691" t="s">
        <v>167</v>
      </c>
      <c r="N46" s="691" t="s">
        <v>207</v>
      </c>
      <c r="O46" s="589"/>
      <c r="P46" s="717" cm="1">
        <f t="array" ref="P46">F46</f>
        <v>45</v>
      </c>
      <c r="Q46" s="620" t="str" cm="1">
        <f t="array" ref="Q46">RIGHT(G46,1)</f>
        <v>C</v>
      </c>
      <c r="R46" s="590" t="str" cm="1">
        <f t="array" ref="R46">RIGHT(H46,1)</f>
        <v>G</v>
      </c>
      <c r="S46" s="590" t="str" cm="1">
        <f t="array" ref="S46">RIGHT(I46,1)</f>
        <v>J</v>
      </c>
      <c r="T46" s="590" t="str" cm="1">
        <f t="array" ref="T46">RIGHT(J46,1)</f>
        <v>D</v>
      </c>
      <c r="U46" s="590" t="str" cm="1">
        <f t="array" ref="U46">RIGHT(K46,1)</f>
        <v>H</v>
      </c>
      <c r="V46" s="590" t="str" cm="1">
        <f t="array" ref="V46">RIGHT(L46,1)</f>
        <v>F</v>
      </c>
      <c r="W46" s="590" t="str" cm="1">
        <f t="array" ref="W46">RIGHT(M46,1)</f>
        <v>E</v>
      </c>
      <c r="X46" s="590" t="str" cm="1">
        <f t="array" ref="X46">RIGHT(N46,1)</f>
        <v>I</v>
      </c>
      <c r="Y46" s="708" cm="1">
        <f t="array" ref="Y46">COUNTIF($AA$2:$AA$9,Q46)+COUNTIF($AA$2:$AA$9,R46)+COUNTIF($AA$2:$AA$9,S46)+COUNTIF($AA$2:$AA$9,T46)+COUNTIF($AA$2:$AA$9,U46)+COUNTIF($AA$2:$AA$9,V46)+COUNTIF($AA$2:$AA$9,W46)+COUNTIF($AA$2:$AA$9,X46)</f>
        <v>6</v>
      </c>
      <c r="Z46" s="589"/>
      <c r="AA46" s="589"/>
      <c r="AB46" s="589"/>
      <c r="AC46" s="589"/>
      <c r="AD46" s="589"/>
      <c r="AE46" s="589"/>
      <c r="AF46" s="589"/>
      <c r="AG46" s="589"/>
      <c r="AH46" s="589"/>
      <c r="AI46" s="589"/>
      <c r="AJ46" s="589"/>
      <c r="AK46" s="589"/>
      <c r="AL46" s="589"/>
      <c r="AM46" s="589"/>
      <c r="AN46" s="589"/>
      <c r="AO46" s="589"/>
      <c r="AP46" s="589"/>
      <c r="AQ46" s="589"/>
      <c r="AR46" s="589"/>
      <c r="AS46" s="589"/>
      <c r="AT46" s="589"/>
      <c r="AU46" s="589"/>
      <c r="AV46" s="589"/>
      <c r="AW46" s="589"/>
      <c r="AX46" s="589"/>
      <c r="AY46" s="589"/>
      <c r="AZ46" s="589"/>
      <c r="BA46" s="589"/>
      <c r="BB46" s="589"/>
      <c r="BC46" s="589"/>
      <c r="BD46" s="589"/>
      <c r="BE46" s="589"/>
      <c r="BF46" s="589"/>
      <c r="BG46" s="589"/>
      <c r="BH46" s="589"/>
      <c r="BI46" s="589"/>
      <c r="BJ46" s="589"/>
      <c r="BK46" s="589"/>
      <c r="BL46" s="589"/>
    </row>
    <row r="47" spans="1:64" ht="14.25" customHeight="1">
      <c r="A47" s="691" t="s">
        <v>384</v>
      </c>
      <c r="B47" s="589"/>
      <c r="C47" s="589"/>
      <c r="D47" s="589"/>
      <c r="E47" s="589"/>
      <c r="F47" s="591">
        <v>46</v>
      </c>
      <c r="G47" s="691" t="s">
        <v>197</v>
      </c>
      <c r="H47" s="691" t="s">
        <v>217</v>
      </c>
      <c r="I47" s="691" t="s">
        <v>137</v>
      </c>
      <c r="J47" s="691" t="s">
        <v>177</v>
      </c>
      <c r="K47" s="691" t="s">
        <v>207</v>
      </c>
      <c r="L47" s="691" t="s">
        <v>187</v>
      </c>
      <c r="M47" s="691" t="s">
        <v>237</v>
      </c>
      <c r="N47" s="691" t="s">
        <v>227</v>
      </c>
      <c r="O47" s="589"/>
      <c r="P47" s="717" cm="1">
        <f t="array" ref="P47">F47</f>
        <v>46</v>
      </c>
      <c r="Q47" s="620" t="str" cm="1">
        <f t="array" ref="Q47">RIGHT(G47,1)</f>
        <v>H</v>
      </c>
      <c r="R47" s="590" t="str" cm="1">
        <f t="array" ref="R47">RIGHT(H47,1)</f>
        <v>J</v>
      </c>
      <c r="S47" s="590" t="str" cm="1">
        <f t="array" ref="S47">RIGHT(I47,1)</f>
        <v>B</v>
      </c>
      <c r="T47" s="590" t="str" cm="1">
        <f t="array" ref="T47">RIGHT(J47,1)</f>
        <v>F</v>
      </c>
      <c r="U47" s="590" t="str" cm="1">
        <f t="array" ref="U47">RIGHT(K47,1)</f>
        <v>I</v>
      </c>
      <c r="V47" s="590" t="str" cm="1">
        <f t="array" ref="V47">RIGHT(L47,1)</f>
        <v>G</v>
      </c>
      <c r="W47" s="590" t="str" cm="1">
        <f t="array" ref="W47">RIGHT(M47,1)</f>
        <v>L</v>
      </c>
      <c r="X47" s="590" t="str" cm="1">
        <f t="array" ref="X47">RIGHT(N47,1)</f>
        <v>K</v>
      </c>
      <c r="Y47" s="708" cm="1">
        <f t="array" ref="Y47">COUNTIF($AA$2:$AA$9,Q47)+COUNTIF($AA$2:$AA$9,R47)+COUNTIF($AA$2:$AA$9,S47)+COUNTIF($AA$2:$AA$9,T47)+COUNTIF($AA$2:$AA$9,U47)+COUNTIF($AA$2:$AA$9,V47)+COUNTIF($AA$2:$AA$9,W47)+COUNTIF($AA$2:$AA$9,X47)</f>
        <v>4</v>
      </c>
      <c r="Z47" s="589"/>
      <c r="AA47" s="589"/>
      <c r="AB47" s="589"/>
      <c r="AC47" s="589"/>
      <c r="AD47" s="589"/>
      <c r="AE47" s="589"/>
      <c r="AF47" s="589"/>
      <c r="AG47" s="589"/>
      <c r="AH47" s="589"/>
      <c r="AI47" s="589"/>
      <c r="AJ47" s="589"/>
      <c r="AK47" s="589"/>
      <c r="AL47" s="589"/>
      <c r="AM47" s="589"/>
      <c r="AN47" s="589"/>
      <c r="AO47" s="589"/>
      <c r="AP47" s="589"/>
      <c r="AQ47" s="589"/>
      <c r="AR47" s="589"/>
      <c r="AS47" s="589"/>
      <c r="AT47" s="589"/>
      <c r="AU47" s="589"/>
      <c r="AV47" s="589"/>
      <c r="AW47" s="589"/>
      <c r="AX47" s="589"/>
      <c r="AY47" s="589"/>
      <c r="AZ47" s="589"/>
      <c r="BA47" s="589"/>
      <c r="BB47" s="589"/>
      <c r="BC47" s="589"/>
      <c r="BD47" s="589"/>
      <c r="BE47" s="589"/>
      <c r="BF47" s="589"/>
      <c r="BG47" s="589"/>
      <c r="BH47" s="589"/>
      <c r="BI47" s="589"/>
      <c r="BJ47" s="589"/>
      <c r="BK47" s="589"/>
      <c r="BL47" s="589"/>
    </row>
    <row r="48" spans="1:64" ht="14.25" customHeight="1">
      <c r="A48" s="691" t="s">
        <v>385</v>
      </c>
      <c r="B48" s="589"/>
      <c r="C48" s="589"/>
      <c r="D48" s="589"/>
      <c r="E48" s="589"/>
      <c r="F48" s="591">
        <v>47</v>
      </c>
      <c r="G48" s="691" t="s">
        <v>167</v>
      </c>
      <c r="H48" s="691" t="s">
        <v>217</v>
      </c>
      <c r="I48" s="691" t="s">
        <v>207</v>
      </c>
      <c r="J48" s="691" t="s">
        <v>137</v>
      </c>
      <c r="K48" s="691" t="s">
        <v>197</v>
      </c>
      <c r="L48" s="691" t="s">
        <v>187</v>
      </c>
      <c r="M48" s="691" t="s">
        <v>237</v>
      </c>
      <c r="N48" s="691" t="s">
        <v>227</v>
      </c>
      <c r="O48" s="589"/>
      <c r="P48" s="717" cm="1">
        <f t="array" ref="P48">F48</f>
        <v>47</v>
      </c>
      <c r="Q48" s="620" t="str" cm="1">
        <f t="array" ref="Q48">RIGHT(G48,1)</f>
        <v>E</v>
      </c>
      <c r="R48" s="590" t="str" cm="1">
        <f t="array" ref="R48">RIGHT(H48,1)</f>
        <v>J</v>
      </c>
      <c r="S48" s="590" t="str" cm="1">
        <f t="array" ref="S48">RIGHT(I48,1)</f>
        <v>I</v>
      </c>
      <c r="T48" s="590" t="str" cm="1">
        <f t="array" ref="T48">RIGHT(J48,1)</f>
        <v>B</v>
      </c>
      <c r="U48" s="590" t="str" cm="1">
        <f t="array" ref="U48">RIGHT(K48,1)</f>
        <v>H</v>
      </c>
      <c r="V48" s="590" t="str" cm="1">
        <f t="array" ref="V48">RIGHT(L48,1)</f>
        <v>G</v>
      </c>
      <c r="W48" s="590" t="str" cm="1">
        <f t="array" ref="W48">RIGHT(M48,1)</f>
        <v>L</v>
      </c>
      <c r="X48" s="590" t="str" cm="1">
        <f t="array" ref="X48">RIGHT(N48,1)</f>
        <v>K</v>
      </c>
      <c r="Y48" s="708" cm="1">
        <f t="array" ref="Y48">COUNTIF($AA$2:$AA$9,Q48)+COUNTIF($AA$2:$AA$9,R48)+COUNTIF($AA$2:$AA$9,S48)+COUNTIF($AA$2:$AA$9,T48)+COUNTIF($AA$2:$AA$9,U48)+COUNTIF($AA$2:$AA$9,V48)+COUNTIF($AA$2:$AA$9,W48)+COUNTIF($AA$2:$AA$9,X48)</f>
        <v>4</v>
      </c>
      <c r="Z48" s="589"/>
      <c r="AA48" s="589"/>
      <c r="AB48" s="589"/>
      <c r="AC48" s="589"/>
      <c r="AD48" s="589"/>
      <c r="AE48" s="589"/>
      <c r="AF48" s="589"/>
      <c r="AG48" s="589"/>
      <c r="AH48" s="589"/>
      <c r="AI48" s="589"/>
      <c r="AJ48" s="589"/>
      <c r="AK48" s="589"/>
      <c r="AL48" s="589"/>
      <c r="AM48" s="589"/>
      <c r="AN48" s="589"/>
      <c r="AO48" s="589"/>
      <c r="AP48" s="589"/>
      <c r="AQ48" s="589"/>
      <c r="AR48" s="589"/>
      <c r="AS48" s="589"/>
      <c r="AT48" s="589"/>
      <c r="AU48" s="589"/>
      <c r="AV48" s="589"/>
      <c r="AW48" s="589"/>
      <c r="AX48" s="589"/>
      <c r="AY48" s="589"/>
      <c r="AZ48" s="589"/>
      <c r="BA48" s="589"/>
      <c r="BB48" s="589"/>
      <c r="BC48" s="589"/>
      <c r="BD48" s="589"/>
      <c r="BE48" s="589"/>
      <c r="BF48" s="589"/>
      <c r="BG48" s="589"/>
      <c r="BH48" s="589"/>
      <c r="BI48" s="589"/>
      <c r="BJ48" s="589"/>
      <c r="BK48" s="589"/>
      <c r="BL48" s="589"/>
    </row>
    <row r="49" spans="1:64" ht="14.25" customHeight="1">
      <c r="A49" s="691" t="s">
        <v>386</v>
      </c>
      <c r="B49" s="589"/>
      <c r="C49" s="589"/>
      <c r="D49" s="589"/>
      <c r="E49" s="589"/>
      <c r="F49" s="591">
        <v>48</v>
      </c>
      <c r="G49" s="691" t="s">
        <v>167</v>
      </c>
      <c r="H49" s="691" t="s">
        <v>217</v>
      </c>
      <c r="I49" s="691" t="s">
        <v>137</v>
      </c>
      <c r="J49" s="691" t="s">
        <v>177</v>
      </c>
      <c r="K49" s="691" t="s">
        <v>207</v>
      </c>
      <c r="L49" s="691" t="s">
        <v>197</v>
      </c>
      <c r="M49" s="691" t="s">
        <v>237</v>
      </c>
      <c r="N49" s="691" t="s">
        <v>227</v>
      </c>
      <c r="O49" s="589"/>
      <c r="P49" s="717" cm="1">
        <f t="array" ref="P49">F49</f>
        <v>48</v>
      </c>
      <c r="Q49" s="620" t="str" cm="1">
        <f t="array" ref="Q49">RIGHT(G49,1)</f>
        <v>E</v>
      </c>
      <c r="R49" s="590" t="str" cm="1">
        <f t="array" ref="R49">RIGHT(H49,1)</f>
        <v>J</v>
      </c>
      <c r="S49" s="590" t="str" cm="1">
        <f t="array" ref="S49">RIGHT(I49,1)</f>
        <v>B</v>
      </c>
      <c r="T49" s="590" t="str" cm="1">
        <f t="array" ref="T49">RIGHT(J49,1)</f>
        <v>F</v>
      </c>
      <c r="U49" s="590" t="str" cm="1">
        <f t="array" ref="U49">RIGHT(K49,1)</f>
        <v>I</v>
      </c>
      <c r="V49" s="590" t="str" cm="1">
        <f t="array" ref="V49">RIGHT(L49,1)</f>
        <v>H</v>
      </c>
      <c r="W49" s="590" t="str" cm="1">
        <f t="array" ref="W49">RIGHT(M49,1)</f>
        <v>L</v>
      </c>
      <c r="X49" s="590" t="str" cm="1">
        <f t="array" ref="X49">RIGHT(N49,1)</f>
        <v>K</v>
      </c>
      <c r="Y49" s="708" cm="1">
        <f t="array" ref="Y49">COUNTIF($AA$2:$AA$9,Q49)+COUNTIF($AA$2:$AA$9,R49)+COUNTIF($AA$2:$AA$9,S49)+COUNTIF($AA$2:$AA$9,T49)+COUNTIF($AA$2:$AA$9,U49)+COUNTIF($AA$2:$AA$9,V49)+COUNTIF($AA$2:$AA$9,W49)+COUNTIF($AA$2:$AA$9,X49)</f>
        <v>5</v>
      </c>
      <c r="Z49" s="589"/>
      <c r="AA49" s="589"/>
      <c r="AB49" s="589"/>
      <c r="AC49" s="589"/>
      <c r="AD49" s="589"/>
      <c r="AE49" s="589"/>
      <c r="AF49" s="589"/>
      <c r="AG49" s="589"/>
      <c r="AH49" s="589"/>
      <c r="AI49" s="589"/>
      <c r="AJ49" s="589"/>
      <c r="AK49" s="589"/>
      <c r="AL49" s="589"/>
      <c r="AM49" s="589"/>
      <c r="AN49" s="589"/>
      <c r="AO49" s="589"/>
      <c r="AP49" s="589"/>
      <c r="AQ49" s="589"/>
      <c r="AR49" s="589"/>
      <c r="AS49" s="589"/>
      <c r="AT49" s="589"/>
      <c r="AU49" s="589"/>
      <c r="AV49" s="589"/>
      <c r="AW49" s="589"/>
      <c r="AX49" s="589"/>
      <c r="AY49" s="589"/>
      <c r="AZ49" s="589"/>
      <c r="BA49" s="589"/>
      <c r="BB49" s="589"/>
      <c r="BC49" s="589"/>
      <c r="BD49" s="589"/>
      <c r="BE49" s="589"/>
      <c r="BF49" s="589"/>
      <c r="BG49" s="589"/>
      <c r="BH49" s="589"/>
      <c r="BI49" s="589"/>
      <c r="BJ49" s="589"/>
      <c r="BK49" s="589"/>
      <c r="BL49" s="589"/>
    </row>
    <row r="50" spans="1:64" ht="14.25" customHeight="1">
      <c r="A50" s="691" t="s">
        <v>387</v>
      </c>
      <c r="B50" s="589"/>
      <c r="C50" s="589"/>
      <c r="D50" s="589"/>
      <c r="E50" s="589"/>
      <c r="F50" s="591">
        <v>49</v>
      </c>
      <c r="G50" s="691" t="s">
        <v>167</v>
      </c>
      <c r="H50" s="691" t="s">
        <v>217</v>
      </c>
      <c r="I50" s="691" t="s">
        <v>137</v>
      </c>
      <c r="J50" s="691" t="s">
        <v>177</v>
      </c>
      <c r="K50" s="691" t="s">
        <v>207</v>
      </c>
      <c r="L50" s="691" t="s">
        <v>187</v>
      </c>
      <c r="M50" s="691" t="s">
        <v>237</v>
      </c>
      <c r="N50" s="691" t="s">
        <v>227</v>
      </c>
      <c r="O50" s="589"/>
      <c r="P50" s="717" cm="1">
        <f t="array" ref="P50">F50</f>
        <v>49</v>
      </c>
      <c r="Q50" s="620" t="str" cm="1">
        <f t="array" ref="Q50">RIGHT(G50,1)</f>
        <v>E</v>
      </c>
      <c r="R50" s="590" t="str" cm="1">
        <f t="array" ref="R50">RIGHT(H50,1)</f>
        <v>J</v>
      </c>
      <c r="S50" s="590" t="str" cm="1">
        <f t="array" ref="S50">RIGHT(I50,1)</f>
        <v>B</v>
      </c>
      <c r="T50" s="590" t="str" cm="1">
        <f t="array" ref="T50">RIGHT(J50,1)</f>
        <v>F</v>
      </c>
      <c r="U50" s="590" t="str" cm="1">
        <f t="array" ref="U50">RIGHT(K50,1)</f>
        <v>I</v>
      </c>
      <c r="V50" s="590" t="str" cm="1">
        <f t="array" ref="V50">RIGHT(L50,1)</f>
        <v>G</v>
      </c>
      <c r="W50" s="590" t="str" cm="1">
        <f t="array" ref="W50">RIGHT(M50,1)</f>
        <v>L</v>
      </c>
      <c r="X50" s="590" t="str" cm="1">
        <f t="array" ref="X50">RIGHT(N50,1)</f>
        <v>K</v>
      </c>
      <c r="Y50" s="708" cm="1">
        <f t="array" ref="Y50">COUNTIF($AA$2:$AA$9,Q50)+COUNTIF($AA$2:$AA$9,R50)+COUNTIF($AA$2:$AA$9,S50)+COUNTIF($AA$2:$AA$9,T50)+COUNTIF($AA$2:$AA$9,U50)+COUNTIF($AA$2:$AA$9,V50)+COUNTIF($AA$2:$AA$9,W50)+COUNTIF($AA$2:$AA$9,X50)</f>
        <v>5</v>
      </c>
      <c r="Z50" s="589"/>
      <c r="AA50" s="589"/>
      <c r="AB50" s="589"/>
      <c r="AC50" s="589"/>
      <c r="AD50" s="589"/>
      <c r="AE50" s="589"/>
      <c r="AF50" s="589"/>
      <c r="AG50" s="589"/>
      <c r="AH50" s="589"/>
      <c r="AI50" s="589"/>
      <c r="AJ50" s="589"/>
      <c r="AK50" s="589"/>
      <c r="AL50" s="589"/>
      <c r="AM50" s="589"/>
      <c r="AN50" s="589"/>
      <c r="AO50" s="589"/>
      <c r="AP50" s="589"/>
      <c r="AQ50" s="589"/>
      <c r="AR50" s="589"/>
      <c r="AS50" s="589"/>
      <c r="AT50" s="589"/>
      <c r="AU50" s="589"/>
      <c r="AV50" s="589"/>
      <c r="AW50" s="589"/>
      <c r="AX50" s="589"/>
      <c r="AY50" s="589"/>
      <c r="AZ50" s="589"/>
      <c r="BA50" s="589"/>
      <c r="BB50" s="589"/>
      <c r="BC50" s="589"/>
      <c r="BD50" s="589"/>
      <c r="BE50" s="589"/>
      <c r="BF50" s="589"/>
      <c r="BG50" s="589"/>
      <c r="BH50" s="589"/>
      <c r="BI50" s="589"/>
      <c r="BJ50" s="589"/>
      <c r="BK50" s="589"/>
      <c r="BL50" s="589"/>
    </row>
    <row r="51" spans="1:64" ht="14.25" customHeight="1">
      <c r="A51" s="691" t="s">
        <v>388</v>
      </c>
      <c r="B51" s="589"/>
      <c r="C51" s="589"/>
      <c r="D51" s="589"/>
      <c r="E51" s="589"/>
      <c r="F51" s="591">
        <v>50</v>
      </c>
      <c r="G51" s="691" t="s">
        <v>167</v>
      </c>
      <c r="H51" s="691" t="s">
        <v>217</v>
      </c>
      <c r="I51" s="691" t="s">
        <v>137</v>
      </c>
      <c r="J51" s="691" t="s">
        <v>177</v>
      </c>
      <c r="K51" s="691" t="s">
        <v>197</v>
      </c>
      <c r="L51" s="691" t="s">
        <v>187</v>
      </c>
      <c r="M51" s="691" t="s">
        <v>237</v>
      </c>
      <c r="N51" s="691" t="s">
        <v>227</v>
      </c>
      <c r="O51" s="589"/>
      <c r="P51" s="717" cm="1">
        <f t="array" ref="P51">F51</f>
        <v>50</v>
      </c>
      <c r="Q51" s="620" t="str" cm="1">
        <f t="array" ref="Q51">RIGHT(G51,1)</f>
        <v>E</v>
      </c>
      <c r="R51" s="590" t="str" cm="1">
        <f t="array" ref="R51">RIGHT(H51,1)</f>
        <v>J</v>
      </c>
      <c r="S51" s="590" t="str" cm="1">
        <f t="array" ref="S51">RIGHT(I51,1)</f>
        <v>B</v>
      </c>
      <c r="T51" s="590" t="str" cm="1">
        <f t="array" ref="T51">RIGHT(J51,1)</f>
        <v>F</v>
      </c>
      <c r="U51" s="590" t="str" cm="1">
        <f t="array" ref="U51">RIGHT(K51,1)</f>
        <v>H</v>
      </c>
      <c r="V51" s="590" t="str" cm="1">
        <f t="array" ref="V51">RIGHT(L51,1)</f>
        <v>G</v>
      </c>
      <c r="W51" s="590" t="str" cm="1">
        <f t="array" ref="W51">RIGHT(M51,1)</f>
        <v>L</v>
      </c>
      <c r="X51" s="590" t="str" cm="1">
        <f t="array" ref="X51">RIGHT(N51,1)</f>
        <v>K</v>
      </c>
      <c r="Y51" s="708" cm="1">
        <f t="array" ref="Y51">COUNTIF($AA$2:$AA$9,Q51)+COUNTIF($AA$2:$AA$9,R51)+COUNTIF($AA$2:$AA$9,S51)+COUNTIF($AA$2:$AA$9,T51)+COUNTIF($AA$2:$AA$9,U51)+COUNTIF($AA$2:$AA$9,V51)+COUNTIF($AA$2:$AA$9,W51)+COUNTIF($AA$2:$AA$9,X51)</f>
        <v>4</v>
      </c>
      <c r="Z51" s="589"/>
      <c r="AA51" s="589"/>
      <c r="AB51" s="589"/>
      <c r="AC51" s="589"/>
      <c r="AD51" s="589"/>
      <c r="AE51" s="589"/>
      <c r="AF51" s="589"/>
      <c r="AG51" s="589"/>
      <c r="AH51" s="589"/>
      <c r="AI51" s="589"/>
      <c r="AJ51" s="589"/>
      <c r="AK51" s="589"/>
      <c r="AL51" s="589"/>
      <c r="AM51" s="589"/>
      <c r="AN51" s="589"/>
      <c r="AO51" s="589"/>
      <c r="AP51" s="589"/>
      <c r="AQ51" s="589"/>
      <c r="AR51" s="589"/>
      <c r="AS51" s="589"/>
      <c r="AT51" s="589"/>
      <c r="AU51" s="589"/>
      <c r="AV51" s="589"/>
      <c r="AW51" s="589"/>
      <c r="AX51" s="589"/>
      <c r="AY51" s="589"/>
      <c r="AZ51" s="589"/>
      <c r="BA51" s="589"/>
      <c r="BB51" s="589"/>
      <c r="BC51" s="589"/>
      <c r="BD51" s="589"/>
      <c r="BE51" s="589"/>
      <c r="BF51" s="589"/>
      <c r="BG51" s="589"/>
      <c r="BH51" s="589"/>
      <c r="BI51" s="589"/>
      <c r="BJ51" s="589"/>
      <c r="BK51" s="589"/>
      <c r="BL51" s="589"/>
    </row>
    <row r="52" spans="1:64" ht="14.25" customHeight="1">
      <c r="A52" s="691" t="s">
        <v>389</v>
      </c>
      <c r="B52" s="589"/>
      <c r="C52" s="589"/>
      <c r="D52" s="589"/>
      <c r="E52" s="589"/>
      <c r="F52" s="591">
        <v>51</v>
      </c>
      <c r="G52" s="691" t="s">
        <v>167</v>
      </c>
      <c r="H52" s="691" t="s">
        <v>187</v>
      </c>
      <c r="I52" s="691" t="s">
        <v>137</v>
      </c>
      <c r="J52" s="691" t="s">
        <v>177</v>
      </c>
      <c r="K52" s="691" t="s">
        <v>207</v>
      </c>
      <c r="L52" s="691" t="s">
        <v>197</v>
      </c>
      <c r="M52" s="691" t="s">
        <v>237</v>
      </c>
      <c r="N52" s="691" t="s">
        <v>227</v>
      </c>
      <c r="O52" s="589"/>
      <c r="P52" s="717" cm="1">
        <f t="array" ref="P52">F52</f>
        <v>51</v>
      </c>
      <c r="Q52" s="620" t="str" cm="1">
        <f t="array" ref="Q52">RIGHT(G52,1)</f>
        <v>E</v>
      </c>
      <c r="R52" s="590" t="str" cm="1">
        <f t="array" ref="R52">RIGHT(H52,1)</f>
        <v>G</v>
      </c>
      <c r="S52" s="590" t="str" cm="1">
        <f t="array" ref="S52">RIGHT(I52,1)</f>
        <v>B</v>
      </c>
      <c r="T52" s="590" t="str" cm="1">
        <f t="array" ref="T52">RIGHT(J52,1)</f>
        <v>F</v>
      </c>
      <c r="U52" s="590" t="str" cm="1">
        <f t="array" ref="U52">RIGHT(K52,1)</f>
        <v>I</v>
      </c>
      <c r="V52" s="590" t="str" cm="1">
        <f t="array" ref="V52">RIGHT(L52,1)</f>
        <v>H</v>
      </c>
      <c r="W52" s="590" t="str" cm="1">
        <f t="array" ref="W52">RIGHT(M52,1)</f>
        <v>L</v>
      </c>
      <c r="X52" s="590" t="str" cm="1">
        <f t="array" ref="X52">RIGHT(N52,1)</f>
        <v>K</v>
      </c>
      <c r="Y52" s="708" cm="1">
        <f t="array" ref="Y52">COUNTIF($AA$2:$AA$9,Q52)+COUNTIF($AA$2:$AA$9,R52)+COUNTIF($AA$2:$AA$9,S52)+COUNTIF($AA$2:$AA$9,T52)+COUNTIF($AA$2:$AA$9,U52)+COUNTIF($AA$2:$AA$9,V52)+COUNTIF($AA$2:$AA$9,W52)+COUNTIF($AA$2:$AA$9,X52)</f>
        <v>4</v>
      </c>
      <c r="Z52" s="589"/>
      <c r="AA52" s="589"/>
      <c r="AB52" s="589"/>
      <c r="AC52" s="589"/>
      <c r="AD52" s="589"/>
      <c r="AE52" s="589"/>
      <c r="AF52" s="589"/>
      <c r="AG52" s="589"/>
      <c r="AH52" s="589"/>
      <c r="AI52" s="589"/>
      <c r="AJ52" s="589"/>
      <c r="AK52" s="589"/>
      <c r="AL52" s="589"/>
      <c r="AM52" s="589"/>
      <c r="AN52" s="589"/>
      <c r="AO52" s="589"/>
      <c r="AP52" s="589"/>
      <c r="AQ52" s="589"/>
      <c r="AR52" s="589"/>
      <c r="AS52" s="589"/>
      <c r="AT52" s="589"/>
      <c r="AU52" s="589"/>
      <c r="AV52" s="589"/>
      <c r="AW52" s="589"/>
      <c r="AX52" s="589"/>
      <c r="AY52" s="589"/>
      <c r="AZ52" s="589"/>
      <c r="BA52" s="589"/>
      <c r="BB52" s="589"/>
      <c r="BC52" s="589"/>
      <c r="BD52" s="589"/>
      <c r="BE52" s="589"/>
      <c r="BF52" s="589"/>
      <c r="BG52" s="589"/>
      <c r="BH52" s="589"/>
      <c r="BI52" s="589"/>
      <c r="BJ52" s="589"/>
      <c r="BK52" s="589"/>
      <c r="BL52" s="589"/>
    </row>
    <row r="53" spans="1:64" ht="14.25" customHeight="1">
      <c r="A53" s="691" t="s">
        <v>390</v>
      </c>
      <c r="B53" s="589"/>
      <c r="C53" s="589"/>
      <c r="D53" s="589"/>
      <c r="E53" s="589"/>
      <c r="F53" s="591">
        <v>52</v>
      </c>
      <c r="G53" s="691" t="s">
        <v>167</v>
      </c>
      <c r="H53" s="691" t="s">
        <v>217</v>
      </c>
      <c r="I53" s="691" t="s">
        <v>137</v>
      </c>
      <c r="J53" s="691" t="s">
        <v>177</v>
      </c>
      <c r="K53" s="691" t="s">
        <v>197</v>
      </c>
      <c r="L53" s="691" t="s">
        <v>187</v>
      </c>
      <c r="M53" s="691" t="s">
        <v>237</v>
      </c>
      <c r="N53" s="691" t="s">
        <v>207</v>
      </c>
      <c r="O53" s="589"/>
      <c r="P53" s="717" cm="1">
        <f t="array" ref="P53">F53</f>
        <v>52</v>
      </c>
      <c r="Q53" s="620" t="str" cm="1">
        <f t="array" ref="Q53">RIGHT(G53,1)</f>
        <v>E</v>
      </c>
      <c r="R53" s="590" t="str" cm="1">
        <f t="array" ref="R53">RIGHT(H53,1)</f>
        <v>J</v>
      </c>
      <c r="S53" s="590" t="str" cm="1">
        <f t="array" ref="S53">RIGHT(I53,1)</f>
        <v>B</v>
      </c>
      <c r="T53" s="590" t="str" cm="1">
        <f t="array" ref="T53">RIGHT(J53,1)</f>
        <v>F</v>
      </c>
      <c r="U53" s="590" t="str" cm="1">
        <f t="array" ref="U53">RIGHT(K53,1)</f>
        <v>H</v>
      </c>
      <c r="V53" s="590" t="str" cm="1">
        <f t="array" ref="V53">RIGHT(L53,1)</f>
        <v>G</v>
      </c>
      <c r="W53" s="590" t="str" cm="1">
        <f t="array" ref="W53">RIGHT(M53,1)</f>
        <v>L</v>
      </c>
      <c r="X53" s="590" t="str" cm="1">
        <f t="array" ref="X53">RIGHT(N53,1)</f>
        <v>I</v>
      </c>
      <c r="Y53" s="708" cm="1">
        <f t="array" ref="Y53">COUNTIF($AA$2:$AA$9,Q53)+COUNTIF($AA$2:$AA$9,R53)+COUNTIF($AA$2:$AA$9,S53)+COUNTIF($AA$2:$AA$9,T53)+COUNTIF($AA$2:$AA$9,U53)+COUNTIF($AA$2:$AA$9,V53)+COUNTIF($AA$2:$AA$9,W53)+COUNTIF($AA$2:$AA$9,X53)</f>
        <v>5</v>
      </c>
      <c r="Z53" s="589"/>
      <c r="AA53" s="589"/>
      <c r="AB53" s="589"/>
      <c r="AC53" s="589"/>
      <c r="AD53" s="589"/>
      <c r="AE53" s="589"/>
      <c r="AF53" s="589"/>
      <c r="AG53" s="589"/>
      <c r="AH53" s="589"/>
      <c r="AI53" s="589"/>
      <c r="AJ53" s="589"/>
      <c r="AK53" s="589"/>
      <c r="AL53" s="589"/>
      <c r="AM53" s="589"/>
      <c r="AN53" s="589"/>
      <c r="AO53" s="589"/>
      <c r="AP53" s="589"/>
      <c r="AQ53" s="589"/>
      <c r="AR53" s="589"/>
      <c r="AS53" s="589"/>
      <c r="AT53" s="589"/>
      <c r="AU53" s="589"/>
      <c r="AV53" s="589"/>
      <c r="AW53" s="589"/>
      <c r="AX53" s="589"/>
      <c r="AY53" s="589"/>
      <c r="AZ53" s="589"/>
      <c r="BA53" s="589"/>
      <c r="BB53" s="589"/>
      <c r="BC53" s="589"/>
      <c r="BD53" s="589"/>
      <c r="BE53" s="589"/>
      <c r="BF53" s="589"/>
      <c r="BG53" s="589"/>
      <c r="BH53" s="589"/>
      <c r="BI53" s="589"/>
      <c r="BJ53" s="589"/>
      <c r="BK53" s="589"/>
      <c r="BL53" s="589"/>
    </row>
    <row r="54" spans="1:64" ht="14.25" customHeight="1">
      <c r="A54" s="691" t="s">
        <v>391</v>
      </c>
      <c r="B54" s="589"/>
      <c r="C54" s="589"/>
      <c r="D54" s="589"/>
      <c r="E54" s="589"/>
      <c r="F54" s="591">
        <v>53</v>
      </c>
      <c r="G54" s="691" t="s">
        <v>167</v>
      </c>
      <c r="H54" s="691" t="s">
        <v>217</v>
      </c>
      <c r="I54" s="691" t="s">
        <v>137</v>
      </c>
      <c r="J54" s="691" t="s">
        <v>177</v>
      </c>
      <c r="K54" s="691" t="s">
        <v>197</v>
      </c>
      <c r="L54" s="691" t="s">
        <v>187</v>
      </c>
      <c r="M54" s="691" t="s">
        <v>207</v>
      </c>
      <c r="N54" s="691" t="s">
        <v>227</v>
      </c>
      <c r="O54" s="589"/>
      <c r="P54" s="717" cm="1">
        <f t="array" ref="P54">F54</f>
        <v>53</v>
      </c>
      <c r="Q54" s="620" t="str" cm="1">
        <f t="array" ref="Q54">RIGHT(G54,1)</f>
        <v>E</v>
      </c>
      <c r="R54" s="590" t="str" cm="1">
        <f t="array" ref="R54">RIGHT(H54,1)</f>
        <v>J</v>
      </c>
      <c r="S54" s="590" t="str" cm="1">
        <f t="array" ref="S54">RIGHT(I54,1)</f>
        <v>B</v>
      </c>
      <c r="T54" s="590" t="str" cm="1">
        <f t="array" ref="T54">RIGHT(J54,1)</f>
        <v>F</v>
      </c>
      <c r="U54" s="590" t="str" cm="1">
        <f t="array" ref="U54">RIGHT(K54,1)</f>
        <v>H</v>
      </c>
      <c r="V54" s="590" t="str" cm="1">
        <f t="array" ref="V54">RIGHT(L54,1)</f>
        <v>G</v>
      </c>
      <c r="W54" s="590" t="str" cm="1">
        <f t="array" ref="W54">RIGHT(M54,1)</f>
        <v>I</v>
      </c>
      <c r="X54" s="590" t="str" cm="1">
        <f t="array" ref="X54">RIGHT(N54,1)</f>
        <v>K</v>
      </c>
      <c r="Y54" s="708" cm="1">
        <f t="array" ref="Y54">COUNTIF($AA$2:$AA$9,Q54)+COUNTIF($AA$2:$AA$9,R54)+COUNTIF($AA$2:$AA$9,S54)+COUNTIF($AA$2:$AA$9,T54)+COUNTIF($AA$2:$AA$9,U54)+COUNTIF($AA$2:$AA$9,V54)+COUNTIF($AA$2:$AA$9,W54)+COUNTIF($AA$2:$AA$9,X54)</f>
        <v>4</v>
      </c>
      <c r="Z54" s="589"/>
      <c r="AA54" s="589"/>
      <c r="AB54" s="589"/>
      <c r="AC54" s="589"/>
      <c r="AD54" s="589"/>
      <c r="AE54" s="589"/>
      <c r="AF54" s="589"/>
      <c r="AG54" s="589"/>
      <c r="AH54" s="589"/>
      <c r="AI54" s="589"/>
      <c r="AJ54" s="589"/>
      <c r="AK54" s="589"/>
      <c r="AL54" s="589"/>
      <c r="AM54" s="589"/>
      <c r="AN54" s="589"/>
      <c r="AO54" s="589"/>
      <c r="AP54" s="589"/>
      <c r="AQ54" s="589"/>
      <c r="AR54" s="589"/>
      <c r="AS54" s="589"/>
      <c r="AT54" s="589"/>
      <c r="AU54" s="589"/>
      <c r="AV54" s="589"/>
      <c r="AW54" s="589"/>
      <c r="AX54" s="589"/>
      <c r="AY54" s="589"/>
      <c r="AZ54" s="589"/>
      <c r="BA54" s="589"/>
      <c r="BB54" s="589"/>
      <c r="BC54" s="589"/>
      <c r="BD54" s="589"/>
      <c r="BE54" s="589"/>
      <c r="BF54" s="589"/>
      <c r="BG54" s="589"/>
      <c r="BH54" s="589"/>
      <c r="BI54" s="589"/>
      <c r="BJ54" s="589"/>
      <c r="BK54" s="589"/>
      <c r="BL54" s="589"/>
    </row>
    <row r="55" spans="1:64" ht="14.25" customHeight="1">
      <c r="A55" s="691" t="s">
        <v>392</v>
      </c>
      <c r="B55" s="589"/>
      <c r="C55" s="589"/>
      <c r="D55" s="589"/>
      <c r="E55" s="589"/>
      <c r="F55" s="591">
        <v>54</v>
      </c>
      <c r="G55" s="691" t="s">
        <v>197</v>
      </c>
      <c r="H55" s="691" t="s">
        <v>217</v>
      </c>
      <c r="I55" s="691" t="s">
        <v>137</v>
      </c>
      <c r="J55" s="691" t="s">
        <v>157</v>
      </c>
      <c r="K55" s="691" t="s">
        <v>207</v>
      </c>
      <c r="L55" s="691" t="s">
        <v>187</v>
      </c>
      <c r="M55" s="691" t="s">
        <v>237</v>
      </c>
      <c r="N55" s="691" t="s">
        <v>227</v>
      </c>
      <c r="O55" s="589"/>
      <c r="P55" s="717" cm="1">
        <f t="array" ref="P55">F55</f>
        <v>54</v>
      </c>
      <c r="Q55" s="620" t="str" cm="1">
        <f t="array" ref="Q55">RIGHT(G55,1)</f>
        <v>H</v>
      </c>
      <c r="R55" s="590" t="str" cm="1">
        <f t="array" ref="R55">RIGHT(H55,1)</f>
        <v>J</v>
      </c>
      <c r="S55" s="590" t="str" cm="1">
        <f t="array" ref="S55">RIGHT(I55,1)</f>
        <v>B</v>
      </c>
      <c r="T55" s="590" t="str" cm="1">
        <f t="array" ref="T55">RIGHT(J55,1)</f>
        <v>D</v>
      </c>
      <c r="U55" s="590" t="str" cm="1">
        <f t="array" ref="U55">RIGHT(K55,1)</f>
        <v>I</v>
      </c>
      <c r="V55" s="590" t="str" cm="1">
        <f t="array" ref="V55">RIGHT(L55,1)</f>
        <v>G</v>
      </c>
      <c r="W55" s="590" t="str" cm="1">
        <f t="array" ref="W55">RIGHT(M55,1)</f>
        <v>L</v>
      </c>
      <c r="X55" s="590" t="str" cm="1">
        <f t="array" ref="X55">RIGHT(N55,1)</f>
        <v>K</v>
      </c>
      <c r="Y55" s="708" cm="1">
        <f t="array" ref="Y55">COUNTIF($AA$2:$AA$9,Q55)+COUNTIF($AA$2:$AA$9,R55)+COUNTIF($AA$2:$AA$9,S55)+COUNTIF($AA$2:$AA$9,T55)+COUNTIF($AA$2:$AA$9,U55)+COUNTIF($AA$2:$AA$9,V55)+COUNTIF($AA$2:$AA$9,W55)+COUNTIF($AA$2:$AA$9,X55)</f>
        <v>4</v>
      </c>
      <c r="Z55" s="589"/>
      <c r="AA55" s="589"/>
      <c r="AB55" s="589"/>
      <c r="AC55" s="589"/>
      <c r="AD55" s="589"/>
      <c r="AE55" s="589"/>
      <c r="AF55" s="589"/>
      <c r="AG55" s="589"/>
      <c r="AH55" s="589"/>
      <c r="AI55" s="589"/>
      <c r="AJ55" s="589"/>
      <c r="AK55" s="589"/>
      <c r="AL55" s="589"/>
      <c r="AM55" s="589"/>
      <c r="AN55" s="589"/>
      <c r="AO55" s="589"/>
      <c r="AP55" s="589"/>
      <c r="AQ55" s="589"/>
      <c r="AR55" s="589"/>
      <c r="AS55" s="589"/>
      <c r="AT55" s="589"/>
      <c r="AU55" s="589"/>
      <c r="AV55" s="589"/>
      <c r="AW55" s="589"/>
      <c r="AX55" s="589"/>
      <c r="AY55" s="589"/>
      <c r="AZ55" s="589"/>
      <c r="BA55" s="589"/>
      <c r="BB55" s="589"/>
      <c r="BC55" s="589"/>
      <c r="BD55" s="589"/>
      <c r="BE55" s="589"/>
      <c r="BF55" s="589"/>
      <c r="BG55" s="589"/>
      <c r="BH55" s="589"/>
      <c r="BI55" s="589"/>
      <c r="BJ55" s="589"/>
      <c r="BK55" s="589"/>
      <c r="BL55" s="589"/>
    </row>
    <row r="56" spans="1:64" ht="14.25" customHeight="1">
      <c r="A56" s="691" t="s">
        <v>393</v>
      </c>
      <c r="B56" s="589"/>
      <c r="C56" s="589"/>
      <c r="D56" s="589"/>
      <c r="E56" s="589"/>
      <c r="F56" s="591">
        <v>55</v>
      </c>
      <c r="G56" s="691" t="s">
        <v>197</v>
      </c>
      <c r="H56" s="691" t="s">
        <v>217</v>
      </c>
      <c r="I56" s="691" t="s">
        <v>137</v>
      </c>
      <c r="J56" s="691" t="s">
        <v>157</v>
      </c>
      <c r="K56" s="691" t="s">
        <v>207</v>
      </c>
      <c r="L56" s="691" t="s">
        <v>177</v>
      </c>
      <c r="M56" s="691" t="s">
        <v>237</v>
      </c>
      <c r="N56" s="691" t="s">
        <v>227</v>
      </c>
      <c r="O56" s="589"/>
      <c r="P56" s="717" cm="1">
        <f t="array" ref="P56">F56</f>
        <v>55</v>
      </c>
      <c r="Q56" s="620" t="str" cm="1">
        <f t="array" ref="Q56">RIGHT(G56,1)</f>
        <v>H</v>
      </c>
      <c r="R56" s="590" t="str" cm="1">
        <f t="array" ref="R56">RIGHT(H56,1)</f>
        <v>J</v>
      </c>
      <c r="S56" s="590" t="str" cm="1">
        <f t="array" ref="S56">RIGHT(I56,1)</f>
        <v>B</v>
      </c>
      <c r="T56" s="590" t="str" cm="1">
        <f t="array" ref="T56">RIGHT(J56,1)</f>
        <v>D</v>
      </c>
      <c r="U56" s="590" t="str" cm="1">
        <f t="array" ref="U56">RIGHT(K56,1)</f>
        <v>I</v>
      </c>
      <c r="V56" s="590" t="str" cm="1">
        <f t="array" ref="V56">RIGHT(L56,1)</f>
        <v>F</v>
      </c>
      <c r="W56" s="590" t="str" cm="1">
        <f t="array" ref="W56">RIGHT(M56,1)</f>
        <v>L</v>
      </c>
      <c r="X56" s="590" t="str" cm="1">
        <f t="array" ref="X56">RIGHT(N56,1)</f>
        <v>K</v>
      </c>
      <c r="Y56" s="708" cm="1">
        <f t="array" ref="Y56">COUNTIF($AA$2:$AA$9,Q56)+COUNTIF($AA$2:$AA$9,R56)+COUNTIF($AA$2:$AA$9,S56)+COUNTIF($AA$2:$AA$9,T56)+COUNTIF($AA$2:$AA$9,U56)+COUNTIF($AA$2:$AA$9,V56)+COUNTIF($AA$2:$AA$9,W56)+COUNTIF($AA$2:$AA$9,X56)</f>
        <v>5</v>
      </c>
      <c r="Z56" s="589"/>
      <c r="AA56" s="589"/>
      <c r="AB56" s="589"/>
      <c r="AC56" s="589"/>
      <c r="AD56" s="589"/>
      <c r="AE56" s="589"/>
      <c r="AF56" s="589"/>
      <c r="AG56" s="589"/>
      <c r="AH56" s="589"/>
      <c r="AI56" s="589"/>
      <c r="AJ56" s="589"/>
      <c r="AK56" s="589"/>
      <c r="AL56" s="589"/>
      <c r="AM56" s="589"/>
      <c r="AN56" s="589"/>
      <c r="AO56" s="589"/>
      <c r="AP56" s="589"/>
      <c r="AQ56" s="589"/>
      <c r="AR56" s="589"/>
      <c r="AS56" s="589"/>
      <c r="AT56" s="589"/>
      <c r="AU56" s="589"/>
      <c r="AV56" s="589"/>
      <c r="AW56" s="589"/>
      <c r="AX56" s="589"/>
      <c r="AY56" s="589"/>
      <c r="AZ56" s="589"/>
      <c r="BA56" s="589"/>
      <c r="BB56" s="589"/>
      <c r="BC56" s="589"/>
      <c r="BD56" s="589"/>
      <c r="BE56" s="589"/>
      <c r="BF56" s="589"/>
      <c r="BG56" s="589"/>
      <c r="BH56" s="589"/>
      <c r="BI56" s="589"/>
      <c r="BJ56" s="589"/>
      <c r="BK56" s="589"/>
      <c r="BL56" s="589"/>
    </row>
    <row r="57" spans="1:64" ht="14.25" customHeight="1">
      <c r="A57" s="691" t="s">
        <v>394</v>
      </c>
      <c r="B57" s="589"/>
      <c r="C57" s="589"/>
      <c r="D57" s="589"/>
      <c r="E57" s="589"/>
      <c r="F57" s="591">
        <v>56</v>
      </c>
      <c r="G57" s="691" t="s">
        <v>207</v>
      </c>
      <c r="H57" s="691" t="s">
        <v>187</v>
      </c>
      <c r="I57" s="691" t="s">
        <v>137</v>
      </c>
      <c r="J57" s="691" t="s">
        <v>157</v>
      </c>
      <c r="K57" s="691" t="s">
        <v>217</v>
      </c>
      <c r="L57" s="691" t="s">
        <v>177</v>
      </c>
      <c r="M57" s="691" t="s">
        <v>237</v>
      </c>
      <c r="N57" s="691" t="s">
        <v>227</v>
      </c>
      <c r="O57" s="589"/>
      <c r="P57" s="717" cm="1">
        <f t="array" ref="P57">F57</f>
        <v>56</v>
      </c>
      <c r="Q57" s="620" t="str" cm="1">
        <f t="array" ref="Q57">RIGHT(G57,1)</f>
        <v>I</v>
      </c>
      <c r="R57" s="590" t="str" cm="1">
        <f t="array" ref="R57">RIGHT(H57,1)</f>
        <v>G</v>
      </c>
      <c r="S57" s="590" t="str" cm="1">
        <f t="array" ref="S57">RIGHT(I57,1)</f>
        <v>B</v>
      </c>
      <c r="T57" s="590" t="str" cm="1">
        <f t="array" ref="T57">RIGHT(J57,1)</f>
        <v>D</v>
      </c>
      <c r="U57" s="590" t="str" cm="1">
        <f t="array" ref="U57">RIGHT(K57,1)</f>
        <v>J</v>
      </c>
      <c r="V57" s="590" t="str" cm="1">
        <f t="array" ref="V57">RIGHT(L57,1)</f>
        <v>F</v>
      </c>
      <c r="W57" s="590" t="str" cm="1">
        <f t="array" ref="W57">RIGHT(M57,1)</f>
        <v>L</v>
      </c>
      <c r="X57" s="590" t="str" cm="1">
        <f t="array" ref="X57">RIGHT(N57,1)</f>
        <v>K</v>
      </c>
      <c r="Y57" s="708" cm="1">
        <f t="array" ref="Y57">COUNTIF($AA$2:$AA$9,Q57)+COUNTIF($AA$2:$AA$9,R57)+COUNTIF($AA$2:$AA$9,S57)+COUNTIF($AA$2:$AA$9,T57)+COUNTIF($AA$2:$AA$9,U57)+COUNTIF($AA$2:$AA$9,V57)+COUNTIF($AA$2:$AA$9,W57)+COUNTIF($AA$2:$AA$9,X57)</f>
        <v>5</v>
      </c>
      <c r="Z57" s="589"/>
      <c r="AA57" s="589"/>
      <c r="AB57" s="589"/>
      <c r="AC57" s="589"/>
      <c r="AD57" s="589"/>
      <c r="AE57" s="589"/>
      <c r="AF57" s="589"/>
      <c r="AG57" s="589"/>
      <c r="AH57" s="589"/>
      <c r="AI57" s="589"/>
      <c r="AJ57" s="589"/>
      <c r="AK57" s="589"/>
      <c r="AL57" s="589"/>
      <c r="AM57" s="589"/>
      <c r="AN57" s="589"/>
      <c r="AO57" s="589"/>
      <c r="AP57" s="589"/>
      <c r="AQ57" s="589"/>
      <c r="AR57" s="589"/>
      <c r="AS57" s="589"/>
      <c r="AT57" s="589"/>
      <c r="AU57" s="589"/>
      <c r="AV57" s="589"/>
      <c r="AW57" s="589"/>
      <c r="AX57" s="589"/>
      <c r="AY57" s="589"/>
      <c r="AZ57" s="589"/>
      <c r="BA57" s="589"/>
      <c r="BB57" s="589"/>
      <c r="BC57" s="589"/>
      <c r="BD57" s="589"/>
      <c r="BE57" s="589"/>
      <c r="BF57" s="589"/>
      <c r="BG57" s="589"/>
      <c r="BH57" s="589"/>
      <c r="BI57" s="589"/>
      <c r="BJ57" s="589"/>
      <c r="BK57" s="589"/>
      <c r="BL57" s="589"/>
    </row>
    <row r="58" spans="1:64" ht="14.25" customHeight="1">
      <c r="A58" s="691" t="s">
        <v>395</v>
      </c>
      <c r="B58" s="589"/>
      <c r="C58" s="589"/>
      <c r="D58" s="589"/>
      <c r="E58" s="589"/>
      <c r="F58" s="591">
        <v>57</v>
      </c>
      <c r="G58" s="691" t="s">
        <v>197</v>
      </c>
      <c r="H58" s="691" t="s">
        <v>187</v>
      </c>
      <c r="I58" s="691" t="s">
        <v>137</v>
      </c>
      <c r="J58" s="691" t="s">
        <v>157</v>
      </c>
      <c r="K58" s="691" t="s">
        <v>217</v>
      </c>
      <c r="L58" s="691" t="s">
        <v>177</v>
      </c>
      <c r="M58" s="691" t="s">
        <v>237</v>
      </c>
      <c r="N58" s="691" t="s">
        <v>227</v>
      </c>
      <c r="O58" s="589"/>
      <c r="P58" s="717" cm="1">
        <f t="array" ref="P58">F58</f>
        <v>57</v>
      </c>
      <c r="Q58" s="620" t="str" cm="1">
        <f t="array" ref="Q58">RIGHT(G58,1)</f>
        <v>H</v>
      </c>
      <c r="R58" s="590" t="str" cm="1">
        <f t="array" ref="R58">RIGHT(H58,1)</f>
        <v>G</v>
      </c>
      <c r="S58" s="590" t="str" cm="1">
        <f t="array" ref="S58">RIGHT(I58,1)</f>
        <v>B</v>
      </c>
      <c r="T58" s="590" t="str" cm="1">
        <f t="array" ref="T58">RIGHT(J58,1)</f>
        <v>D</v>
      </c>
      <c r="U58" s="590" t="str" cm="1">
        <f t="array" ref="U58">RIGHT(K58,1)</f>
        <v>J</v>
      </c>
      <c r="V58" s="590" t="str" cm="1">
        <f t="array" ref="V58">RIGHT(L58,1)</f>
        <v>F</v>
      </c>
      <c r="W58" s="590" t="str" cm="1">
        <f t="array" ref="W58">RIGHT(M58,1)</f>
        <v>L</v>
      </c>
      <c r="X58" s="590" t="str" cm="1">
        <f t="array" ref="X58">RIGHT(N58,1)</f>
        <v>K</v>
      </c>
      <c r="Y58" s="708" cm="1">
        <f t="array" ref="Y58">COUNTIF($AA$2:$AA$9,Q58)+COUNTIF($AA$2:$AA$9,R58)+COUNTIF($AA$2:$AA$9,S58)+COUNTIF($AA$2:$AA$9,T58)+COUNTIF($AA$2:$AA$9,U58)+COUNTIF($AA$2:$AA$9,V58)+COUNTIF($AA$2:$AA$9,W58)+COUNTIF($AA$2:$AA$9,X58)</f>
        <v>4</v>
      </c>
      <c r="Z58" s="589"/>
      <c r="AA58" s="589"/>
      <c r="AB58" s="589"/>
      <c r="AC58" s="589"/>
      <c r="AD58" s="589"/>
      <c r="AE58" s="589"/>
      <c r="AF58" s="589"/>
      <c r="AG58" s="589"/>
      <c r="AH58" s="589"/>
      <c r="AI58" s="589"/>
      <c r="AJ58" s="589"/>
      <c r="AK58" s="589"/>
      <c r="AL58" s="589"/>
      <c r="AM58" s="589"/>
      <c r="AN58" s="589"/>
      <c r="AO58" s="589"/>
      <c r="AP58" s="589"/>
      <c r="AQ58" s="589"/>
      <c r="AR58" s="589"/>
      <c r="AS58" s="589"/>
      <c r="AT58" s="589"/>
      <c r="AU58" s="589"/>
      <c r="AV58" s="589"/>
      <c r="AW58" s="589"/>
      <c r="AX58" s="589"/>
      <c r="AY58" s="589"/>
      <c r="AZ58" s="589"/>
      <c r="BA58" s="589"/>
      <c r="BB58" s="589"/>
      <c r="BC58" s="589"/>
      <c r="BD58" s="589"/>
      <c r="BE58" s="589"/>
      <c r="BF58" s="589"/>
      <c r="BG58" s="589"/>
      <c r="BH58" s="589"/>
      <c r="BI58" s="589"/>
      <c r="BJ58" s="589"/>
      <c r="BK58" s="589"/>
      <c r="BL58" s="589"/>
    </row>
    <row r="59" spans="1:64" ht="14.25" customHeight="1">
      <c r="A59" s="691" t="s">
        <v>396</v>
      </c>
      <c r="B59" s="589"/>
      <c r="C59" s="589"/>
      <c r="D59" s="589"/>
      <c r="E59" s="589"/>
      <c r="F59" s="591">
        <v>58</v>
      </c>
      <c r="G59" s="691" t="s">
        <v>197</v>
      </c>
      <c r="H59" s="691" t="s">
        <v>187</v>
      </c>
      <c r="I59" s="691" t="s">
        <v>137</v>
      </c>
      <c r="J59" s="691" t="s">
        <v>157</v>
      </c>
      <c r="K59" s="691" t="s">
        <v>207</v>
      </c>
      <c r="L59" s="691" t="s">
        <v>177</v>
      </c>
      <c r="M59" s="691" t="s">
        <v>237</v>
      </c>
      <c r="N59" s="691" t="s">
        <v>227</v>
      </c>
      <c r="O59" s="589"/>
      <c r="P59" s="717" cm="1">
        <f t="array" ref="P59">F59</f>
        <v>58</v>
      </c>
      <c r="Q59" s="620" t="str" cm="1">
        <f t="array" ref="Q59">RIGHT(G59,1)</f>
        <v>H</v>
      </c>
      <c r="R59" s="590" t="str" cm="1">
        <f t="array" ref="R59">RIGHT(H59,1)</f>
        <v>G</v>
      </c>
      <c r="S59" s="590" t="str" cm="1">
        <f t="array" ref="S59">RIGHT(I59,1)</f>
        <v>B</v>
      </c>
      <c r="T59" s="590" t="str" cm="1">
        <f t="array" ref="T59">RIGHT(J59,1)</f>
        <v>D</v>
      </c>
      <c r="U59" s="590" t="str" cm="1">
        <f t="array" ref="U59">RIGHT(K59,1)</f>
        <v>I</v>
      </c>
      <c r="V59" s="590" t="str" cm="1">
        <f t="array" ref="V59">RIGHT(L59,1)</f>
        <v>F</v>
      </c>
      <c r="W59" s="590" t="str" cm="1">
        <f t="array" ref="W59">RIGHT(M59,1)</f>
        <v>L</v>
      </c>
      <c r="X59" s="590" t="str" cm="1">
        <f t="array" ref="X59">RIGHT(N59,1)</f>
        <v>K</v>
      </c>
      <c r="Y59" s="708" cm="1">
        <f t="array" ref="Y59">COUNTIF($AA$2:$AA$9,Q59)+COUNTIF($AA$2:$AA$9,R59)+COUNTIF($AA$2:$AA$9,S59)+COUNTIF($AA$2:$AA$9,T59)+COUNTIF($AA$2:$AA$9,U59)+COUNTIF($AA$2:$AA$9,V59)+COUNTIF($AA$2:$AA$9,W59)+COUNTIF($AA$2:$AA$9,X59)</f>
        <v>4</v>
      </c>
      <c r="Z59" s="589"/>
      <c r="AA59" s="589"/>
      <c r="AB59" s="589"/>
      <c r="AC59" s="589"/>
      <c r="AD59" s="589"/>
      <c r="AE59" s="589"/>
      <c r="AF59" s="589"/>
      <c r="AG59" s="589"/>
      <c r="AH59" s="589"/>
      <c r="AI59" s="589"/>
      <c r="AJ59" s="589"/>
      <c r="AK59" s="589"/>
      <c r="AL59" s="589"/>
      <c r="AM59" s="589"/>
      <c r="AN59" s="589"/>
      <c r="AO59" s="589"/>
      <c r="AP59" s="589"/>
      <c r="AQ59" s="589"/>
      <c r="AR59" s="589"/>
      <c r="AS59" s="589"/>
      <c r="AT59" s="589"/>
      <c r="AU59" s="589"/>
      <c r="AV59" s="589"/>
      <c r="AW59" s="589"/>
      <c r="AX59" s="589"/>
      <c r="AY59" s="589"/>
      <c r="AZ59" s="589"/>
      <c r="BA59" s="589"/>
      <c r="BB59" s="589"/>
      <c r="BC59" s="589"/>
      <c r="BD59" s="589"/>
      <c r="BE59" s="589"/>
      <c r="BF59" s="589"/>
      <c r="BG59" s="589"/>
      <c r="BH59" s="589"/>
      <c r="BI59" s="589"/>
      <c r="BJ59" s="589"/>
      <c r="BK59" s="589"/>
      <c r="BL59" s="589"/>
    </row>
    <row r="60" spans="1:64" ht="14.25" customHeight="1">
      <c r="A60" s="691" t="s">
        <v>397</v>
      </c>
      <c r="B60" s="589"/>
      <c r="C60" s="589"/>
      <c r="D60" s="589"/>
      <c r="E60" s="589"/>
      <c r="F60" s="591">
        <v>59</v>
      </c>
      <c r="G60" s="691" t="s">
        <v>197</v>
      </c>
      <c r="H60" s="691" t="s">
        <v>187</v>
      </c>
      <c r="I60" s="691" t="s">
        <v>137</v>
      </c>
      <c r="J60" s="691" t="s">
        <v>157</v>
      </c>
      <c r="K60" s="691" t="s">
        <v>217</v>
      </c>
      <c r="L60" s="691" t="s">
        <v>177</v>
      </c>
      <c r="M60" s="691" t="s">
        <v>237</v>
      </c>
      <c r="N60" s="691" t="s">
        <v>207</v>
      </c>
      <c r="O60" s="589"/>
      <c r="P60" s="717" cm="1">
        <f t="array" ref="P60">F60</f>
        <v>59</v>
      </c>
      <c r="Q60" s="620" t="str" cm="1">
        <f t="array" ref="Q60">RIGHT(G60,1)</f>
        <v>H</v>
      </c>
      <c r="R60" s="590" t="str" cm="1">
        <f t="array" ref="R60">RIGHT(H60,1)</f>
        <v>G</v>
      </c>
      <c r="S60" s="590" t="str" cm="1">
        <f t="array" ref="S60">RIGHT(I60,1)</f>
        <v>B</v>
      </c>
      <c r="T60" s="590" t="str" cm="1">
        <f t="array" ref="T60">RIGHT(J60,1)</f>
        <v>D</v>
      </c>
      <c r="U60" s="590" t="str" cm="1">
        <f t="array" ref="U60">RIGHT(K60,1)</f>
        <v>J</v>
      </c>
      <c r="V60" s="590" t="str" cm="1">
        <f t="array" ref="V60">RIGHT(L60,1)</f>
        <v>F</v>
      </c>
      <c r="W60" s="590" t="str" cm="1">
        <f t="array" ref="W60">RIGHT(M60,1)</f>
        <v>L</v>
      </c>
      <c r="X60" s="590" t="str" cm="1">
        <f t="array" ref="X60">RIGHT(N60,1)</f>
        <v>I</v>
      </c>
      <c r="Y60" s="708" cm="1">
        <f t="array" ref="Y60">COUNTIF($AA$2:$AA$9,Q60)+COUNTIF($AA$2:$AA$9,R60)+COUNTIF($AA$2:$AA$9,S60)+COUNTIF($AA$2:$AA$9,T60)+COUNTIF($AA$2:$AA$9,U60)+COUNTIF($AA$2:$AA$9,V60)+COUNTIF($AA$2:$AA$9,W60)+COUNTIF($AA$2:$AA$9,X60)</f>
        <v>5</v>
      </c>
      <c r="Z60" s="589"/>
      <c r="AA60" s="589"/>
      <c r="AB60" s="589"/>
      <c r="AC60" s="589"/>
      <c r="AD60" s="589"/>
      <c r="AE60" s="589"/>
      <c r="AF60" s="589"/>
      <c r="AG60" s="589"/>
      <c r="AH60" s="589"/>
      <c r="AI60" s="589"/>
      <c r="AJ60" s="589"/>
      <c r="AK60" s="589"/>
      <c r="AL60" s="589"/>
      <c r="AM60" s="589"/>
      <c r="AN60" s="589"/>
      <c r="AO60" s="589"/>
      <c r="AP60" s="589"/>
      <c r="AQ60" s="589"/>
      <c r="AR60" s="589"/>
      <c r="AS60" s="589"/>
      <c r="AT60" s="589"/>
      <c r="AU60" s="589"/>
      <c r="AV60" s="589"/>
      <c r="AW60" s="589"/>
      <c r="AX60" s="589"/>
      <c r="AY60" s="589"/>
      <c r="AZ60" s="589"/>
      <c r="BA60" s="589"/>
      <c r="BB60" s="589"/>
      <c r="BC60" s="589"/>
      <c r="BD60" s="589"/>
      <c r="BE60" s="589"/>
      <c r="BF60" s="589"/>
      <c r="BG60" s="589"/>
      <c r="BH60" s="589"/>
      <c r="BI60" s="589"/>
      <c r="BJ60" s="589"/>
      <c r="BK60" s="589"/>
      <c r="BL60" s="589"/>
    </row>
    <row r="61" spans="1:64" ht="14.25" customHeight="1">
      <c r="A61" s="691" t="s">
        <v>398</v>
      </c>
      <c r="B61" s="589"/>
      <c r="C61" s="589"/>
      <c r="D61" s="589"/>
      <c r="E61" s="589"/>
      <c r="F61" s="591">
        <v>60</v>
      </c>
      <c r="G61" s="691" t="s">
        <v>197</v>
      </c>
      <c r="H61" s="691" t="s">
        <v>187</v>
      </c>
      <c r="I61" s="691" t="s">
        <v>137</v>
      </c>
      <c r="J61" s="691" t="s">
        <v>157</v>
      </c>
      <c r="K61" s="691" t="s">
        <v>217</v>
      </c>
      <c r="L61" s="691" t="s">
        <v>177</v>
      </c>
      <c r="M61" s="691" t="s">
        <v>207</v>
      </c>
      <c r="N61" s="691" t="s">
        <v>227</v>
      </c>
      <c r="O61" s="589"/>
      <c r="P61" s="717" cm="1">
        <f t="array" ref="P61">F61</f>
        <v>60</v>
      </c>
      <c r="Q61" s="620" t="str" cm="1">
        <f t="array" ref="Q61">RIGHT(G61,1)</f>
        <v>H</v>
      </c>
      <c r="R61" s="590" t="str" cm="1">
        <f t="array" ref="R61">RIGHT(H61,1)</f>
        <v>G</v>
      </c>
      <c r="S61" s="590" t="str" cm="1">
        <f t="array" ref="S61">RIGHT(I61,1)</f>
        <v>B</v>
      </c>
      <c r="T61" s="590" t="str" cm="1">
        <f t="array" ref="T61">RIGHT(J61,1)</f>
        <v>D</v>
      </c>
      <c r="U61" s="590" t="str" cm="1">
        <f t="array" ref="U61">RIGHT(K61,1)</f>
        <v>J</v>
      </c>
      <c r="V61" s="590" t="str" cm="1">
        <f t="array" ref="V61">RIGHT(L61,1)</f>
        <v>F</v>
      </c>
      <c r="W61" s="590" t="str" cm="1">
        <f t="array" ref="W61">RIGHT(M61,1)</f>
        <v>I</v>
      </c>
      <c r="X61" s="590" t="str" cm="1">
        <f t="array" ref="X61">RIGHT(N61,1)</f>
        <v>K</v>
      </c>
      <c r="Y61" s="708" cm="1">
        <f t="array" ref="Y61">COUNTIF($AA$2:$AA$9,Q61)+COUNTIF($AA$2:$AA$9,R61)+COUNTIF($AA$2:$AA$9,S61)+COUNTIF($AA$2:$AA$9,T61)+COUNTIF($AA$2:$AA$9,U61)+COUNTIF($AA$2:$AA$9,V61)+COUNTIF($AA$2:$AA$9,W61)+COUNTIF($AA$2:$AA$9,X61)</f>
        <v>4</v>
      </c>
      <c r="Z61" s="589"/>
      <c r="AA61" s="589"/>
      <c r="AB61" s="589"/>
      <c r="AC61" s="589"/>
      <c r="AD61" s="589"/>
      <c r="AE61" s="589"/>
      <c r="AF61" s="589"/>
      <c r="AG61" s="589"/>
      <c r="AH61" s="589"/>
      <c r="AI61" s="589"/>
      <c r="AJ61" s="589"/>
      <c r="AK61" s="589"/>
      <c r="AL61" s="589"/>
      <c r="AM61" s="589"/>
      <c r="AN61" s="589"/>
      <c r="AO61" s="589"/>
      <c r="AP61" s="589"/>
      <c r="AQ61" s="589"/>
      <c r="AR61" s="589"/>
      <c r="AS61" s="589"/>
      <c r="AT61" s="589"/>
      <c r="AU61" s="589"/>
      <c r="AV61" s="589"/>
      <c r="AW61" s="589"/>
      <c r="AX61" s="589"/>
      <c r="AY61" s="589"/>
      <c r="AZ61" s="589"/>
      <c r="BA61" s="589"/>
      <c r="BB61" s="589"/>
      <c r="BC61" s="589"/>
      <c r="BD61" s="589"/>
      <c r="BE61" s="589"/>
      <c r="BF61" s="589"/>
      <c r="BG61" s="589"/>
      <c r="BH61" s="589"/>
      <c r="BI61" s="589"/>
      <c r="BJ61" s="589"/>
      <c r="BK61" s="589"/>
      <c r="BL61" s="589"/>
    </row>
    <row r="62" spans="1:64" ht="14.25" customHeight="1">
      <c r="A62" s="691" t="s">
        <v>399</v>
      </c>
      <c r="B62" s="589"/>
      <c r="C62" s="589"/>
      <c r="D62" s="589"/>
      <c r="E62" s="589"/>
      <c r="F62" s="591">
        <v>61</v>
      </c>
      <c r="G62" s="691" t="s">
        <v>167</v>
      </c>
      <c r="H62" s="691" t="s">
        <v>217</v>
      </c>
      <c r="I62" s="691" t="s">
        <v>137</v>
      </c>
      <c r="J62" s="691" t="s">
        <v>157</v>
      </c>
      <c r="K62" s="691" t="s">
        <v>207</v>
      </c>
      <c r="L62" s="691" t="s">
        <v>197</v>
      </c>
      <c r="M62" s="691" t="s">
        <v>237</v>
      </c>
      <c r="N62" s="691" t="s">
        <v>227</v>
      </c>
      <c r="O62" s="589"/>
      <c r="P62" s="717" cm="1">
        <f t="array" ref="P62">F62</f>
        <v>61</v>
      </c>
      <c r="Q62" s="620" t="str" cm="1">
        <f t="array" ref="Q62">RIGHT(G62,1)</f>
        <v>E</v>
      </c>
      <c r="R62" s="590" t="str" cm="1">
        <f t="array" ref="R62">RIGHT(H62,1)</f>
        <v>J</v>
      </c>
      <c r="S62" s="590" t="str" cm="1">
        <f t="array" ref="S62">RIGHT(I62,1)</f>
        <v>B</v>
      </c>
      <c r="T62" s="590" t="str" cm="1">
        <f t="array" ref="T62">RIGHT(J62,1)</f>
        <v>D</v>
      </c>
      <c r="U62" s="590" t="str" cm="1">
        <f t="array" ref="U62">RIGHT(K62,1)</f>
        <v>I</v>
      </c>
      <c r="V62" s="590" t="str" cm="1">
        <f t="array" ref="V62">RIGHT(L62,1)</f>
        <v>H</v>
      </c>
      <c r="W62" s="590" t="str" cm="1">
        <f t="array" ref="W62">RIGHT(M62,1)</f>
        <v>L</v>
      </c>
      <c r="X62" s="590" t="str" cm="1">
        <f t="array" ref="X62">RIGHT(N62,1)</f>
        <v>K</v>
      </c>
      <c r="Y62" s="708" cm="1">
        <f t="array" ref="Y62">COUNTIF($AA$2:$AA$9,Q62)+COUNTIF($AA$2:$AA$9,R62)+COUNTIF($AA$2:$AA$9,S62)+COUNTIF($AA$2:$AA$9,T62)+COUNTIF($AA$2:$AA$9,U62)+COUNTIF($AA$2:$AA$9,V62)+COUNTIF($AA$2:$AA$9,W62)+COUNTIF($AA$2:$AA$9,X62)</f>
        <v>5</v>
      </c>
      <c r="Z62" s="589"/>
      <c r="AA62" s="589"/>
      <c r="AB62" s="589"/>
      <c r="AC62" s="589"/>
      <c r="AD62" s="589"/>
      <c r="AE62" s="589"/>
      <c r="AF62" s="589"/>
      <c r="AG62" s="589"/>
      <c r="AH62" s="589"/>
      <c r="AI62" s="589"/>
      <c r="AJ62" s="589"/>
      <c r="AK62" s="589"/>
      <c r="AL62" s="589"/>
      <c r="AM62" s="589"/>
      <c r="AN62" s="589"/>
      <c r="AO62" s="589"/>
      <c r="AP62" s="589"/>
      <c r="AQ62" s="589"/>
      <c r="AR62" s="589"/>
      <c r="AS62" s="589"/>
      <c r="AT62" s="589"/>
      <c r="AU62" s="589"/>
      <c r="AV62" s="589"/>
      <c r="AW62" s="589"/>
      <c r="AX62" s="589"/>
      <c r="AY62" s="589"/>
      <c r="AZ62" s="589"/>
      <c r="BA62" s="589"/>
      <c r="BB62" s="589"/>
      <c r="BC62" s="589"/>
      <c r="BD62" s="589"/>
      <c r="BE62" s="589"/>
      <c r="BF62" s="589"/>
      <c r="BG62" s="589"/>
      <c r="BH62" s="589"/>
      <c r="BI62" s="589"/>
      <c r="BJ62" s="589"/>
      <c r="BK62" s="589"/>
      <c r="BL62" s="589"/>
    </row>
    <row r="63" spans="1:64" ht="14.25" customHeight="1">
      <c r="A63" s="691" t="s">
        <v>400</v>
      </c>
      <c r="B63" s="589"/>
      <c r="C63" s="589"/>
      <c r="D63" s="589"/>
      <c r="E63" s="589"/>
      <c r="F63" s="591">
        <v>62</v>
      </c>
      <c r="G63" s="691" t="s">
        <v>167</v>
      </c>
      <c r="H63" s="691" t="s">
        <v>217</v>
      </c>
      <c r="I63" s="691" t="s">
        <v>137</v>
      </c>
      <c r="J63" s="691" t="s">
        <v>157</v>
      </c>
      <c r="K63" s="691" t="s">
        <v>207</v>
      </c>
      <c r="L63" s="691" t="s">
        <v>187</v>
      </c>
      <c r="M63" s="691" t="s">
        <v>237</v>
      </c>
      <c r="N63" s="691" t="s">
        <v>227</v>
      </c>
      <c r="O63" s="589"/>
      <c r="P63" s="717" cm="1">
        <f t="array" ref="P63">F63</f>
        <v>62</v>
      </c>
      <c r="Q63" s="620" t="str" cm="1">
        <f t="array" ref="Q63">RIGHT(G63,1)</f>
        <v>E</v>
      </c>
      <c r="R63" s="590" t="str" cm="1">
        <f t="array" ref="R63">RIGHT(H63,1)</f>
        <v>J</v>
      </c>
      <c r="S63" s="590" t="str" cm="1">
        <f t="array" ref="S63">RIGHT(I63,1)</f>
        <v>B</v>
      </c>
      <c r="T63" s="590" t="str" cm="1">
        <f t="array" ref="T63">RIGHT(J63,1)</f>
        <v>D</v>
      </c>
      <c r="U63" s="590" t="str" cm="1">
        <f t="array" ref="U63">RIGHT(K63,1)</f>
        <v>I</v>
      </c>
      <c r="V63" s="590" t="str" cm="1">
        <f t="array" ref="V63">RIGHT(L63,1)</f>
        <v>G</v>
      </c>
      <c r="W63" s="590" t="str" cm="1">
        <f t="array" ref="W63">RIGHT(M63,1)</f>
        <v>L</v>
      </c>
      <c r="X63" s="590" t="str" cm="1">
        <f t="array" ref="X63">RIGHT(N63,1)</f>
        <v>K</v>
      </c>
      <c r="Y63" s="708" cm="1">
        <f t="array" ref="Y63">COUNTIF($AA$2:$AA$9,Q63)+COUNTIF($AA$2:$AA$9,R63)+COUNTIF($AA$2:$AA$9,S63)+COUNTIF($AA$2:$AA$9,T63)+COUNTIF($AA$2:$AA$9,U63)+COUNTIF($AA$2:$AA$9,V63)+COUNTIF($AA$2:$AA$9,W63)+COUNTIF($AA$2:$AA$9,X63)</f>
        <v>5</v>
      </c>
      <c r="Z63" s="589"/>
      <c r="AA63" s="589"/>
      <c r="AB63" s="589"/>
      <c r="AC63" s="589"/>
      <c r="AD63" s="589"/>
      <c r="AE63" s="589"/>
      <c r="AF63" s="589"/>
      <c r="AG63" s="589"/>
      <c r="AH63" s="589"/>
      <c r="AI63" s="589"/>
      <c r="AJ63" s="589"/>
      <c r="AK63" s="589"/>
      <c r="AL63" s="589"/>
      <c r="AM63" s="589"/>
      <c r="AN63" s="589"/>
      <c r="AO63" s="589"/>
      <c r="AP63" s="589"/>
      <c r="AQ63" s="589"/>
      <c r="AR63" s="589"/>
      <c r="AS63" s="589"/>
      <c r="AT63" s="589"/>
      <c r="AU63" s="589"/>
      <c r="AV63" s="589"/>
      <c r="AW63" s="589"/>
      <c r="AX63" s="589"/>
      <c r="AY63" s="589"/>
      <c r="AZ63" s="589"/>
      <c r="BA63" s="589"/>
      <c r="BB63" s="589"/>
      <c r="BC63" s="589"/>
      <c r="BD63" s="589"/>
      <c r="BE63" s="589"/>
      <c r="BF63" s="589"/>
      <c r="BG63" s="589"/>
      <c r="BH63" s="589"/>
      <c r="BI63" s="589"/>
      <c r="BJ63" s="589"/>
      <c r="BK63" s="589"/>
      <c r="BL63" s="589"/>
    </row>
    <row r="64" spans="1:64" ht="14.25" customHeight="1">
      <c r="A64" s="691" t="s">
        <v>401</v>
      </c>
      <c r="B64" s="589"/>
      <c r="C64" s="589"/>
      <c r="D64" s="589"/>
      <c r="E64" s="589"/>
      <c r="F64" s="591">
        <v>63</v>
      </c>
      <c r="G64" s="691" t="s">
        <v>167</v>
      </c>
      <c r="H64" s="691" t="s">
        <v>217</v>
      </c>
      <c r="I64" s="691" t="s">
        <v>137</v>
      </c>
      <c r="J64" s="691" t="s">
        <v>157</v>
      </c>
      <c r="K64" s="691" t="s">
        <v>197</v>
      </c>
      <c r="L64" s="691" t="s">
        <v>187</v>
      </c>
      <c r="M64" s="691" t="s">
        <v>237</v>
      </c>
      <c r="N64" s="691" t="s">
        <v>227</v>
      </c>
      <c r="O64" s="589"/>
      <c r="P64" s="717" cm="1">
        <f t="array" ref="P64">F64</f>
        <v>63</v>
      </c>
      <c r="Q64" s="620" t="str" cm="1">
        <f t="array" ref="Q64">RIGHT(G64,1)</f>
        <v>E</v>
      </c>
      <c r="R64" s="590" t="str" cm="1">
        <f t="array" ref="R64">RIGHT(H64,1)</f>
        <v>J</v>
      </c>
      <c r="S64" s="590" t="str" cm="1">
        <f t="array" ref="S64">RIGHT(I64,1)</f>
        <v>B</v>
      </c>
      <c r="T64" s="590" t="str" cm="1">
        <f t="array" ref="T64">RIGHT(J64,1)</f>
        <v>D</v>
      </c>
      <c r="U64" s="590" t="str" cm="1">
        <f t="array" ref="U64">RIGHT(K64,1)</f>
        <v>H</v>
      </c>
      <c r="V64" s="590" t="str" cm="1">
        <f t="array" ref="V64">RIGHT(L64,1)</f>
        <v>G</v>
      </c>
      <c r="W64" s="590" t="str" cm="1">
        <f t="array" ref="W64">RIGHT(M64,1)</f>
        <v>L</v>
      </c>
      <c r="X64" s="590" t="str" cm="1">
        <f t="array" ref="X64">RIGHT(N64,1)</f>
        <v>K</v>
      </c>
      <c r="Y64" s="708" cm="1">
        <f t="array" ref="Y64">COUNTIF($AA$2:$AA$9,Q64)+COUNTIF($AA$2:$AA$9,R64)+COUNTIF($AA$2:$AA$9,S64)+COUNTIF($AA$2:$AA$9,T64)+COUNTIF($AA$2:$AA$9,U64)+COUNTIF($AA$2:$AA$9,V64)+COUNTIF($AA$2:$AA$9,W64)+COUNTIF($AA$2:$AA$9,X64)</f>
        <v>4</v>
      </c>
      <c r="Z64" s="589"/>
      <c r="AA64" s="589"/>
      <c r="AB64" s="589"/>
      <c r="AC64" s="589"/>
      <c r="AD64" s="589"/>
      <c r="AE64" s="589"/>
      <c r="AF64" s="589"/>
      <c r="AG64" s="589"/>
      <c r="AH64" s="589"/>
      <c r="AI64" s="589"/>
      <c r="AJ64" s="589"/>
      <c r="AK64" s="589"/>
      <c r="AL64" s="589"/>
      <c r="AM64" s="589"/>
      <c r="AN64" s="589"/>
      <c r="AO64" s="589"/>
      <c r="AP64" s="589"/>
      <c r="AQ64" s="589"/>
      <c r="AR64" s="589"/>
      <c r="AS64" s="589"/>
      <c r="AT64" s="589"/>
      <c r="AU64" s="589"/>
      <c r="AV64" s="589"/>
      <c r="AW64" s="589"/>
      <c r="AX64" s="589"/>
      <c r="AY64" s="589"/>
      <c r="AZ64" s="589"/>
      <c r="BA64" s="589"/>
      <c r="BB64" s="589"/>
      <c r="BC64" s="589"/>
      <c r="BD64" s="589"/>
      <c r="BE64" s="589"/>
      <c r="BF64" s="589"/>
      <c r="BG64" s="589"/>
      <c r="BH64" s="589"/>
      <c r="BI64" s="589"/>
      <c r="BJ64" s="589"/>
      <c r="BK64" s="589"/>
      <c r="BL64" s="589"/>
    </row>
    <row r="65" spans="1:64" ht="14.25" customHeight="1">
      <c r="A65" s="691" t="s">
        <v>402</v>
      </c>
      <c r="B65" s="589"/>
      <c r="C65" s="589"/>
      <c r="D65" s="589"/>
      <c r="E65" s="589"/>
      <c r="F65" s="591">
        <v>64</v>
      </c>
      <c r="G65" s="691" t="s">
        <v>167</v>
      </c>
      <c r="H65" s="691" t="s">
        <v>187</v>
      </c>
      <c r="I65" s="691" t="s">
        <v>137</v>
      </c>
      <c r="J65" s="691" t="s">
        <v>157</v>
      </c>
      <c r="K65" s="691" t="s">
        <v>207</v>
      </c>
      <c r="L65" s="691" t="s">
        <v>197</v>
      </c>
      <c r="M65" s="691" t="s">
        <v>237</v>
      </c>
      <c r="N65" s="691" t="s">
        <v>227</v>
      </c>
      <c r="O65" s="589"/>
      <c r="P65" s="717" cm="1">
        <f t="array" ref="P65">F65</f>
        <v>64</v>
      </c>
      <c r="Q65" s="620" t="str" cm="1">
        <f t="array" ref="Q65">RIGHT(G65,1)</f>
        <v>E</v>
      </c>
      <c r="R65" s="590" t="str" cm="1">
        <f t="array" ref="R65">RIGHT(H65,1)</f>
        <v>G</v>
      </c>
      <c r="S65" s="590" t="str" cm="1">
        <f t="array" ref="S65">RIGHT(I65,1)</f>
        <v>B</v>
      </c>
      <c r="T65" s="590" t="str" cm="1">
        <f t="array" ref="T65">RIGHT(J65,1)</f>
        <v>D</v>
      </c>
      <c r="U65" s="590" t="str" cm="1">
        <f t="array" ref="U65">RIGHT(K65,1)</f>
        <v>I</v>
      </c>
      <c r="V65" s="590" t="str" cm="1">
        <f t="array" ref="V65">RIGHT(L65,1)</f>
        <v>H</v>
      </c>
      <c r="W65" s="590" t="str" cm="1">
        <f t="array" ref="W65">RIGHT(M65,1)</f>
        <v>L</v>
      </c>
      <c r="X65" s="590" t="str" cm="1">
        <f t="array" ref="X65">RIGHT(N65,1)</f>
        <v>K</v>
      </c>
      <c r="Y65" s="708" cm="1">
        <f t="array" ref="Y65">COUNTIF($AA$2:$AA$9,Q65)+COUNTIF($AA$2:$AA$9,R65)+COUNTIF($AA$2:$AA$9,S65)+COUNTIF($AA$2:$AA$9,T65)+COUNTIF($AA$2:$AA$9,U65)+COUNTIF($AA$2:$AA$9,V65)+COUNTIF($AA$2:$AA$9,W65)+COUNTIF($AA$2:$AA$9,X65)</f>
        <v>4</v>
      </c>
      <c r="Z65" s="589"/>
      <c r="AA65" s="589"/>
      <c r="AB65" s="589"/>
      <c r="AC65" s="589"/>
      <c r="AD65" s="589"/>
      <c r="AE65" s="589"/>
      <c r="AF65" s="589"/>
      <c r="AG65" s="589"/>
      <c r="AH65" s="589"/>
      <c r="AI65" s="589"/>
      <c r="AJ65" s="589"/>
      <c r="AK65" s="589"/>
      <c r="AL65" s="589"/>
      <c r="AM65" s="589"/>
      <c r="AN65" s="589"/>
      <c r="AO65" s="589"/>
      <c r="AP65" s="589"/>
      <c r="AQ65" s="589"/>
      <c r="AR65" s="589"/>
      <c r="AS65" s="589"/>
      <c r="AT65" s="589"/>
      <c r="AU65" s="589"/>
      <c r="AV65" s="589"/>
      <c r="AW65" s="589"/>
      <c r="AX65" s="589"/>
      <c r="AY65" s="589"/>
      <c r="AZ65" s="589"/>
      <c r="BA65" s="589"/>
      <c r="BB65" s="589"/>
      <c r="BC65" s="589"/>
      <c r="BD65" s="589"/>
      <c r="BE65" s="589"/>
      <c r="BF65" s="589"/>
      <c r="BG65" s="589"/>
      <c r="BH65" s="589"/>
      <c r="BI65" s="589"/>
      <c r="BJ65" s="589"/>
      <c r="BK65" s="589"/>
      <c r="BL65" s="589"/>
    </row>
    <row r="66" spans="1:64" ht="14.25" customHeight="1">
      <c r="A66" s="691" t="s">
        <v>403</v>
      </c>
      <c r="B66" s="589"/>
      <c r="C66" s="589"/>
      <c r="D66" s="589"/>
      <c r="E66" s="589"/>
      <c r="F66" s="591">
        <v>65</v>
      </c>
      <c r="G66" s="691" t="s">
        <v>167</v>
      </c>
      <c r="H66" s="691" t="s">
        <v>217</v>
      </c>
      <c r="I66" s="691" t="s">
        <v>137</v>
      </c>
      <c r="J66" s="691" t="s">
        <v>157</v>
      </c>
      <c r="K66" s="691" t="s">
        <v>197</v>
      </c>
      <c r="L66" s="691" t="s">
        <v>187</v>
      </c>
      <c r="M66" s="691" t="s">
        <v>237</v>
      </c>
      <c r="N66" s="691" t="s">
        <v>207</v>
      </c>
      <c r="O66" s="589"/>
      <c r="P66" s="717" cm="1">
        <f t="array" ref="P66">F66</f>
        <v>65</v>
      </c>
      <c r="Q66" s="620" t="str" cm="1">
        <f t="array" ref="Q66">RIGHT(G66,1)</f>
        <v>E</v>
      </c>
      <c r="R66" s="590" t="str" cm="1">
        <f t="array" ref="R66">RIGHT(H66,1)</f>
        <v>J</v>
      </c>
      <c r="S66" s="590" t="str" cm="1">
        <f t="array" ref="S66">RIGHT(I66,1)</f>
        <v>B</v>
      </c>
      <c r="T66" s="590" t="str" cm="1">
        <f t="array" ref="T66">RIGHT(J66,1)</f>
        <v>D</v>
      </c>
      <c r="U66" s="590" t="str" cm="1">
        <f t="array" ref="U66">RIGHT(K66,1)</f>
        <v>H</v>
      </c>
      <c r="V66" s="590" t="str" cm="1">
        <f t="array" ref="V66">RIGHT(L66,1)</f>
        <v>G</v>
      </c>
      <c r="W66" s="590" t="str" cm="1">
        <f t="array" ref="W66">RIGHT(M66,1)</f>
        <v>L</v>
      </c>
      <c r="X66" s="590" t="str" cm="1">
        <f t="array" ref="X66">RIGHT(N66,1)</f>
        <v>I</v>
      </c>
      <c r="Y66" s="708" cm="1">
        <f t="array" ref="Y66">COUNTIF($AA$2:$AA$9,Q66)+COUNTIF($AA$2:$AA$9,R66)+COUNTIF($AA$2:$AA$9,S66)+COUNTIF($AA$2:$AA$9,T66)+COUNTIF($AA$2:$AA$9,U66)+COUNTIF($AA$2:$AA$9,V66)+COUNTIF($AA$2:$AA$9,W66)+COUNTIF($AA$2:$AA$9,X66)</f>
        <v>5</v>
      </c>
      <c r="Z66" s="589"/>
      <c r="AA66" s="589"/>
      <c r="AB66" s="589"/>
      <c r="AC66" s="589"/>
      <c r="AD66" s="589"/>
      <c r="AE66" s="589"/>
      <c r="AF66" s="589"/>
      <c r="AG66" s="589"/>
      <c r="AH66" s="589"/>
      <c r="AI66" s="589"/>
      <c r="AJ66" s="589"/>
      <c r="AK66" s="589"/>
      <c r="AL66" s="589"/>
      <c r="AM66" s="589"/>
      <c r="AN66" s="589"/>
      <c r="AO66" s="589"/>
      <c r="AP66" s="589"/>
      <c r="AQ66" s="589"/>
      <c r="AR66" s="589"/>
      <c r="AS66" s="589"/>
      <c r="AT66" s="589"/>
      <c r="AU66" s="589"/>
      <c r="AV66" s="589"/>
      <c r="AW66" s="589"/>
      <c r="AX66" s="589"/>
      <c r="AY66" s="589"/>
      <c r="AZ66" s="589"/>
      <c r="BA66" s="589"/>
      <c r="BB66" s="589"/>
      <c r="BC66" s="589"/>
      <c r="BD66" s="589"/>
      <c r="BE66" s="589"/>
      <c r="BF66" s="589"/>
      <c r="BG66" s="589"/>
      <c r="BH66" s="589"/>
      <c r="BI66" s="589"/>
      <c r="BJ66" s="589"/>
      <c r="BK66" s="589"/>
      <c r="BL66" s="589"/>
    </row>
    <row r="67" spans="1:64" ht="14.25" customHeight="1">
      <c r="A67" s="691" t="s">
        <v>404</v>
      </c>
      <c r="B67" s="589"/>
      <c r="C67" s="589"/>
      <c r="D67" s="589"/>
      <c r="E67" s="589"/>
      <c r="F67" s="591">
        <v>66</v>
      </c>
      <c r="G67" s="691" t="s">
        <v>167</v>
      </c>
      <c r="H67" s="691" t="s">
        <v>217</v>
      </c>
      <c r="I67" s="691" t="s">
        <v>137</v>
      </c>
      <c r="J67" s="691" t="s">
        <v>157</v>
      </c>
      <c r="K67" s="691" t="s">
        <v>197</v>
      </c>
      <c r="L67" s="691" t="s">
        <v>187</v>
      </c>
      <c r="M67" s="691" t="s">
        <v>207</v>
      </c>
      <c r="N67" s="691" t="s">
        <v>227</v>
      </c>
      <c r="O67" s="589"/>
      <c r="P67" s="717" cm="1">
        <f t="array" ref="P67">F67</f>
        <v>66</v>
      </c>
      <c r="Q67" s="620" t="str" cm="1">
        <f t="array" ref="Q67">RIGHT(G67,1)</f>
        <v>E</v>
      </c>
      <c r="R67" s="590" t="str" cm="1">
        <f t="array" ref="R67">RIGHT(H67,1)</f>
        <v>J</v>
      </c>
      <c r="S67" s="590" t="str" cm="1">
        <f t="array" ref="S67">RIGHT(I67,1)</f>
        <v>B</v>
      </c>
      <c r="T67" s="590" t="str" cm="1">
        <f t="array" ref="T67">RIGHT(J67,1)</f>
        <v>D</v>
      </c>
      <c r="U67" s="590" t="str" cm="1">
        <f t="array" ref="U67">RIGHT(K67,1)</f>
        <v>H</v>
      </c>
      <c r="V67" s="590" t="str" cm="1">
        <f t="array" ref="V67">RIGHT(L67,1)</f>
        <v>G</v>
      </c>
      <c r="W67" s="590" t="str" cm="1">
        <f t="array" ref="W67">RIGHT(M67,1)</f>
        <v>I</v>
      </c>
      <c r="X67" s="590" t="str" cm="1">
        <f t="array" ref="X67">RIGHT(N67,1)</f>
        <v>K</v>
      </c>
      <c r="Y67" s="708" cm="1">
        <f t="array" ref="Y67">COUNTIF($AA$2:$AA$9,Q67)+COUNTIF($AA$2:$AA$9,R67)+COUNTIF($AA$2:$AA$9,S67)+COUNTIF($AA$2:$AA$9,T67)+COUNTIF($AA$2:$AA$9,U67)+COUNTIF($AA$2:$AA$9,V67)+COUNTIF($AA$2:$AA$9,W67)+COUNTIF($AA$2:$AA$9,X67)</f>
        <v>4</v>
      </c>
      <c r="Z67" s="589"/>
      <c r="AA67" s="589"/>
      <c r="AB67" s="589"/>
      <c r="AC67" s="589"/>
      <c r="AD67" s="589"/>
      <c r="AE67" s="589"/>
      <c r="AF67" s="589"/>
      <c r="AG67" s="589"/>
      <c r="AH67" s="589"/>
      <c r="AI67" s="589"/>
      <c r="AJ67" s="589"/>
      <c r="AK67" s="589"/>
      <c r="AL67" s="589"/>
      <c r="AM67" s="589"/>
      <c r="AN67" s="589"/>
      <c r="AO67" s="589"/>
      <c r="AP67" s="589"/>
      <c r="AQ67" s="589"/>
      <c r="AR67" s="589"/>
      <c r="AS67" s="589"/>
      <c r="AT67" s="589"/>
      <c r="AU67" s="589"/>
      <c r="AV67" s="589"/>
      <c r="AW67" s="589"/>
      <c r="AX67" s="589"/>
      <c r="AY67" s="589"/>
      <c r="AZ67" s="589"/>
      <c r="BA67" s="589"/>
      <c r="BB67" s="589"/>
      <c r="BC67" s="589"/>
      <c r="BD67" s="589"/>
      <c r="BE67" s="589"/>
      <c r="BF67" s="589"/>
      <c r="BG67" s="589"/>
      <c r="BH67" s="589"/>
      <c r="BI67" s="589"/>
      <c r="BJ67" s="589"/>
      <c r="BK67" s="589"/>
      <c r="BL67" s="589"/>
    </row>
    <row r="68" spans="1:64" ht="14.25" customHeight="1">
      <c r="A68" s="691" t="s">
        <v>405</v>
      </c>
      <c r="B68" s="589"/>
      <c r="C68" s="589"/>
      <c r="D68" s="589"/>
      <c r="E68" s="589"/>
      <c r="F68" s="591">
        <v>67</v>
      </c>
      <c r="G68" s="691" t="s">
        <v>167</v>
      </c>
      <c r="H68" s="691" t="s">
        <v>217</v>
      </c>
      <c r="I68" s="691" t="s">
        <v>137</v>
      </c>
      <c r="J68" s="691" t="s">
        <v>157</v>
      </c>
      <c r="K68" s="691" t="s">
        <v>207</v>
      </c>
      <c r="L68" s="691" t="s">
        <v>177</v>
      </c>
      <c r="M68" s="691" t="s">
        <v>237</v>
      </c>
      <c r="N68" s="691" t="s">
        <v>227</v>
      </c>
      <c r="O68" s="589"/>
      <c r="P68" s="717" cm="1">
        <f t="array" ref="P68">F68</f>
        <v>67</v>
      </c>
      <c r="Q68" s="620" t="str" cm="1">
        <f t="array" ref="Q68">RIGHT(G68,1)</f>
        <v>E</v>
      </c>
      <c r="R68" s="590" t="str" cm="1">
        <f t="array" ref="R68">RIGHT(H68,1)</f>
        <v>J</v>
      </c>
      <c r="S68" s="590" t="str" cm="1">
        <f t="array" ref="S68">RIGHT(I68,1)</f>
        <v>B</v>
      </c>
      <c r="T68" s="590" t="str" cm="1">
        <f t="array" ref="T68">RIGHT(J68,1)</f>
        <v>D</v>
      </c>
      <c r="U68" s="590" t="str" cm="1">
        <f t="array" ref="U68">RIGHT(K68,1)</f>
        <v>I</v>
      </c>
      <c r="V68" s="590" t="str" cm="1">
        <f t="array" ref="V68">RIGHT(L68,1)</f>
        <v>F</v>
      </c>
      <c r="W68" s="590" t="str" cm="1">
        <f t="array" ref="W68">RIGHT(M68,1)</f>
        <v>L</v>
      </c>
      <c r="X68" s="590" t="str" cm="1">
        <f t="array" ref="X68">RIGHT(N68,1)</f>
        <v>K</v>
      </c>
      <c r="Y68" s="708" cm="1">
        <f t="array" ref="Y68">COUNTIF($AA$2:$AA$9,Q68)+COUNTIF($AA$2:$AA$9,R68)+COUNTIF($AA$2:$AA$9,S68)+COUNTIF($AA$2:$AA$9,T68)+COUNTIF($AA$2:$AA$9,U68)+COUNTIF($AA$2:$AA$9,V68)+COUNTIF($AA$2:$AA$9,W68)+COUNTIF($AA$2:$AA$9,X68)</f>
        <v>6</v>
      </c>
      <c r="Z68" s="589"/>
      <c r="AA68" s="589"/>
      <c r="AB68" s="589"/>
      <c r="AC68" s="589"/>
      <c r="AD68" s="589"/>
      <c r="AE68" s="589"/>
      <c r="AF68" s="589"/>
      <c r="AG68" s="589"/>
      <c r="AH68" s="589"/>
      <c r="AI68" s="589"/>
      <c r="AJ68" s="589"/>
      <c r="AK68" s="589"/>
      <c r="AL68" s="589"/>
      <c r="AM68" s="589"/>
      <c r="AN68" s="589"/>
      <c r="AO68" s="589"/>
      <c r="AP68" s="589"/>
      <c r="AQ68" s="589"/>
      <c r="AR68" s="589"/>
      <c r="AS68" s="589"/>
      <c r="AT68" s="589"/>
      <c r="AU68" s="589"/>
      <c r="AV68" s="589"/>
      <c r="AW68" s="589"/>
      <c r="AX68" s="589"/>
      <c r="AY68" s="589"/>
      <c r="AZ68" s="589"/>
      <c r="BA68" s="589"/>
      <c r="BB68" s="589"/>
      <c r="BC68" s="589"/>
      <c r="BD68" s="589"/>
      <c r="BE68" s="589"/>
      <c r="BF68" s="589"/>
      <c r="BG68" s="589"/>
      <c r="BH68" s="589"/>
      <c r="BI68" s="589"/>
      <c r="BJ68" s="589"/>
      <c r="BK68" s="589"/>
      <c r="BL68" s="589"/>
    </row>
    <row r="69" spans="1:64" ht="14.25" customHeight="1">
      <c r="A69" s="691" t="s">
        <v>406</v>
      </c>
      <c r="B69" s="589"/>
      <c r="C69" s="589"/>
      <c r="D69" s="589"/>
      <c r="E69" s="589"/>
      <c r="F69" s="591">
        <v>68</v>
      </c>
      <c r="G69" s="691" t="s">
        <v>167</v>
      </c>
      <c r="H69" s="691" t="s">
        <v>217</v>
      </c>
      <c r="I69" s="691" t="s">
        <v>137</v>
      </c>
      <c r="J69" s="691" t="s">
        <v>157</v>
      </c>
      <c r="K69" s="691" t="s">
        <v>197</v>
      </c>
      <c r="L69" s="691" t="s">
        <v>177</v>
      </c>
      <c r="M69" s="691" t="s">
        <v>237</v>
      </c>
      <c r="N69" s="691" t="s">
        <v>227</v>
      </c>
      <c r="O69" s="589"/>
      <c r="P69" s="717" cm="1">
        <f t="array" ref="P69">F69</f>
        <v>68</v>
      </c>
      <c r="Q69" s="620" t="str" cm="1">
        <f t="array" ref="Q69">RIGHT(G69,1)</f>
        <v>E</v>
      </c>
      <c r="R69" s="590" t="str" cm="1">
        <f t="array" ref="R69">RIGHT(H69,1)</f>
        <v>J</v>
      </c>
      <c r="S69" s="590" t="str" cm="1">
        <f t="array" ref="S69">RIGHT(I69,1)</f>
        <v>B</v>
      </c>
      <c r="T69" s="590" t="str" cm="1">
        <f t="array" ref="T69">RIGHT(J69,1)</f>
        <v>D</v>
      </c>
      <c r="U69" s="590" t="str" cm="1">
        <f t="array" ref="U69">RIGHT(K69,1)</f>
        <v>H</v>
      </c>
      <c r="V69" s="590" t="str" cm="1">
        <f t="array" ref="V69">RIGHT(L69,1)</f>
        <v>F</v>
      </c>
      <c r="W69" s="590" t="str" cm="1">
        <f t="array" ref="W69">RIGHT(M69,1)</f>
        <v>L</v>
      </c>
      <c r="X69" s="590" t="str" cm="1">
        <f t="array" ref="X69">RIGHT(N69,1)</f>
        <v>K</v>
      </c>
      <c r="Y69" s="708" cm="1">
        <f t="array" ref="Y69">COUNTIF($AA$2:$AA$9,Q69)+COUNTIF($AA$2:$AA$9,R69)+COUNTIF($AA$2:$AA$9,S69)+COUNTIF($AA$2:$AA$9,T69)+COUNTIF($AA$2:$AA$9,U69)+COUNTIF($AA$2:$AA$9,V69)+COUNTIF($AA$2:$AA$9,W69)+COUNTIF($AA$2:$AA$9,X69)</f>
        <v>5</v>
      </c>
      <c r="Z69" s="589"/>
      <c r="AA69" s="589"/>
      <c r="AB69" s="589"/>
      <c r="AC69" s="589"/>
      <c r="AD69" s="589"/>
      <c r="AE69" s="589"/>
      <c r="AF69" s="589"/>
      <c r="AG69" s="589"/>
      <c r="AH69" s="589"/>
      <c r="AI69" s="589"/>
      <c r="AJ69" s="589"/>
      <c r="AK69" s="589"/>
      <c r="AL69" s="589"/>
      <c r="AM69" s="589"/>
      <c r="AN69" s="589"/>
      <c r="AO69" s="589"/>
      <c r="AP69" s="589"/>
      <c r="AQ69" s="589"/>
      <c r="AR69" s="589"/>
      <c r="AS69" s="589"/>
      <c r="AT69" s="589"/>
      <c r="AU69" s="589"/>
      <c r="AV69" s="589"/>
      <c r="AW69" s="589"/>
      <c r="AX69" s="589"/>
      <c r="AY69" s="589"/>
      <c r="AZ69" s="589"/>
      <c r="BA69" s="589"/>
      <c r="BB69" s="589"/>
      <c r="BC69" s="589"/>
      <c r="BD69" s="589"/>
      <c r="BE69" s="589"/>
      <c r="BF69" s="589"/>
      <c r="BG69" s="589"/>
      <c r="BH69" s="589"/>
      <c r="BI69" s="589"/>
      <c r="BJ69" s="589"/>
      <c r="BK69" s="589"/>
      <c r="BL69" s="589"/>
    </row>
    <row r="70" spans="1:64" ht="14.25" customHeight="1">
      <c r="A70" s="691" t="s">
        <v>407</v>
      </c>
      <c r="B70" s="589"/>
      <c r="C70" s="589"/>
      <c r="D70" s="589"/>
      <c r="E70" s="589"/>
      <c r="F70" s="591">
        <v>69</v>
      </c>
      <c r="G70" s="691" t="s">
        <v>167</v>
      </c>
      <c r="H70" s="691" t="s">
        <v>207</v>
      </c>
      <c r="I70" s="691" t="s">
        <v>137</v>
      </c>
      <c r="J70" s="691" t="s">
        <v>157</v>
      </c>
      <c r="K70" s="691" t="s">
        <v>197</v>
      </c>
      <c r="L70" s="691" t="s">
        <v>177</v>
      </c>
      <c r="M70" s="691" t="s">
        <v>237</v>
      </c>
      <c r="N70" s="691" t="s">
        <v>227</v>
      </c>
      <c r="O70" s="589"/>
      <c r="P70" s="717" cm="1">
        <f t="array" ref="P70">F70</f>
        <v>69</v>
      </c>
      <c r="Q70" s="620" t="str" cm="1">
        <f t="array" ref="Q70">RIGHT(G70,1)</f>
        <v>E</v>
      </c>
      <c r="R70" s="590" t="str" cm="1">
        <f t="array" ref="R70">RIGHT(H70,1)</f>
        <v>I</v>
      </c>
      <c r="S70" s="590" t="str" cm="1">
        <f t="array" ref="S70">RIGHT(I70,1)</f>
        <v>B</v>
      </c>
      <c r="T70" s="590" t="str" cm="1">
        <f t="array" ref="T70">RIGHT(J70,1)</f>
        <v>D</v>
      </c>
      <c r="U70" s="590" t="str" cm="1">
        <f t="array" ref="U70">RIGHT(K70,1)</f>
        <v>H</v>
      </c>
      <c r="V70" s="590" t="str" cm="1">
        <f t="array" ref="V70">RIGHT(L70,1)</f>
        <v>F</v>
      </c>
      <c r="W70" s="590" t="str" cm="1">
        <f t="array" ref="W70">RIGHT(M70,1)</f>
        <v>L</v>
      </c>
      <c r="X70" s="590" t="str" cm="1">
        <f t="array" ref="X70">RIGHT(N70,1)</f>
        <v>K</v>
      </c>
      <c r="Y70" s="708" cm="1">
        <f t="array" ref="Y70">COUNTIF($AA$2:$AA$9,Q70)+COUNTIF($AA$2:$AA$9,R70)+COUNTIF($AA$2:$AA$9,S70)+COUNTIF($AA$2:$AA$9,T70)+COUNTIF($AA$2:$AA$9,U70)+COUNTIF($AA$2:$AA$9,V70)+COUNTIF($AA$2:$AA$9,W70)+COUNTIF($AA$2:$AA$9,X70)</f>
        <v>5</v>
      </c>
      <c r="Z70" s="589"/>
      <c r="AA70" s="589"/>
      <c r="AB70" s="589"/>
      <c r="AC70" s="589"/>
      <c r="AD70" s="589"/>
      <c r="AE70" s="589"/>
      <c r="AF70" s="589"/>
      <c r="AG70" s="589"/>
      <c r="AH70" s="589"/>
      <c r="AI70" s="589"/>
      <c r="AJ70" s="589"/>
      <c r="AK70" s="589"/>
      <c r="AL70" s="589"/>
      <c r="AM70" s="589"/>
      <c r="AN70" s="589"/>
      <c r="AO70" s="589"/>
      <c r="AP70" s="589"/>
      <c r="AQ70" s="589"/>
      <c r="AR70" s="589"/>
      <c r="AS70" s="589"/>
      <c r="AT70" s="589"/>
      <c r="AU70" s="589"/>
      <c r="AV70" s="589"/>
      <c r="AW70" s="589"/>
      <c r="AX70" s="589"/>
      <c r="AY70" s="589"/>
      <c r="AZ70" s="589"/>
      <c r="BA70" s="589"/>
      <c r="BB70" s="589"/>
      <c r="BC70" s="589"/>
      <c r="BD70" s="589"/>
      <c r="BE70" s="589"/>
      <c r="BF70" s="589"/>
      <c r="BG70" s="589"/>
      <c r="BH70" s="589"/>
      <c r="BI70" s="589"/>
      <c r="BJ70" s="589"/>
      <c r="BK70" s="589"/>
      <c r="BL70" s="589"/>
    </row>
    <row r="71" spans="1:64" ht="14.25" customHeight="1">
      <c r="A71" s="691" t="s">
        <v>408</v>
      </c>
      <c r="B71" s="589"/>
      <c r="C71" s="589"/>
      <c r="D71" s="589"/>
      <c r="E71" s="589"/>
      <c r="F71" s="591">
        <v>70</v>
      </c>
      <c r="G71" s="691" t="s">
        <v>167</v>
      </c>
      <c r="H71" s="691" t="s">
        <v>217</v>
      </c>
      <c r="I71" s="691" t="s">
        <v>137</v>
      </c>
      <c r="J71" s="691" t="s">
        <v>157</v>
      </c>
      <c r="K71" s="691" t="s">
        <v>197</v>
      </c>
      <c r="L71" s="691" t="s">
        <v>177</v>
      </c>
      <c r="M71" s="691" t="s">
        <v>237</v>
      </c>
      <c r="N71" s="691" t="s">
        <v>207</v>
      </c>
      <c r="O71" s="589"/>
      <c r="P71" s="717" cm="1">
        <f t="array" ref="P71">F71</f>
        <v>70</v>
      </c>
      <c r="Q71" s="620" t="str" cm="1">
        <f t="array" ref="Q71">RIGHT(G71,1)</f>
        <v>E</v>
      </c>
      <c r="R71" s="590" t="str" cm="1">
        <f t="array" ref="R71">RIGHT(H71,1)</f>
        <v>J</v>
      </c>
      <c r="S71" s="590" t="str" cm="1">
        <f t="array" ref="S71">RIGHT(I71,1)</f>
        <v>B</v>
      </c>
      <c r="T71" s="590" t="str" cm="1">
        <f t="array" ref="T71">RIGHT(J71,1)</f>
        <v>D</v>
      </c>
      <c r="U71" s="590" t="str" cm="1">
        <f t="array" ref="U71">RIGHT(K71,1)</f>
        <v>H</v>
      </c>
      <c r="V71" s="590" t="str" cm="1">
        <f t="array" ref="V71">RIGHT(L71,1)</f>
        <v>F</v>
      </c>
      <c r="W71" s="590" t="str" cm="1">
        <f t="array" ref="W71">RIGHT(M71,1)</f>
        <v>L</v>
      </c>
      <c r="X71" s="590" t="str" cm="1">
        <f t="array" ref="X71">RIGHT(N71,1)</f>
        <v>I</v>
      </c>
      <c r="Y71" s="708" cm="1">
        <f t="array" ref="Y71">COUNTIF($AA$2:$AA$9,Q71)+COUNTIF($AA$2:$AA$9,R71)+COUNTIF($AA$2:$AA$9,S71)+COUNTIF($AA$2:$AA$9,T71)+COUNTIF($AA$2:$AA$9,U71)+COUNTIF($AA$2:$AA$9,V71)+COUNTIF($AA$2:$AA$9,W71)+COUNTIF($AA$2:$AA$9,X71)</f>
        <v>6</v>
      </c>
      <c r="Z71" s="589"/>
      <c r="AA71" s="589"/>
      <c r="AB71" s="589"/>
      <c r="AC71" s="589"/>
      <c r="AD71" s="589"/>
      <c r="AE71" s="589"/>
      <c r="AF71" s="589"/>
      <c r="AG71" s="589"/>
      <c r="AH71" s="589"/>
      <c r="AI71" s="589"/>
      <c r="AJ71" s="589"/>
      <c r="AK71" s="589"/>
      <c r="AL71" s="589"/>
      <c r="AM71" s="589"/>
      <c r="AN71" s="589"/>
      <c r="AO71" s="589"/>
      <c r="AP71" s="589"/>
      <c r="AQ71" s="589"/>
      <c r="AR71" s="589"/>
      <c r="AS71" s="589"/>
      <c r="AT71" s="589"/>
      <c r="AU71" s="589"/>
      <c r="AV71" s="589"/>
      <c r="AW71" s="589"/>
      <c r="AX71" s="589"/>
      <c r="AY71" s="589"/>
      <c r="AZ71" s="589"/>
      <c r="BA71" s="589"/>
      <c r="BB71" s="589"/>
      <c r="BC71" s="589"/>
      <c r="BD71" s="589"/>
      <c r="BE71" s="589"/>
      <c r="BF71" s="589"/>
      <c r="BG71" s="589"/>
      <c r="BH71" s="589"/>
      <c r="BI71" s="589"/>
      <c r="BJ71" s="589"/>
      <c r="BK71" s="589"/>
      <c r="BL71" s="589"/>
    </row>
    <row r="72" spans="1:64" ht="14.25" customHeight="1">
      <c r="A72" s="691" t="s">
        <v>409</v>
      </c>
      <c r="B72" s="589"/>
      <c r="C72" s="589"/>
      <c r="D72" s="589"/>
      <c r="E72" s="589"/>
      <c r="F72" s="591">
        <v>71</v>
      </c>
      <c r="G72" s="691" t="s">
        <v>167</v>
      </c>
      <c r="H72" s="691" t="s">
        <v>217</v>
      </c>
      <c r="I72" s="691" t="s">
        <v>137</v>
      </c>
      <c r="J72" s="691" t="s">
        <v>157</v>
      </c>
      <c r="K72" s="691" t="s">
        <v>197</v>
      </c>
      <c r="L72" s="691" t="s">
        <v>177</v>
      </c>
      <c r="M72" s="691" t="s">
        <v>207</v>
      </c>
      <c r="N72" s="691" t="s">
        <v>227</v>
      </c>
      <c r="O72" s="589"/>
      <c r="P72" s="717" cm="1">
        <f t="array" ref="P72">F72</f>
        <v>71</v>
      </c>
      <c r="Q72" s="620" t="str" cm="1">
        <f t="array" ref="Q72">RIGHT(G72,1)</f>
        <v>E</v>
      </c>
      <c r="R72" s="590" t="str" cm="1">
        <f t="array" ref="R72">RIGHT(H72,1)</f>
        <v>J</v>
      </c>
      <c r="S72" s="590" t="str" cm="1">
        <f t="array" ref="S72">RIGHT(I72,1)</f>
        <v>B</v>
      </c>
      <c r="T72" s="590" t="str" cm="1">
        <f t="array" ref="T72">RIGHT(J72,1)</f>
        <v>D</v>
      </c>
      <c r="U72" s="590" t="str" cm="1">
        <f t="array" ref="U72">RIGHT(K72,1)</f>
        <v>H</v>
      </c>
      <c r="V72" s="590" t="str" cm="1">
        <f t="array" ref="V72">RIGHT(L72,1)</f>
        <v>F</v>
      </c>
      <c r="W72" s="590" t="str" cm="1">
        <f t="array" ref="W72">RIGHT(M72,1)</f>
        <v>I</v>
      </c>
      <c r="X72" s="590" t="str" cm="1">
        <f t="array" ref="X72">RIGHT(N72,1)</f>
        <v>K</v>
      </c>
      <c r="Y72" s="708" cm="1">
        <f t="array" ref="Y72">COUNTIF($AA$2:$AA$9,Q72)+COUNTIF($AA$2:$AA$9,R72)+COUNTIF($AA$2:$AA$9,S72)+COUNTIF($AA$2:$AA$9,T72)+COUNTIF($AA$2:$AA$9,U72)+COUNTIF($AA$2:$AA$9,V72)+COUNTIF($AA$2:$AA$9,W72)+COUNTIF($AA$2:$AA$9,X72)</f>
        <v>5</v>
      </c>
      <c r="Z72" s="589"/>
      <c r="AA72" s="589"/>
      <c r="AB72" s="589"/>
      <c r="AC72" s="589"/>
      <c r="AD72" s="589"/>
      <c r="AE72" s="589"/>
      <c r="AF72" s="589"/>
      <c r="AG72" s="589"/>
      <c r="AH72" s="589"/>
      <c r="AI72" s="589"/>
      <c r="AJ72" s="589"/>
      <c r="AK72" s="589"/>
      <c r="AL72" s="589"/>
      <c r="AM72" s="589"/>
      <c r="AN72" s="589"/>
      <c r="AO72" s="589"/>
      <c r="AP72" s="589"/>
      <c r="AQ72" s="589"/>
      <c r="AR72" s="589"/>
      <c r="AS72" s="589"/>
      <c r="AT72" s="589"/>
      <c r="AU72" s="589"/>
      <c r="AV72" s="589"/>
      <c r="AW72" s="589"/>
      <c r="AX72" s="589"/>
      <c r="AY72" s="589"/>
      <c r="AZ72" s="589"/>
      <c r="BA72" s="589"/>
      <c r="BB72" s="589"/>
      <c r="BC72" s="589"/>
      <c r="BD72" s="589"/>
      <c r="BE72" s="589"/>
      <c r="BF72" s="589"/>
      <c r="BG72" s="589"/>
      <c r="BH72" s="589"/>
      <c r="BI72" s="589"/>
      <c r="BJ72" s="589"/>
      <c r="BK72" s="589"/>
      <c r="BL72" s="589"/>
    </row>
    <row r="73" spans="1:64" ht="14.25" customHeight="1">
      <c r="A73" s="691" t="s">
        <v>410</v>
      </c>
      <c r="B73" s="589"/>
      <c r="C73" s="589"/>
      <c r="D73" s="589"/>
      <c r="E73" s="589"/>
      <c r="F73" s="591">
        <v>72</v>
      </c>
      <c r="G73" s="691" t="s">
        <v>167</v>
      </c>
      <c r="H73" s="691" t="s">
        <v>187</v>
      </c>
      <c r="I73" s="691" t="s">
        <v>137</v>
      </c>
      <c r="J73" s="691" t="s">
        <v>157</v>
      </c>
      <c r="K73" s="691" t="s">
        <v>217</v>
      </c>
      <c r="L73" s="691" t="s">
        <v>177</v>
      </c>
      <c r="M73" s="691" t="s">
        <v>237</v>
      </c>
      <c r="N73" s="691" t="s">
        <v>227</v>
      </c>
      <c r="O73" s="589"/>
      <c r="P73" s="717" cm="1">
        <f t="array" ref="P73">F73</f>
        <v>72</v>
      </c>
      <c r="Q73" s="620" t="str" cm="1">
        <f t="array" ref="Q73">RIGHT(G73,1)</f>
        <v>E</v>
      </c>
      <c r="R73" s="590" t="str" cm="1">
        <f t="array" ref="R73">RIGHT(H73,1)</f>
        <v>G</v>
      </c>
      <c r="S73" s="590" t="str" cm="1">
        <f t="array" ref="S73">RIGHT(I73,1)</f>
        <v>B</v>
      </c>
      <c r="T73" s="590" t="str" cm="1">
        <f t="array" ref="T73">RIGHT(J73,1)</f>
        <v>D</v>
      </c>
      <c r="U73" s="590" t="str" cm="1">
        <f t="array" ref="U73">RIGHT(K73,1)</f>
        <v>J</v>
      </c>
      <c r="V73" s="590" t="str" cm="1">
        <f t="array" ref="V73">RIGHT(L73,1)</f>
        <v>F</v>
      </c>
      <c r="W73" s="590" t="str" cm="1">
        <f t="array" ref="W73">RIGHT(M73,1)</f>
        <v>L</v>
      </c>
      <c r="X73" s="590" t="str" cm="1">
        <f t="array" ref="X73">RIGHT(N73,1)</f>
        <v>K</v>
      </c>
      <c r="Y73" s="708" cm="1">
        <f t="array" ref="Y73">COUNTIF($AA$2:$AA$9,Q73)+COUNTIF($AA$2:$AA$9,R73)+COUNTIF($AA$2:$AA$9,S73)+COUNTIF($AA$2:$AA$9,T73)+COUNTIF($AA$2:$AA$9,U73)+COUNTIF($AA$2:$AA$9,V73)+COUNTIF($AA$2:$AA$9,W73)+COUNTIF($AA$2:$AA$9,X73)</f>
        <v>5</v>
      </c>
      <c r="Z73" s="589"/>
      <c r="AA73" s="589"/>
      <c r="AB73" s="589"/>
      <c r="AC73" s="589"/>
      <c r="AD73" s="589"/>
      <c r="AE73" s="589"/>
      <c r="AF73" s="589"/>
      <c r="AG73" s="589"/>
      <c r="AH73" s="589"/>
      <c r="AI73" s="589"/>
      <c r="AJ73" s="589"/>
      <c r="AK73" s="589"/>
      <c r="AL73" s="589"/>
      <c r="AM73" s="589"/>
      <c r="AN73" s="589"/>
      <c r="AO73" s="589"/>
      <c r="AP73" s="589"/>
      <c r="AQ73" s="589"/>
      <c r="AR73" s="589"/>
      <c r="AS73" s="589"/>
      <c r="AT73" s="589"/>
      <c r="AU73" s="589"/>
      <c r="AV73" s="589"/>
      <c r="AW73" s="589"/>
      <c r="AX73" s="589"/>
      <c r="AY73" s="589"/>
      <c r="AZ73" s="589"/>
      <c r="BA73" s="589"/>
      <c r="BB73" s="589"/>
      <c r="BC73" s="589"/>
      <c r="BD73" s="589"/>
      <c r="BE73" s="589"/>
      <c r="BF73" s="589"/>
      <c r="BG73" s="589"/>
      <c r="BH73" s="589"/>
      <c r="BI73" s="589"/>
      <c r="BJ73" s="589"/>
      <c r="BK73" s="589"/>
      <c r="BL73" s="589"/>
    </row>
    <row r="74" spans="1:64" ht="14.25" customHeight="1">
      <c r="A74" s="691" t="s">
        <v>411</v>
      </c>
      <c r="B74" s="589"/>
      <c r="C74" s="589"/>
      <c r="D74" s="589"/>
      <c r="E74" s="589"/>
      <c r="F74" s="591">
        <v>73</v>
      </c>
      <c r="G74" s="691" t="s">
        <v>167</v>
      </c>
      <c r="H74" s="691" t="s">
        <v>187</v>
      </c>
      <c r="I74" s="691" t="s">
        <v>137</v>
      </c>
      <c r="J74" s="691" t="s">
        <v>157</v>
      </c>
      <c r="K74" s="691" t="s">
        <v>207</v>
      </c>
      <c r="L74" s="691" t="s">
        <v>177</v>
      </c>
      <c r="M74" s="691" t="s">
        <v>237</v>
      </c>
      <c r="N74" s="691" t="s">
        <v>227</v>
      </c>
      <c r="O74" s="589"/>
      <c r="P74" s="717" cm="1">
        <f t="array" ref="P74">F74</f>
        <v>73</v>
      </c>
      <c r="Q74" s="620" t="str" cm="1">
        <f t="array" ref="Q74">RIGHT(G74,1)</f>
        <v>E</v>
      </c>
      <c r="R74" s="590" t="str" cm="1">
        <f t="array" ref="R74">RIGHT(H74,1)</f>
        <v>G</v>
      </c>
      <c r="S74" s="590" t="str" cm="1">
        <f t="array" ref="S74">RIGHT(I74,1)</f>
        <v>B</v>
      </c>
      <c r="T74" s="590" t="str" cm="1">
        <f t="array" ref="T74">RIGHT(J74,1)</f>
        <v>D</v>
      </c>
      <c r="U74" s="590" t="str" cm="1">
        <f t="array" ref="U74">RIGHT(K74,1)</f>
        <v>I</v>
      </c>
      <c r="V74" s="590" t="str" cm="1">
        <f t="array" ref="V74">RIGHT(L74,1)</f>
        <v>F</v>
      </c>
      <c r="W74" s="590" t="str" cm="1">
        <f t="array" ref="W74">RIGHT(M74,1)</f>
        <v>L</v>
      </c>
      <c r="X74" s="590" t="str" cm="1">
        <f t="array" ref="X74">RIGHT(N74,1)</f>
        <v>K</v>
      </c>
      <c r="Y74" s="708" cm="1">
        <f t="array" ref="Y74">COUNTIF($AA$2:$AA$9,Q74)+COUNTIF($AA$2:$AA$9,R74)+COUNTIF($AA$2:$AA$9,S74)+COUNTIF($AA$2:$AA$9,T74)+COUNTIF($AA$2:$AA$9,U74)+COUNTIF($AA$2:$AA$9,V74)+COUNTIF($AA$2:$AA$9,W74)+COUNTIF($AA$2:$AA$9,X74)</f>
        <v>5</v>
      </c>
      <c r="Z74" s="589"/>
      <c r="AA74" s="589"/>
      <c r="AB74" s="589"/>
      <c r="AC74" s="589"/>
      <c r="AD74" s="589"/>
      <c r="AE74" s="589"/>
      <c r="AF74" s="589"/>
      <c r="AG74" s="589"/>
      <c r="AH74" s="589"/>
      <c r="AI74" s="589"/>
      <c r="AJ74" s="589"/>
      <c r="AK74" s="589"/>
      <c r="AL74" s="589"/>
      <c r="AM74" s="589"/>
      <c r="AN74" s="589"/>
      <c r="AO74" s="589"/>
      <c r="AP74" s="589"/>
      <c r="AQ74" s="589"/>
      <c r="AR74" s="589"/>
      <c r="AS74" s="589"/>
      <c r="AT74" s="589"/>
      <c r="AU74" s="589"/>
      <c r="AV74" s="589"/>
      <c r="AW74" s="589"/>
      <c r="AX74" s="589"/>
      <c r="AY74" s="589"/>
      <c r="AZ74" s="589"/>
      <c r="BA74" s="589"/>
      <c r="BB74" s="589"/>
      <c r="BC74" s="589"/>
      <c r="BD74" s="589"/>
      <c r="BE74" s="589"/>
      <c r="BF74" s="589"/>
      <c r="BG74" s="589"/>
      <c r="BH74" s="589"/>
      <c r="BI74" s="589"/>
      <c r="BJ74" s="589"/>
      <c r="BK74" s="589"/>
      <c r="BL74" s="589"/>
    </row>
    <row r="75" spans="1:64" ht="14.25" customHeight="1">
      <c r="A75" s="691" t="s">
        <v>412</v>
      </c>
      <c r="B75" s="589"/>
      <c r="C75" s="589"/>
      <c r="D75" s="589"/>
      <c r="E75" s="589"/>
      <c r="F75" s="591">
        <v>74</v>
      </c>
      <c r="G75" s="691" t="s">
        <v>167</v>
      </c>
      <c r="H75" s="691" t="s">
        <v>187</v>
      </c>
      <c r="I75" s="691" t="s">
        <v>137</v>
      </c>
      <c r="J75" s="691" t="s">
        <v>157</v>
      </c>
      <c r="K75" s="691" t="s">
        <v>217</v>
      </c>
      <c r="L75" s="691" t="s">
        <v>177</v>
      </c>
      <c r="M75" s="691" t="s">
        <v>237</v>
      </c>
      <c r="N75" s="691" t="s">
        <v>207</v>
      </c>
      <c r="O75" s="589"/>
      <c r="P75" s="717" cm="1">
        <f t="array" ref="P75">F75</f>
        <v>74</v>
      </c>
      <c r="Q75" s="620" t="str" cm="1">
        <f t="array" ref="Q75">RIGHT(G75,1)</f>
        <v>E</v>
      </c>
      <c r="R75" s="590" t="str" cm="1">
        <f t="array" ref="R75">RIGHT(H75,1)</f>
        <v>G</v>
      </c>
      <c r="S75" s="590" t="str" cm="1">
        <f t="array" ref="S75">RIGHT(I75,1)</f>
        <v>B</v>
      </c>
      <c r="T75" s="590" t="str" cm="1">
        <f t="array" ref="T75">RIGHT(J75,1)</f>
        <v>D</v>
      </c>
      <c r="U75" s="590" t="str" cm="1">
        <f t="array" ref="U75">RIGHT(K75,1)</f>
        <v>J</v>
      </c>
      <c r="V75" s="590" t="str" cm="1">
        <f t="array" ref="V75">RIGHT(L75,1)</f>
        <v>F</v>
      </c>
      <c r="W75" s="590" t="str" cm="1">
        <f t="array" ref="W75">RIGHT(M75,1)</f>
        <v>L</v>
      </c>
      <c r="X75" s="590" t="str" cm="1">
        <f t="array" ref="X75">RIGHT(N75,1)</f>
        <v>I</v>
      </c>
      <c r="Y75" s="708" cm="1">
        <f t="array" ref="Y75">COUNTIF($AA$2:$AA$9,Q75)+COUNTIF($AA$2:$AA$9,R75)+COUNTIF($AA$2:$AA$9,S75)+COUNTIF($AA$2:$AA$9,T75)+COUNTIF($AA$2:$AA$9,U75)+COUNTIF($AA$2:$AA$9,V75)+COUNTIF($AA$2:$AA$9,W75)+COUNTIF($AA$2:$AA$9,X75)</f>
        <v>6</v>
      </c>
      <c r="Z75" s="589"/>
      <c r="AA75" s="589"/>
      <c r="AB75" s="589"/>
      <c r="AC75" s="589"/>
      <c r="AD75" s="589"/>
      <c r="AE75" s="589"/>
      <c r="AF75" s="589"/>
      <c r="AG75" s="589"/>
      <c r="AH75" s="589"/>
      <c r="AI75" s="589"/>
      <c r="AJ75" s="589"/>
      <c r="AK75" s="589"/>
      <c r="AL75" s="589"/>
      <c r="AM75" s="589"/>
      <c r="AN75" s="589"/>
      <c r="AO75" s="589"/>
      <c r="AP75" s="589"/>
      <c r="AQ75" s="589"/>
      <c r="AR75" s="589"/>
      <c r="AS75" s="589"/>
      <c r="AT75" s="589"/>
      <c r="AU75" s="589"/>
      <c r="AV75" s="589"/>
      <c r="AW75" s="589"/>
      <c r="AX75" s="589"/>
      <c r="AY75" s="589"/>
      <c r="AZ75" s="589"/>
      <c r="BA75" s="589"/>
      <c r="BB75" s="589"/>
      <c r="BC75" s="589"/>
      <c r="BD75" s="589"/>
      <c r="BE75" s="589"/>
      <c r="BF75" s="589"/>
      <c r="BG75" s="589"/>
      <c r="BH75" s="589"/>
      <c r="BI75" s="589"/>
      <c r="BJ75" s="589"/>
      <c r="BK75" s="589"/>
      <c r="BL75" s="589"/>
    </row>
    <row r="76" spans="1:64" ht="14.25" customHeight="1">
      <c r="A76" s="691" t="s">
        <v>413</v>
      </c>
      <c r="B76" s="589"/>
      <c r="C76" s="589"/>
      <c r="D76" s="589"/>
      <c r="E76" s="589"/>
      <c r="F76" s="591">
        <v>75</v>
      </c>
      <c r="G76" s="691" t="s">
        <v>167</v>
      </c>
      <c r="H76" s="691" t="s">
        <v>187</v>
      </c>
      <c r="I76" s="691" t="s">
        <v>137</v>
      </c>
      <c r="J76" s="691" t="s">
        <v>157</v>
      </c>
      <c r="K76" s="691" t="s">
        <v>217</v>
      </c>
      <c r="L76" s="691" t="s">
        <v>177</v>
      </c>
      <c r="M76" s="691" t="s">
        <v>207</v>
      </c>
      <c r="N76" s="691" t="s">
        <v>227</v>
      </c>
      <c r="O76" s="589"/>
      <c r="P76" s="717" cm="1">
        <f t="array" ref="P76">F76</f>
        <v>75</v>
      </c>
      <c r="Q76" s="620" t="str" cm="1">
        <f t="array" ref="Q76">RIGHT(G76,1)</f>
        <v>E</v>
      </c>
      <c r="R76" s="590" t="str" cm="1">
        <f t="array" ref="R76">RIGHT(H76,1)</f>
        <v>G</v>
      </c>
      <c r="S76" s="590" t="str" cm="1">
        <f t="array" ref="S76">RIGHT(I76,1)</f>
        <v>B</v>
      </c>
      <c r="T76" s="590" t="str" cm="1">
        <f t="array" ref="T76">RIGHT(J76,1)</f>
        <v>D</v>
      </c>
      <c r="U76" s="590" t="str" cm="1">
        <f t="array" ref="U76">RIGHT(K76,1)</f>
        <v>J</v>
      </c>
      <c r="V76" s="590" t="str" cm="1">
        <f t="array" ref="V76">RIGHT(L76,1)</f>
        <v>F</v>
      </c>
      <c r="W76" s="590" t="str" cm="1">
        <f t="array" ref="W76">RIGHT(M76,1)</f>
        <v>I</v>
      </c>
      <c r="X76" s="590" t="str" cm="1">
        <f t="array" ref="X76">RIGHT(N76,1)</f>
        <v>K</v>
      </c>
      <c r="Y76" s="708" cm="1">
        <f t="array" ref="Y76">COUNTIF($AA$2:$AA$9,Q76)+COUNTIF($AA$2:$AA$9,R76)+COUNTIF($AA$2:$AA$9,S76)+COUNTIF($AA$2:$AA$9,T76)+COUNTIF($AA$2:$AA$9,U76)+COUNTIF($AA$2:$AA$9,V76)+COUNTIF($AA$2:$AA$9,W76)+COUNTIF($AA$2:$AA$9,X76)</f>
        <v>5</v>
      </c>
      <c r="Z76" s="589"/>
      <c r="AA76" s="589"/>
      <c r="AB76" s="589"/>
      <c r="AC76" s="589"/>
      <c r="AD76" s="589"/>
      <c r="AE76" s="589"/>
      <c r="AF76" s="589"/>
      <c r="AG76" s="589"/>
      <c r="AH76" s="589"/>
      <c r="AI76" s="589"/>
      <c r="AJ76" s="589"/>
      <c r="AK76" s="589"/>
      <c r="AL76" s="589"/>
      <c r="AM76" s="589"/>
      <c r="AN76" s="589"/>
      <c r="AO76" s="589"/>
      <c r="AP76" s="589"/>
      <c r="AQ76" s="589"/>
      <c r="AR76" s="589"/>
      <c r="AS76" s="589"/>
      <c r="AT76" s="589"/>
      <c r="AU76" s="589"/>
      <c r="AV76" s="589"/>
      <c r="AW76" s="589"/>
      <c r="AX76" s="589"/>
      <c r="AY76" s="589"/>
      <c r="AZ76" s="589"/>
      <c r="BA76" s="589"/>
      <c r="BB76" s="589"/>
      <c r="BC76" s="589"/>
      <c r="BD76" s="589"/>
      <c r="BE76" s="589"/>
      <c r="BF76" s="589"/>
      <c r="BG76" s="589"/>
      <c r="BH76" s="589"/>
      <c r="BI76" s="589"/>
      <c r="BJ76" s="589"/>
      <c r="BK76" s="589"/>
      <c r="BL76" s="589"/>
    </row>
    <row r="77" spans="1:64" ht="14.25" customHeight="1">
      <c r="A77" s="691" t="s">
        <v>414</v>
      </c>
      <c r="B77" s="589"/>
      <c r="C77" s="589"/>
      <c r="D77" s="589"/>
      <c r="E77" s="589"/>
      <c r="F77" s="591">
        <v>76</v>
      </c>
      <c r="G77" s="691" t="s">
        <v>167</v>
      </c>
      <c r="H77" s="691" t="s">
        <v>187</v>
      </c>
      <c r="I77" s="691" t="s">
        <v>137</v>
      </c>
      <c r="J77" s="691" t="s">
        <v>157</v>
      </c>
      <c r="K77" s="691" t="s">
        <v>197</v>
      </c>
      <c r="L77" s="691" t="s">
        <v>177</v>
      </c>
      <c r="M77" s="691" t="s">
        <v>237</v>
      </c>
      <c r="N77" s="691" t="s">
        <v>227</v>
      </c>
      <c r="O77" s="589"/>
      <c r="P77" s="717" cm="1">
        <f t="array" ref="P77">F77</f>
        <v>76</v>
      </c>
      <c r="Q77" s="620" t="str" cm="1">
        <f t="array" ref="Q77">RIGHT(G77,1)</f>
        <v>E</v>
      </c>
      <c r="R77" s="590" t="str" cm="1">
        <f t="array" ref="R77">RIGHT(H77,1)</f>
        <v>G</v>
      </c>
      <c r="S77" s="590" t="str" cm="1">
        <f t="array" ref="S77">RIGHT(I77,1)</f>
        <v>B</v>
      </c>
      <c r="T77" s="590" t="str" cm="1">
        <f t="array" ref="T77">RIGHT(J77,1)</f>
        <v>D</v>
      </c>
      <c r="U77" s="590" t="str" cm="1">
        <f t="array" ref="U77">RIGHT(K77,1)</f>
        <v>H</v>
      </c>
      <c r="V77" s="590" t="str" cm="1">
        <f t="array" ref="V77">RIGHT(L77,1)</f>
        <v>F</v>
      </c>
      <c r="W77" s="590" t="str" cm="1">
        <f t="array" ref="W77">RIGHT(M77,1)</f>
        <v>L</v>
      </c>
      <c r="X77" s="590" t="str" cm="1">
        <f t="array" ref="X77">RIGHT(N77,1)</f>
        <v>K</v>
      </c>
      <c r="Y77" s="708" cm="1">
        <f t="array" ref="Y77">COUNTIF($AA$2:$AA$9,Q77)+COUNTIF($AA$2:$AA$9,R77)+COUNTIF($AA$2:$AA$9,S77)+COUNTIF($AA$2:$AA$9,T77)+COUNTIF($AA$2:$AA$9,U77)+COUNTIF($AA$2:$AA$9,V77)+COUNTIF($AA$2:$AA$9,W77)+COUNTIF($AA$2:$AA$9,X77)</f>
        <v>4</v>
      </c>
      <c r="Z77" s="589"/>
      <c r="AA77" s="589"/>
      <c r="AB77" s="589"/>
      <c r="AC77" s="589"/>
      <c r="AD77" s="589"/>
      <c r="AE77" s="589"/>
      <c r="AF77" s="589"/>
      <c r="AG77" s="589"/>
      <c r="AH77" s="589"/>
      <c r="AI77" s="589"/>
      <c r="AJ77" s="589"/>
      <c r="AK77" s="589"/>
      <c r="AL77" s="589"/>
      <c r="AM77" s="589"/>
      <c r="AN77" s="589"/>
      <c r="AO77" s="589"/>
      <c r="AP77" s="589"/>
      <c r="AQ77" s="589"/>
      <c r="AR77" s="589"/>
      <c r="AS77" s="589"/>
      <c r="AT77" s="589"/>
      <c r="AU77" s="589"/>
      <c r="AV77" s="589"/>
      <c r="AW77" s="589"/>
      <c r="AX77" s="589"/>
      <c r="AY77" s="589"/>
      <c r="AZ77" s="589"/>
      <c r="BA77" s="589"/>
      <c r="BB77" s="589"/>
      <c r="BC77" s="589"/>
      <c r="BD77" s="589"/>
      <c r="BE77" s="589"/>
      <c r="BF77" s="589"/>
      <c r="BG77" s="589"/>
      <c r="BH77" s="589"/>
      <c r="BI77" s="589"/>
      <c r="BJ77" s="589"/>
      <c r="BK77" s="589"/>
      <c r="BL77" s="589"/>
    </row>
    <row r="78" spans="1:64" ht="14.25" customHeight="1">
      <c r="A78" s="691" t="s">
        <v>415</v>
      </c>
      <c r="B78" s="589"/>
      <c r="C78" s="589"/>
      <c r="D78" s="589"/>
      <c r="E78" s="589"/>
      <c r="F78" s="591">
        <v>77</v>
      </c>
      <c r="G78" s="691" t="s">
        <v>197</v>
      </c>
      <c r="H78" s="691" t="s">
        <v>187</v>
      </c>
      <c r="I78" s="691" t="s">
        <v>137</v>
      </c>
      <c r="J78" s="691" t="s">
        <v>157</v>
      </c>
      <c r="K78" s="691" t="s">
        <v>217</v>
      </c>
      <c r="L78" s="691" t="s">
        <v>177</v>
      </c>
      <c r="M78" s="691" t="s">
        <v>237</v>
      </c>
      <c r="N78" s="691" t="s">
        <v>167</v>
      </c>
      <c r="O78" s="589"/>
      <c r="P78" s="717" cm="1">
        <f t="array" ref="P78">F78</f>
        <v>77</v>
      </c>
      <c r="Q78" s="620" t="str" cm="1">
        <f t="array" ref="Q78">RIGHT(G78,1)</f>
        <v>H</v>
      </c>
      <c r="R78" s="590" t="str" cm="1">
        <f t="array" ref="R78">RIGHT(H78,1)</f>
        <v>G</v>
      </c>
      <c r="S78" s="590" t="str" cm="1">
        <f t="array" ref="S78">RIGHT(I78,1)</f>
        <v>B</v>
      </c>
      <c r="T78" s="590" t="str" cm="1">
        <f t="array" ref="T78">RIGHT(J78,1)</f>
        <v>D</v>
      </c>
      <c r="U78" s="590" t="str" cm="1">
        <f t="array" ref="U78">RIGHT(K78,1)</f>
        <v>J</v>
      </c>
      <c r="V78" s="590" t="str" cm="1">
        <f t="array" ref="V78">RIGHT(L78,1)</f>
        <v>F</v>
      </c>
      <c r="W78" s="590" t="str" cm="1">
        <f t="array" ref="W78">RIGHT(M78,1)</f>
        <v>L</v>
      </c>
      <c r="X78" s="590" t="str" cm="1">
        <f t="array" ref="X78">RIGHT(N78,1)</f>
        <v>E</v>
      </c>
      <c r="Y78" s="708" cm="1">
        <f t="array" ref="Y78">COUNTIF($AA$2:$AA$9,Q78)+COUNTIF($AA$2:$AA$9,R78)+COUNTIF($AA$2:$AA$9,S78)+COUNTIF($AA$2:$AA$9,T78)+COUNTIF($AA$2:$AA$9,U78)+COUNTIF($AA$2:$AA$9,V78)+COUNTIF($AA$2:$AA$9,W78)+COUNTIF($AA$2:$AA$9,X78)</f>
        <v>5</v>
      </c>
      <c r="Z78" s="589"/>
      <c r="AA78" s="589"/>
      <c r="AB78" s="589"/>
      <c r="AC78" s="589"/>
      <c r="AD78" s="589"/>
      <c r="AE78" s="589"/>
      <c r="AF78" s="589"/>
      <c r="AG78" s="589"/>
      <c r="AH78" s="589"/>
      <c r="AI78" s="589"/>
      <c r="AJ78" s="589"/>
      <c r="AK78" s="589"/>
      <c r="AL78" s="589"/>
      <c r="AM78" s="589"/>
      <c r="AN78" s="589"/>
      <c r="AO78" s="589"/>
      <c r="AP78" s="589"/>
      <c r="AQ78" s="589"/>
      <c r="AR78" s="589"/>
      <c r="AS78" s="589"/>
      <c r="AT78" s="589"/>
      <c r="AU78" s="589"/>
      <c r="AV78" s="589"/>
      <c r="AW78" s="589"/>
      <c r="AX78" s="589"/>
      <c r="AY78" s="589"/>
      <c r="AZ78" s="589"/>
      <c r="BA78" s="589"/>
      <c r="BB78" s="589"/>
      <c r="BC78" s="589"/>
      <c r="BD78" s="589"/>
      <c r="BE78" s="589"/>
      <c r="BF78" s="589"/>
      <c r="BG78" s="589"/>
      <c r="BH78" s="589"/>
      <c r="BI78" s="589"/>
      <c r="BJ78" s="589"/>
      <c r="BK78" s="589"/>
      <c r="BL78" s="589"/>
    </row>
    <row r="79" spans="1:64" ht="14.25" customHeight="1">
      <c r="A79" s="691" t="s">
        <v>416</v>
      </c>
      <c r="B79" s="589"/>
      <c r="C79" s="589"/>
      <c r="D79" s="589"/>
      <c r="E79" s="589"/>
      <c r="F79" s="591">
        <v>78</v>
      </c>
      <c r="G79" s="691" t="s">
        <v>197</v>
      </c>
      <c r="H79" s="691" t="s">
        <v>187</v>
      </c>
      <c r="I79" s="691" t="s">
        <v>137</v>
      </c>
      <c r="J79" s="691" t="s">
        <v>157</v>
      </c>
      <c r="K79" s="691" t="s">
        <v>217</v>
      </c>
      <c r="L79" s="691" t="s">
        <v>177</v>
      </c>
      <c r="M79" s="691" t="s">
        <v>167</v>
      </c>
      <c r="N79" s="691" t="s">
        <v>227</v>
      </c>
      <c r="O79" s="589"/>
      <c r="P79" s="717" cm="1">
        <f t="array" ref="P79">F79</f>
        <v>78</v>
      </c>
      <c r="Q79" s="620" t="str" cm="1">
        <f t="array" ref="Q79">RIGHT(G79,1)</f>
        <v>H</v>
      </c>
      <c r="R79" s="590" t="str" cm="1">
        <f t="array" ref="R79">RIGHT(H79,1)</f>
        <v>G</v>
      </c>
      <c r="S79" s="590" t="str" cm="1">
        <f t="array" ref="S79">RIGHT(I79,1)</f>
        <v>B</v>
      </c>
      <c r="T79" s="590" t="str" cm="1">
        <f t="array" ref="T79">RIGHT(J79,1)</f>
        <v>D</v>
      </c>
      <c r="U79" s="590" t="str" cm="1">
        <f t="array" ref="U79">RIGHT(K79,1)</f>
        <v>J</v>
      </c>
      <c r="V79" s="590" t="str" cm="1">
        <f t="array" ref="V79">RIGHT(L79,1)</f>
        <v>F</v>
      </c>
      <c r="W79" s="590" t="str" cm="1">
        <f t="array" ref="W79">RIGHT(M79,1)</f>
        <v>E</v>
      </c>
      <c r="X79" s="590" t="str" cm="1">
        <f t="array" ref="X79">RIGHT(N79,1)</f>
        <v>K</v>
      </c>
      <c r="Y79" s="708" cm="1">
        <f t="array" ref="Y79">COUNTIF($AA$2:$AA$9,Q79)+COUNTIF($AA$2:$AA$9,R79)+COUNTIF($AA$2:$AA$9,S79)+COUNTIF($AA$2:$AA$9,T79)+COUNTIF($AA$2:$AA$9,U79)+COUNTIF($AA$2:$AA$9,V79)+COUNTIF($AA$2:$AA$9,W79)+COUNTIF($AA$2:$AA$9,X79)</f>
        <v>4</v>
      </c>
      <c r="Z79" s="589"/>
      <c r="AA79" s="589"/>
      <c r="AB79" s="589"/>
      <c r="AC79" s="589"/>
      <c r="AD79" s="589"/>
      <c r="AE79" s="589"/>
      <c r="AF79" s="589"/>
      <c r="AG79" s="589"/>
      <c r="AH79" s="589"/>
      <c r="AI79" s="589"/>
      <c r="AJ79" s="589"/>
      <c r="AK79" s="589"/>
      <c r="AL79" s="589"/>
      <c r="AM79" s="589"/>
      <c r="AN79" s="589"/>
      <c r="AO79" s="589"/>
      <c r="AP79" s="589"/>
      <c r="AQ79" s="589"/>
      <c r="AR79" s="589"/>
      <c r="AS79" s="589"/>
      <c r="AT79" s="589"/>
      <c r="AU79" s="589"/>
      <c r="AV79" s="589"/>
      <c r="AW79" s="589"/>
      <c r="AX79" s="589"/>
      <c r="AY79" s="589"/>
      <c r="AZ79" s="589"/>
      <c r="BA79" s="589"/>
      <c r="BB79" s="589"/>
      <c r="BC79" s="589"/>
      <c r="BD79" s="589"/>
      <c r="BE79" s="589"/>
      <c r="BF79" s="589"/>
      <c r="BG79" s="589"/>
      <c r="BH79" s="589"/>
      <c r="BI79" s="589"/>
      <c r="BJ79" s="589"/>
      <c r="BK79" s="589"/>
      <c r="BL79" s="589"/>
    </row>
    <row r="80" spans="1:64" ht="14.25" customHeight="1">
      <c r="A80" s="691" t="s">
        <v>417</v>
      </c>
      <c r="B80" s="589"/>
      <c r="C80" s="589"/>
      <c r="D80" s="589"/>
      <c r="E80" s="589"/>
      <c r="F80" s="591">
        <v>79</v>
      </c>
      <c r="G80" s="691" t="s">
        <v>167</v>
      </c>
      <c r="H80" s="691" t="s">
        <v>187</v>
      </c>
      <c r="I80" s="691" t="s">
        <v>137</v>
      </c>
      <c r="J80" s="691" t="s">
        <v>157</v>
      </c>
      <c r="K80" s="691" t="s">
        <v>197</v>
      </c>
      <c r="L80" s="691" t="s">
        <v>177</v>
      </c>
      <c r="M80" s="691" t="s">
        <v>237</v>
      </c>
      <c r="N80" s="691" t="s">
        <v>207</v>
      </c>
      <c r="O80" s="589"/>
      <c r="P80" s="717" cm="1">
        <f t="array" ref="P80">F80</f>
        <v>79</v>
      </c>
      <c r="Q80" s="620" t="str" cm="1">
        <f t="array" ref="Q80">RIGHT(G80,1)</f>
        <v>E</v>
      </c>
      <c r="R80" s="590" t="str" cm="1">
        <f t="array" ref="R80">RIGHT(H80,1)</f>
        <v>G</v>
      </c>
      <c r="S80" s="590" t="str" cm="1">
        <f t="array" ref="S80">RIGHT(I80,1)</f>
        <v>B</v>
      </c>
      <c r="T80" s="590" t="str" cm="1">
        <f t="array" ref="T80">RIGHT(J80,1)</f>
        <v>D</v>
      </c>
      <c r="U80" s="590" t="str" cm="1">
        <f t="array" ref="U80">RIGHT(K80,1)</f>
        <v>H</v>
      </c>
      <c r="V80" s="590" t="str" cm="1">
        <f t="array" ref="V80">RIGHT(L80,1)</f>
        <v>F</v>
      </c>
      <c r="W80" s="590" t="str" cm="1">
        <f t="array" ref="W80">RIGHT(M80,1)</f>
        <v>L</v>
      </c>
      <c r="X80" s="590" t="str" cm="1">
        <f t="array" ref="X80">RIGHT(N80,1)</f>
        <v>I</v>
      </c>
      <c r="Y80" s="708" cm="1">
        <f t="array" ref="Y80">COUNTIF($AA$2:$AA$9,Q80)+COUNTIF($AA$2:$AA$9,R80)+COUNTIF($AA$2:$AA$9,S80)+COUNTIF($AA$2:$AA$9,T80)+COUNTIF($AA$2:$AA$9,U80)+COUNTIF($AA$2:$AA$9,V80)+COUNTIF($AA$2:$AA$9,W80)+COUNTIF($AA$2:$AA$9,X80)</f>
        <v>5</v>
      </c>
      <c r="Z80" s="589"/>
      <c r="AA80" s="589"/>
      <c r="AB80" s="589"/>
      <c r="AC80" s="589"/>
      <c r="AD80" s="589"/>
      <c r="AE80" s="589"/>
      <c r="AF80" s="589"/>
      <c r="AG80" s="589"/>
      <c r="AH80" s="589"/>
      <c r="AI80" s="589"/>
      <c r="AJ80" s="589"/>
      <c r="AK80" s="589"/>
      <c r="AL80" s="589"/>
      <c r="AM80" s="589"/>
      <c r="AN80" s="589"/>
      <c r="AO80" s="589"/>
      <c r="AP80" s="589"/>
      <c r="AQ80" s="589"/>
      <c r="AR80" s="589"/>
      <c r="AS80" s="589"/>
      <c r="AT80" s="589"/>
      <c r="AU80" s="589"/>
      <c r="AV80" s="589"/>
      <c r="AW80" s="589"/>
      <c r="AX80" s="589"/>
      <c r="AY80" s="589"/>
      <c r="AZ80" s="589"/>
      <c r="BA80" s="589"/>
      <c r="BB80" s="589"/>
      <c r="BC80" s="589"/>
      <c r="BD80" s="589"/>
      <c r="BE80" s="589"/>
      <c r="BF80" s="589"/>
      <c r="BG80" s="589"/>
      <c r="BH80" s="589"/>
      <c r="BI80" s="589"/>
      <c r="BJ80" s="589"/>
      <c r="BK80" s="589"/>
      <c r="BL80" s="589"/>
    </row>
    <row r="81" spans="1:64" ht="14.25" customHeight="1">
      <c r="A81" s="691" t="s">
        <v>418</v>
      </c>
      <c r="B81" s="589"/>
      <c r="C81" s="589"/>
      <c r="D81" s="589"/>
      <c r="E81" s="589"/>
      <c r="F81" s="591">
        <v>80</v>
      </c>
      <c r="G81" s="691" t="s">
        <v>167</v>
      </c>
      <c r="H81" s="691" t="s">
        <v>187</v>
      </c>
      <c r="I81" s="691" t="s">
        <v>137</v>
      </c>
      <c r="J81" s="691" t="s">
        <v>157</v>
      </c>
      <c r="K81" s="691" t="s">
        <v>197</v>
      </c>
      <c r="L81" s="691" t="s">
        <v>177</v>
      </c>
      <c r="M81" s="691" t="s">
        <v>207</v>
      </c>
      <c r="N81" s="691" t="s">
        <v>227</v>
      </c>
      <c r="O81" s="589"/>
      <c r="P81" s="717" cm="1">
        <f t="array" ref="P81">F81</f>
        <v>80</v>
      </c>
      <c r="Q81" s="620" t="str" cm="1">
        <f t="array" ref="Q81">RIGHT(G81,1)</f>
        <v>E</v>
      </c>
      <c r="R81" s="590" t="str" cm="1">
        <f t="array" ref="R81">RIGHT(H81,1)</f>
        <v>G</v>
      </c>
      <c r="S81" s="590" t="str" cm="1">
        <f t="array" ref="S81">RIGHT(I81,1)</f>
        <v>B</v>
      </c>
      <c r="T81" s="590" t="str" cm="1">
        <f t="array" ref="T81">RIGHT(J81,1)</f>
        <v>D</v>
      </c>
      <c r="U81" s="590" t="str" cm="1">
        <f t="array" ref="U81">RIGHT(K81,1)</f>
        <v>H</v>
      </c>
      <c r="V81" s="590" t="str" cm="1">
        <f t="array" ref="V81">RIGHT(L81,1)</f>
        <v>F</v>
      </c>
      <c r="W81" s="590" t="str" cm="1">
        <f t="array" ref="W81">RIGHT(M81,1)</f>
        <v>I</v>
      </c>
      <c r="X81" s="590" t="str" cm="1">
        <f t="array" ref="X81">RIGHT(N81,1)</f>
        <v>K</v>
      </c>
      <c r="Y81" s="708" cm="1">
        <f t="array" ref="Y81">COUNTIF($AA$2:$AA$9,Q81)+COUNTIF($AA$2:$AA$9,R81)+COUNTIF($AA$2:$AA$9,S81)+COUNTIF($AA$2:$AA$9,T81)+COUNTIF($AA$2:$AA$9,U81)+COUNTIF($AA$2:$AA$9,V81)+COUNTIF($AA$2:$AA$9,W81)+COUNTIF($AA$2:$AA$9,X81)</f>
        <v>4</v>
      </c>
      <c r="Z81" s="589"/>
      <c r="AA81" s="589"/>
      <c r="AB81" s="589"/>
      <c r="AC81" s="589"/>
      <c r="AD81" s="589"/>
      <c r="AE81" s="589"/>
      <c r="AF81" s="589"/>
      <c r="AG81" s="589"/>
      <c r="AH81" s="589"/>
      <c r="AI81" s="589"/>
      <c r="AJ81" s="589"/>
      <c r="AK81" s="589"/>
      <c r="AL81" s="589"/>
      <c r="AM81" s="589"/>
      <c r="AN81" s="589"/>
      <c r="AO81" s="589"/>
      <c r="AP81" s="589"/>
      <c r="AQ81" s="589"/>
      <c r="AR81" s="589"/>
      <c r="AS81" s="589"/>
      <c r="AT81" s="589"/>
      <c r="AU81" s="589"/>
      <c r="AV81" s="589"/>
      <c r="AW81" s="589"/>
      <c r="AX81" s="589"/>
      <c r="AY81" s="589"/>
      <c r="AZ81" s="589"/>
      <c r="BA81" s="589"/>
      <c r="BB81" s="589"/>
      <c r="BC81" s="589"/>
      <c r="BD81" s="589"/>
      <c r="BE81" s="589"/>
      <c r="BF81" s="589"/>
      <c r="BG81" s="589"/>
      <c r="BH81" s="589"/>
      <c r="BI81" s="589"/>
      <c r="BJ81" s="589"/>
      <c r="BK81" s="589"/>
      <c r="BL81" s="589"/>
    </row>
    <row r="82" spans="1:64" ht="14.25" customHeight="1">
      <c r="A82" s="691" t="s">
        <v>419</v>
      </c>
      <c r="B82" s="589"/>
      <c r="C82" s="589"/>
      <c r="D82" s="589"/>
      <c r="E82" s="589"/>
      <c r="F82" s="591">
        <v>81</v>
      </c>
      <c r="G82" s="691" t="s">
        <v>197</v>
      </c>
      <c r="H82" s="691" t="s">
        <v>187</v>
      </c>
      <c r="I82" s="691" t="s">
        <v>137</v>
      </c>
      <c r="J82" s="691" t="s">
        <v>157</v>
      </c>
      <c r="K82" s="691" t="s">
        <v>217</v>
      </c>
      <c r="L82" s="691" t="s">
        <v>177</v>
      </c>
      <c r="M82" s="691" t="s">
        <v>167</v>
      </c>
      <c r="N82" s="691" t="s">
        <v>207</v>
      </c>
      <c r="O82" s="589"/>
      <c r="P82" s="717" cm="1">
        <f t="array" ref="P82">F82</f>
        <v>81</v>
      </c>
      <c r="Q82" s="620" t="str" cm="1">
        <f t="array" ref="Q82">RIGHT(G82,1)</f>
        <v>H</v>
      </c>
      <c r="R82" s="590" t="str" cm="1">
        <f t="array" ref="R82">RIGHT(H82,1)</f>
        <v>G</v>
      </c>
      <c r="S82" s="590" t="str" cm="1">
        <f t="array" ref="S82">RIGHT(I82,1)</f>
        <v>B</v>
      </c>
      <c r="T82" s="590" t="str" cm="1">
        <f t="array" ref="T82">RIGHT(J82,1)</f>
        <v>D</v>
      </c>
      <c r="U82" s="590" t="str" cm="1">
        <f t="array" ref="U82">RIGHT(K82,1)</f>
        <v>J</v>
      </c>
      <c r="V82" s="590" t="str" cm="1">
        <f t="array" ref="V82">RIGHT(L82,1)</f>
        <v>F</v>
      </c>
      <c r="W82" s="590" t="str" cm="1">
        <f t="array" ref="W82">RIGHT(M82,1)</f>
        <v>E</v>
      </c>
      <c r="X82" s="590" t="str" cm="1">
        <f t="array" ref="X82">RIGHT(N82,1)</f>
        <v>I</v>
      </c>
      <c r="Y82" s="708" cm="1">
        <f t="array" ref="Y82">COUNTIF($AA$2:$AA$9,Q82)+COUNTIF($AA$2:$AA$9,R82)+COUNTIF($AA$2:$AA$9,S82)+COUNTIF($AA$2:$AA$9,T82)+COUNTIF($AA$2:$AA$9,U82)+COUNTIF($AA$2:$AA$9,V82)+COUNTIF($AA$2:$AA$9,W82)+COUNTIF($AA$2:$AA$9,X82)</f>
        <v>5</v>
      </c>
      <c r="Z82" s="589"/>
      <c r="AA82" s="589"/>
      <c r="AB82" s="589"/>
      <c r="AC82" s="589"/>
      <c r="AD82" s="589"/>
      <c r="AE82" s="589"/>
      <c r="AF82" s="589"/>
      <c r="AG82" s="589"/>
      <c r="AH82" s="589"/>
      <c r="AI82" s="589"/>
      <c r="AJ82" s="589"/>
      <c r="AK82" s="589"/>
      <c r="AL82" s="589"/>
      <c r="AM82" s="589"/>
      <c r="AN82" s="589"/>
      <c r="AO82" s="589"/>
      <c r="AP82" s="589"/>
      <c r="AQ82" s="589"/>
      <c r="AR82" s="589"/>
      <c r="AS82" s="589"/>
      <c r="AT82" s="589"/>
      <c r="AU82" s="589"/>
      <c r="AV82" s="589"/>
      <c r="AW82" s="589"/>
      <c r="AX82" s="589"/>
      <c r="AY82" s="589"/>
      <c r="AZ82" s="589"/>
      <c r="BA82" s="589"/>
      <c r="BB82" s="589"/>
      <c r="BC82" s="589"/>
      <c r="BD82" s="589"/>
      <c r="BE82" s="589"/>
      <c r="BF82" s="589"/>
      <c r="BG82" s="589"/>
      <c r="BH82" s="589"/>
      <c r="BI82" s="589"/>
      <c r="BJ82" s="589"/>
      <c r="BK82" s="589"/>
      <c r="BL82" s="589"/>
    </row>
    <row r="83" spans="1:64" ht="14.25" customHeight="1">
      <c r="A83" s="691" t="s">
        <v>420</v>
      </c>
      <c r="B83" s="589"/>
      <c r="C83" s="589"/>
      <c r="D83" s="589"/>
      <c r="E83" s="589"/>
      <c r="F83" s="591">
        <v>82</v>
      </c>
      <c r="G83" s="691" t="s">
        <v>197</v>
      </c>
      <c r="H83" s="691" t="s">
        <v>217</v>
      </c>
      <c r="I83" s="691" t="s">
        <v>137</v>
      </c>
      <c r="J83" s="691" t="s">
        <v>147</v>
      </c>
      <c r="K83" s="691" t="s">
        <v>207</v>
      </c>
      <c r="L83" s="691" t="s">
        <v>187</v>
      </c>
      <c r="M83" s="691" t="s">
        <v>237</v>
      </c>
      <c r="N83" s="691" t="s">
        <v>227</v>
      </c>
      <c r="O83" s="589"/>
      <c r="P83" s="717" cm="1">
        <f t="array" ref="P83">F83</f>
        <v>82</v>
      </c>
      <c r="Q83" s="620" t="str" cm="1">
        <f t="array" ref="Q83">RIGHT(G83,1)</f>
        <v>H</v>
      </c>
      <c r="R83" s="590" t="str" cm="1">
        <f t="array" ref="R83">RIGHT(H83,1)</f>
        <v>J</v>
      </c>
      <c r="S83" s="590" t="str" cm="1">
        <f t="array" ref="S83">RIGHT(I83,1)</f>
        <v>B</v>
      </c>
      <c r="T83" s="590" t="str" cm="1">
        <f t="array" ref="T83">RIGHT(J83,1)</f>
        <v>C</v>
      </c>
      <c r="U83" s="590" t="str" cm="1">
        <f t="array" ref="U83">RIGHT(K83,1)</f>
        <v>I</v>
      </c>
      <c r="V83" s="590" t="str" cm="1">
        <f t="array" ref="V83">RIGHT(L83,1)</f>
        <v>G</v>
      </c>
      <c r="W83" s="590" t="str" cm="1">
        <f t="array" ref="W83">RIGHT(M83,1)</f>
        <v>L</v>
      </c>
      <c r="X83" s="590" t="str" cm="1">
        <f t="array" ref="X83">RIGHT(N83,1)</f>
        <v>K</v>
      </c>
      <c r="Y83" s="708" cm="1">
        <f t="array" ref="Y83">COUNTIF($AA$2:$AA$9,Q83)+COUNTIF($AA$2:$AA$9,R83)+COUNTIF($AA$2:$AA$9,S83)+COUNTIF($AA$2:$AA$9,T83)+COUNTIF($AA$2:$AA$9,U83)+COUNTIF($AA$2:$AA$9,V83)+COUNTIF($AA$2:$AA$9,W83)+COUNTIF($AA$2:$AA$9,X83)</f>
        <v>4</v>
      </c>
      <c r="Z83" s="589"/>
      <c r="AA83" s="589"/>
      <c r="AB83" s="589"/>
      <c r="AC83" s="589"/>
      <c r="AD83" s="589"/>
      <c r="AE83" s="589"/>
      <c r="AF83" s="589"/>
      <c r="AG83" s="589"/>
      <c r="AH83" s="589"/>
      <c r="AI83" s="589"/>
      <c r="AJ83" s="589"/>
      <c r="AK83" s="589"/>
      <c r="AL83" s="589"/>
      <c r="AM83" s="589"/>
      <c r="AN83" s="589"/>
      <c r="AO83" s="589"/>
      <c r="AP83" s="589"/>
      <c r="AQ83" s="589"/>
      <c r="AR83" s="589"/>
      <c r="AS83" s="589"/>
      <c r="AT83" s="589"/>
      <c r="AU83" s="589"/>
      <c r="AV83" s="589"/>
      <c r="AW83" s="589"/>
      <c r="AX83" s="589"/>
      <c r="AY83" s="589"/>
      <c r="AZ83" s="589"/>
      <c r="BA83" s="589"/>
      <c r="BB83" s="589"/>
      <c r="BC83" s="589"/>
      <c r="BD83" s="589"/>
      <c r="BE83" s="589"/>
      <c r="BF83" s="589"/>
      <c r="BG83" s="589"/>
      <c r="BH83" s="589"/>
      <c r="BI83" s="589"/>
      <c r="BJ83" s="589"/>
      <c r="BK83" s="589"/>
      <c r="BL83" s="589"/>
    </row>
    <row r="84" spans="1:64" ht="14.25" customHeight="1">
      <c r="A84" s="691" t="s">
        <v>421</v>
      </c>
      <c r="B84" s="589"/>
      <c r="C84" s="589"/>
      <c r="D84" s="589"/>
      <c r="E84" s="589"/>
      <c r="F84" s="591">
        <v>83</v>
      </c>
      <c r="G84" s="691" t="s">
        <v>197</v>
      </c>
      <c r="H84" s="691" t="s">
        <v>217</v>
      </c>
      <c r="I84" s="691" t="s">
        <v>137</v>
      </c>
      <c r="J84" s="691" t="s">
        <v>147</v>
      </c>
      <c r="K84" s="691" t="s">
        <v>207</v>
      </c>
      <c r="L84" s="691" t="s">
        <v>177</v>
      </c>
      <c r="M84" s="691" t="s">
        <v>237</v>
      </c>
      <c r="N84" s="691" t="s">
        <v>227</v>
      </c>
      <c r="O84" s="589"/>
      <c r="P84" s="717" cm="1">
        <f t="array" ref="P84">F84</f>
        <v>83</v>
      </c>
      <c r="Q84" s="620" t="str" cm="1">
        <f t="array" ref="Q84">RIGHT(G84,1)</f>
        <v>H</v>
      </c>
      <c r="R84" s="590" t="str" cm="1">
        <f t="array" ref="R84">RIGHT(H84,1)</f>
        <v>J</v>
      </c>
      <c r="S84" s="590" t="str" cm="1">
        <f t="array" ref="S84">RIGHT(I84,1)</f>
        <v>B</v>
      </c>
      <c r="T84" s="590" t="str" cm="1">
        <f t="array" ref="T84">RIGHT(J84,1)</f>
        <v>C</v>
      </c>
      <c r="U84" s="590" t="str" cm="1">
        <f t="array" ref="U84">RIGHT(K84,1)</f>
        <v>I</v>
      </c>
      <c r="V84" s="590" t="str" cm="1">
        <f t="array" ref="V84">RIGHT(L84,1)</f>
        <v>F</v>
      </c>
      <c r="W84" s="590" t="str" cm="1">
        <f t="array" ref="W84">RIGHT(M84,1)</f>
        <v>L</v>
      </c>
      <c r="X84" s="590" t="str" cm="1">
        <f t="array" ref="X84">RIGHT(N84,1)</f>
        <v>K</v>
      </c>
      <c r="Y84" s="708" cm="1">
        <f t="array" ref="Y84">COUNTIF($AA$2:$AA$9,Q84)+COUNTIF($AA$2:$AA$9,R84)+COUNTIF($AA$2:$AA$9,S84)+COUNTIF($AA$2:$AA$9,T84)+COUNTIF($AA$2:$AA$9,U84)+COUNTIF($AA$2:$AA$9,V84)+COUNTIF($AA$2:$AA$9,W84)+COUNTIF($AA$2:$AA$9,X84)</f>
        <v>5</v>
      </c>
      <c r="Z84" s="589"/>
      <c r="AA84" s="589"/>
      <c r="AB84" s="589"/>
      <c r="AC84" s="589"/>
      <c r="AD84" s="589"/>
      <c r="AE84" s="589"/>
      <c r="AF84" s="589"/>
      <c r="AG84" s="589"/>
      <c r="AH84" s="589"/>
      <c r="AI84" s="589"/>
      <c r="AJ84" s="589"/>
      <c r="AK84" s="589"/>
      <c r="AL84" s="589"/>
      <c r="AM84" s="589"/>
      <c r="AN84" s="589"/>
      <c r="AO84" s="589"/>
      <c r="AP84" s="589"/>
      <c r="AQ84" s="589"/>
      <c r="AR84" s="589"/>
      <c r="AS84" s="589"/>
      <c r="AT84" s="589"/>
      <c r="AU84" s="589"/>
      <c r="AV84" s="589"/>
      <c r="AW84" s="589"/>
      <c r="AX84" s="589"/>
      <c r="AY84" s="589"/>
      <c r="AZ84" s="589"/>
      <c r="BA84" s="589"/>
      <c r="BB84" s="589"/>
      <c r="BC84" s="589"/>
      <c r="BD84" s="589"/>
      <c r="BE84" s="589"/>
      <c r="BF84" s="589"/>
      <c r="BG84" s="589"/>
      <c r="BH84" s="589"/>
      <c r="BI84" s="589"/>
      <c r="BJ84" s="589"/>
      <c r="BK84" s="589"/>
      <c r="BL84" s="589"/>
    </row>
    <row r="85" spans="1:64" ht="14.25" customHeight="1">
      <c r="A85" s="691" t="s">
        <v>422</v>
      </c>
      <c r="B85" s="589"/>
      <c r="C85" s="589"/>
      <c r="D85" s="589"/>
      <c r="E85" s="589"/>
      <c r="F85" s="591">
        <v>84</v>
      </c>
      <c r="G85" s="691" t="s">
        <v>207</v>
      </c>
      <c r="H85" s="691" t="s">
        <v>187</v>
      </c>
      <c r="I85" s="691" t="s">
        <v>137</v>
      </c>
      <c r="J85" s="691" t="s">
        <v>147</v>
      </c>
      <c r="K85" s="691" t="s">
        <v>217</v>
      </c>
      <c r="L85" s="691" t="s">
        <v>177</v>
      </c>
      <c r="M85" s="691" t="s">
        <v>237</v>
      </c>
      <c r="N85" s="691" t="s">
        <v>227</v>
      </c>
      <c r="O85" s="589"/>
      <c r="P85" s="717" cm="1">
        <f t="array" ref="P85">F85</f>
        <v>84</v>
      </c>
      <c r="Q85" s="620" t="str" cm="1">
        <f t="array" ref="Q85">RIGHT(G85,1)</f>
        <v>I</v>
      </c>
      <c r="R85" s="590" t="str" cm="1">
        <f t="array" ref="R85">RIGHT(H85,1)</f>
        <v>G</v>
      </c>
      <c r="S85" s="590" t="str" cm="1">
        <f t="array" ref="S85">RIGHT(I85,1)</f>
        <v>B</v>
      </c>
      <c r="T85" s="590" t="str" cm="1">
        <f t="array" ref="T85">RIGHT(J85,1)</f>
        <v>C</v>
      </c>
      <c r="U85" s="590" t="str" cm="1">
        <f t="array" ref="U85">RIGHT(K85,1)</f>
        <v>J</v>
      </c>
      <c r="V85" s="590" t="str" cm="1">
        <f t="array" ref="V85">RIGHT(L85,1)</f>
        <v>F</v>
      </c>
      <c r="W85" s="590" t="str" cm="1">
        <f t="array" ref="W85">RIGHT(M85,1)</f>
        <v>L</v>
      </c>
      <c r="X85" s="590" t="str" cm="1">
        <f t="array" ref="X85">RIGHT(N85,1)</f>
        <v>K</v>
      </c>
      <c r="Y85" s="708" cm="1">
        <f t="array" ref="Y85">COUNTIF($AA$2:$AA$9,Q85)+COUNTIF($AA$2:$AA$9,R85)+COUNTIF($AA$2:$AA$9,S85)+COUNTIF($AA$2:$AA$9,T85)+COUNTIF($AA$2:$AA$9,U85)+COUNTIF($AA$2:$AA$9,V85)+COUNTIF($AA$2:$AA$9,W85)+COUNTIF($AA$2:$AA$9,X85)</f>
        <v>5</v>
      </c>
      <c r="Z85" s="589"/>
      <c r="AA85" s="589"/>
      <c r="AB85" s="589"/>
      <c r="AC85" s="589"/>
      <c r="AD85" s="589"/>
      <c r="AE85" s="589"/>
      <c r="AF85" s="589"/>
      <c r="AG85" s="589"/>
      <c r="AH85" s="589"/>
      <c r="AI85" s="589"/>
      <c r="AJ85" s="589"/>
      <c r="AK85" s="589"/>
      <c r="AL85" s="589"/>
      <c r="AM85" s="589"/>
      <c r="AN85" s="589"/>
      <c r="AO85" s="589"/>
      <c r="AP85" s="589"/>
      <c r="AQ85" s="589"/>
      <c r="AR85" s="589"/>
      <c r="AS85" s="589"/>
      <c r="AT85" s="589"/>
      <c r="AU85" s="589"/>
      <c r="AV85" s="589"/>
      <c r="AW85" s="589"/>
      <c r="AX85" s="589"/>
      <c r="AY85" s="589"/>
      <c r="AZ85" s="589"/>
      <c r="BA85" s="589"/>
      <c r="BB85" s="589"/>
      <c r="BC85" s="589"/>
      <c r="BD85" s="589"/>
      <c r="BE85" s="589"/>
      <c r="BF85" s="589"/>
      <c r="BG85" s="589"/>
      <c r="BH85" s="589"/>
      <c r="BI85" s="589"/>
      <c r="BJ85" s="589"/>
      <c r="BK85" s="589"/>
      <c r="BL85" s="589"/>
    </row>
    <row r="86" spans="1:64" ht="14.25" customHeight="1">
      <c r="A86" s="691" t="s">
        <v>423</v>
      </c>
      <c r="B86" s="589"/>
      <c r="C86" s="589"/>
      <c r="D86" s="589"/>
      <c r="E86" s="589"/>
      <c r="F86" s="591">
        <v>85</v>
      </c>
      <c r="G86" s="691" t="s">
        <v>197</v>
      </c>
      <c r="H86" s="691" t="s">
        <v>187</v>
      </c>
      <c r="I86" s="691" t="s">
        <v>137</v>
      </c>
      <c r="J86" s="691" t="s">
        <v>147</v>
      </c>
      <c r="K86" s="691" t="s">
        <v>217</v>
      </c>
      <c r="L86" s="691" t="s">
        <v>177</v>
      </c>
      <c r="M86" s="691" t="s">
        <v>237</v>
      </c>
      <c r="N86" s="691" t="s">
        <v>227</v>
      </c>
      <c r="O86" s="589"/>
      <c r="P86" s="717" cm="1">
        <f t="array" ref="P86">F86</f>
        <v>85</v>
      </c>
      <c r="Q86" s="620" t="str" cm="1">
        <f t="array" ref="Q86">RIGHT(G86,1)</f>
        <v>H</v>
      </c>
      <c r="R86" s="590" t="str" cm="1">
        <f t="array" ref="R86">RIGHT(H86,1)</f>
        <v>G</v>
      </c>
      <c r="S86" s="590" t="str" cm="1">
        <f t="array" ref="S86">RIGHT(I86,1)</f>
        <v>B</v>
      </c>
      <c r="T86" s="590" t="str" cm="1">
        <f t="array" ref="T86">RIGHT(J86,1)</f>
        <v>C</v>
      </c>
      <c r="U86" s="590" t="str" cm="1">
        <f t="array" ref="U86">RIGHT(K86,1)</f>
        <v>J</v>
      </c>
      <c r="V86" s="590" t="str" cm="1">
        <f t="array" ref="V86">RIGHT(L86,1)</f>
        <v>F</v>
      </c>
      <c r="W86" s="590" t="str" cm="1">
        <f t="array" ref="W86">RIGHT(M86,1)</f>
        <v>L</v>
      </c>
      <c r="X86" s="590" t="str" cm="1">
        <f t="array" ref="X86">RIGHT(N86,1)</f>
        <v>K</v>
      </c>
      <c r="Y86" s="708" cm="1">
        <f t="array" ref="Y86">COUNTIF($AA$2:$AA$9,Q86)+COUNTIF($AA$2:$AA$9,R86)+COUNTIF($AA$2:$AA$9,S86)+COUNTIF($AA$2:$AA$9,T86)+COUNTIF($AA$2:$AA$9,U86)+COUNTIF($AA$2:$AA$9,V86)+COUNTIF($AA$2:$AA$9,W86)+COUNTIF($AA$2:$AA$9,X86)</f>
        <v>4</v>
      </c>
      <c r="Z86" s="589"/>
      <c r="AA86" s="589"/>
      <c r="AB86" s="589"/>
      <c r="AC86" s="589"/>
      <c r="AD86" s="589"/>
      <c r="AE86" s="589"/>
      <c r="AF86" s="589"/>
      <c r="AG86" s="589"/>
      <c r="AH86" s="589"/>
      <c r="AI86" s="589"/>
      <c r="AJ86" s="589"/>
      <c r="AK86" s="589"/>
      <c r="AL86" s="589"/>
      <c r="AM86" s="589"/>
      <c r="AN86" s="589"/>
      <c r="AO86" s="589"/>
      <c r="AP86" s="589"/>
      <c r="AQ86" s="589"/>
      <c r="AR86" s="589"/>
      <c r="AS86" s="589"/>
      <c r="AT86" s="589"/>
      <c r="AU86" s="589"/>
      <c r="AV86" s="589"/>
      <c r="AW86" s="589"/>
      <c r="AX86" s="589"/>
      <c r="AY86" s="589"/>
      <c r="AZ86" s="589"/>
      <c r="BA86" s="589"/>
      <c r="BB86" s="589"/>
      <c r="BC86" s="589"/>
      <c r="BD86" s="589"/>
      <c r="BE86" s="589"/>
      <c r="BF86" s="589"/>
      <c r="BG86" s="589"/>
      <c r="BH86" s="589"/>
      <c r="BI86" s="589"/>
      <c r="BJ86" s="589"/>
      <c r="BK86" s="589"/>
      <c r="BL86" s="589"/>
    </row>
    <row r="87" spans="1:64" ht="14.25" customHeight="1">
      <c r="A87" s="691" t="s">
        <v>424</v>
      </c>
      <c r="B87" s="589"/>
      <c r="C87" s="589"/>
      <c r="D87" s="589"/>
      <c r="E87" s="589"/>
      <c r="F87" s="591">
        <v>86</v>
      </c>
      <c r="G87" s="691" t="s">
        <v>197</v>
      </c>
      <c r="H87" s="691" t="s">
        <v>187</v>
      </c>
      <c r="I87" s="691" t="s">
        <v>137</v>
      </c>
      <c r="J87" s="691" t="s">
        <v>147</v>
      </c>
      <c r="K87" s="691" t="s">
        <v>207</v>
      </c>
      <c r="L87" s="691" t="s">
        <v>177</v>
      </c>
      <c r="M87" s="691" t="s">
        <v>237</v>
      </c>
      <c r="N87" s="691" t="s">
        <v>227</v>
      </c>
      <c r="O87" s="589"/>
      <c r="P87" s="717" cm="1">
        <f t="array" ref="P87">F87</f>
        <v>86</v>
      </c>
      <c r="Q87" s="620" t="str" cm="1">
        <f t="array" ref="Q87">RIGHT(G87,1)</f>
        <v>H</v>
      </c>
      <c r="R87" s="590" t="str" cm="1">
        <f t="array" ref="R87">RIGHT(H87,1)</f>
        <v>G</v>
      </c>
      <c r="S87" s="590" t="str" cm="1">
        <f t="array" ref="S87">RIGHT(I87,1)</f>
        <v>B</v>
      </c>
      <c r="T87" s="590" t="str" cm="1">
        <f t="array" ref="T87">RIGHT(J87,1)</f>
        <v>C</v>
      </c>
      <c r="U87" s="590" t="str" cm="1">
        <f t="array" ref="U87">RIGHT(K87,1)</f>
        <v>I</v>
      </c>
      <c r="V87" s="590" t="str" cm="1">
        <f t="array" ref="V87">RIGHT(L87,1)</f>
        <v>F</v>
      </c>
      <c r="W87" s="590" t="str" cm="1">
        <f t="array" ref="W87">RIGHT(M87,1)</f>
        <v>L</v>
      </c>
      <c r="X87" s="590" t="str" cm="1">
        <f t="array" ref="X87">RIGHT(N87,1)</f>
        <v>K</v>
      </c>
      <c r="Y87" s="708" cm="1">
        <f t="array" ref="Y87">COUNTIF($AA$2:$AA$9,Q87)+COUNTIF($AA$2:$AA$9,R87)+COUNTIF($AA$2:$AA$9,S87)+COUNTIF($AA$2:$AA$9,T87)+COUNTIF($AA$2:$AA$9,U87)+COUNTIF($AA$2:$AA$9,V87)+COUNTIF($AA$2:$AA$9,W87)+COUNTIF($AA$2:$AA$9,X87)</f>
        <v>4</v>
      </c>
      <c r="Z87" s="589"/>
      <c r="AA87" s="589"/>
      <c r="AB87" s="589"/>
      <c r="AC87" s="589"/>
      <c r="AD87" s="589"/>
      <c r="AE87" s="589"/>
      <c r="AF87" s="589"/>
      <c r="AG87" s="589"/>
      <c r="AH87" s="589"/>
      <c r="AI87" s="589"/>
      <c r="AJ87" s="589"/>
      <c r="AK87" s="589"/>
      <c r="AL87" s="589"/>
      <c r="AM87" s="589"/>
      <c r="AN87" s="589"/>
      <c r="AO87" s="589"/>
      <c r="AP87" s="589"/>
      <c r="AQ87" s="589"/>
      <c r="AR87" s="589"/>
      <c r="AS87" s="589"/>
      <c r="AT87" s="589"/>
      <c r="AU87" s="589"/>
      <c r="AV87" s="589"/>
      <c r="AW87" s="589"/>
      <c r="AX87" s="589"/>
      <c r="AY87" s="589"/>
      <c r="AZ87" s="589"/>
      <c r="BA87" s="589"/>
      <c r="BB87" s="589"/>
      <c r="BC87" s="589"/>
      <c r="BD87" s="589"/>
      <c r="BE87" s="589"/>
      <c r="BF87" s="589"/>
      <c r="BG87" s="589"/>
      <c r="BH87" s="589"/>
      <c r="BI87" s="589"/>
      <c r="BJ87" s="589"/>
      <c r="BK87" s="589"/>
      <c r="BL87" s="589"/>
    </row>
    <row r="88" spans="1:64" ht="14.25" customHeight="1">
      <c r="A88" s="691" t="s">
        <v>425</v>
      </c>
      <c r="B88" s="589"/>
      <c r="C88" s="589"/>
      <c r="D88" s="589"/>
      <c r="E88" s="589"/>
      <c r="F88" s="591">
        <v>87</v>
      </c>
      <c r="G88" s="691" t="s">
        <v>197</v>
      </c>
      <c r="H88" s="691" t="s">
        <v>187</v>
      </c>
      <c r="I88" s="691" t="s">
        <v>137</v>
      </c>
      <c r="J88" s="691" t="s">
        <v>147</v>
      </c>
      <c r="K88" s="691" t="s">
        <v>217</v>
      </c>
      <c r="L88" s="691" t="s">
        <v>177</v>
      </c>
      <c r="M88" s="691" t="s">
        <v>237</v>
      </c>
      <c r="N88" s="691" t="s">
        <v>207</v>
      </c>
      <c r="O88" s="589"/>
      <c r="P88" s="717" cm="1">
        <f t="array" ref="P88">F88</f>
        <v>87</v>
      </c>
      <c r="Q88" s="620" t="str" cm="1">
        <f t="array" ref="Q88">RIGHT(G88,1)</f>
        <v>H</v>
      </c>
      <c r="R88" s="590" t="str" cm="1">
        <f t="array" ref="R88">RIGHT(H88,1)</f>
        <v>G</v>
      </c>
      <c r="S88" s="590" t="str" cm="1">
        <f t="array" ref="S88">RIGHT(I88,1)</f>
        <v>B</v>
      </c>
      <c r="T88" s="590" t="str" cm="1">
        <f t="array" ref="T88">RIGHT(J88,1)</f>
        <v>C</v>
      </c>
      <c r="U88" s="590" t="str" cm="1">
        <f t="array" ref="U88">RIGHT(K88,1)</f>
        <v>J</v>
      </c>
      <c r="V88" s="590" t="str" cm="1">
        <f t="array" ref="V88">RIGHT(L88,1)</f>
        <v>F</v>
      </c>
      <c r="W88" s="590" t="str" cm="1">
        <f t="array" ref="W88">RIGHT(M88,1)</f>
        <v>L</v>
      </c>
      <c r="X88" s="590" t="str" cm="1">
        <f t="array" ref="X88">RIGHT(N88,1)</f>
        <v>I</v>
      </c>
      <c r="Y88" s="708" cm="1">
        <f t="array" ref="Y88">COUNTIF($AA$2:$AA$9,Q88)+COUNTIF($AA$2:$AA$9,R88)+COUNTIF($AA$2:$AA$9,S88)+COUNTIF($AA$2:$AA$9,T88)+COUNTIF($AA$2:$AA$9,U88)+COUNTIF($AA$2:$AA$9,V88)+COUNTIF($AA$2:$AA$9,W88)+COUNTIF($AA$2:$AA$9,X88)</f>
        <v>5</v>
      </c>
      <c r="Z88" s="589"/>
      <c r="AA88" s="589"/>
      <c r="AB88" s="589"/>
      <c r="AC88" s="589"/>
      <c r="AD88" s="589"/>
      <c r="AE88" s="589"/>
      <c r="AF88" s="589"/>
      <c r="AG88" s="589"/>
      <c r="AH88" s="589"/>
      <c r="AI88" s="589"/>
      <c r="AJ88" s="589"/>
      <c r="AK88" s="589"/>
      <c r="AL88" s="589"/>
      <c r="AM88" s="589"/>
      <c r="AN88" s="589"/>
      <c r="AO88" s="589"/>
      <c r="AP88" s="589"/>
      <c r="AQ88" s="589"/>
      <c r="AR88" s="589"/>
      <c r="AS88" s="589"/>
      <c r="AT88" s="589"/>
      <c r="AU88" s="589"/>
      <c r="AV88" s="589"/>
      <c r="AW88" s="589"/>
      <c r="AX88" s="589"/>
      <c r="AY88" s="589"/>
      <c r="AZ88" s="589"/>
      <c r="BA88" s="589"/>
      <c r="BB88" s="589"/>
      <c r="BC88" s="589"/>
      <c r="BD88" s="589"/>
      <c r="BE88" s="589"/>
      <c r="BF88" s="589"/>
      <c r="BG88" s="589"/>
      <c r="BH88" s="589"/>
      <c r="BI88" s="589"/>
      <c r="BJ88" s="589"/>
      <c r="BK88" s="589"/>
      <c r="BL88" s="589"/>
    </row>
    <row r="89" spans="1:64" ht="14.25" customHeight="1">
      <c r="A89" s="691" t="s">
        <v>426</v>
      </c>
      <c r="B89" s="589"/>
      <c r="C89" s="589"/>
      <c r="D89" s="589"/>
      <c r="E89" s="589"/>
      <c r="F89" s="591">
        <v>88</v>
      </c>
      <c r="G89" s="691" t="s">
        <v>197</v>
      </c>
      <c r="H89" s="691" t="s">
        <v>187</v>
      </c>
      <c r="I89" s="691" t="s">
        <v>137</v>
      </c>
      <c r="J89" s="691" t="s">
        <v>147</v>
      </c>
      <c r="K89" s="691" t="s">
        <v>217</v>
      </c>
      <c r="L89" s="691" t="s">
        <v>177</v>
      </c>
      <c r="M89" s="691" t="s">
        <v>207</v>
      </c>
      <c r="N89" s="691" t="s">
        <v>227</v>
      </c>
      <c r="O89" s="589"/>
      <c r="P89" s="717" cm="1">
        <f t="array" ref="P89">F89</f>
        <v>88</v>
      </c>
      <c r="Q89" s="620" t="str" cm="1">
        <f t="array" ref="Q89">RIGHT(G89,1)</f>
        <v>H</v>
      </c>
      <c r="R89" s="590" t="str" cm="1">
        <f t="array" ref="R89">RIGHT(H89,1)</f>
        <v>G</v>
      </c>
      <c r="S89" s="590" t="str" cm="1">
        <f t="array" ref="S89">RIGHT(I89,1)</f>
        <v>B</v>
      </c>
      <c r="T89" s="590" t="str" cm="1">
        <f t="array" ref="T89">RIGHT(J89,1)</f>
        <v>C</v>
      </c>
      <c r="U89" s="590" t="str" cm="1">
        <f t="array" ref="U89">RIGHT(K89,1)</f>
        <v>J</v>
      </c>
      <c r="V89" s="590" t="str" cm="1">
        <f t="array" ref="V89">RIGHT(L89,1)</f>
        <v>F</v>
      </c>
      <c r="W89" s="590" t="str" cm="1">
        <f t="array" ref="W89">RIGHT(M89,1)</f>
        <v>I</v>
      </c>
      <c r="X89" s="590" t="str" cm="1">
        <f t="array" ref="X89">RIGHT(N89,1)</f>
        <v>K</v>
      </c>
      <c r="Y89" s="708" cm="1">
        <f t="array" ref="Y89">COUNTIF($AA$2:$AA$9,Q89)+COUNTIF($AA$2:$AA$9,R89)+COUNTIF($AA$2:$AA$9,S89)+COUNTIF($AA$2:$AA$9,T89)+COUNTIF($AA$2:$AA$9,U89)+COUNTIF($AA$2:$AA$9,V89)+COUNTIF($AA$2:$AA$9,W89)+COUNTIF($AA$2:$AA$9,X89)</f>
        <v>4</v>
      </c>
      <c r="Z89" s="589"/>
      <c r="AA89" s="589"/>
      <c r="AB89" s="589"/>
      <c r="AC89" s="589"/>
      <c r="AD89" s="589"/>
      <c r="AE89" s="589"/>
      <c r="AF89" s="589"/>
      <c r="AG89" s="589"/>
      <c r="AH89" s="589"/>
      <c r="AI89" s="589"/>
      <c r="AJ89" s="589"/>
      <c r="AK89" s="589"/>
      <c r="AL89" s="589"/>
      <c r="AM89" s="589"/>
      <c r="AN89" s="589"/>
      <c r="AO89" s="589"/>
      <c r="AP89" s="589"/>
      <c r="AQ89" s="589"/>
      <c r="AR89" s="589"/>
      <c r="AS89" s="589"/>
      <c r="AT89" s="589"/>
      <c r="AU89" s="589"/>
      <c r="AV89" s="589"/>
      <c r="AW89" s="589"/>
      <c r="AX89" s="589"/>
      <c r="AY89" s="589"/>
      <c r="AZ89" s="589"/>
      <c r="BA89" s="589"/>
      <c r="BB89" s="589"/>
      <c r="BC89" s="589"/>
      <c r="BD89" s="589"/>
      <c r="BE89" s="589"/>
      <c r="BF89" s="589"/>
      <c r="BG89" s="589"/>
      <c r="BH89" s="589"/>
      <c r="BI89" s="589"/>
      <c r="BJ89" s="589"/>
      <c r="BK89" s="589"/>
      <c r="BL89" s="589"/>
    </row>
    <row r="90" spans="1:64" ht="14.25" customHeight="1">
      <c r="A90" s="691" t="s">
        <v>427</v>
      </c>
      <c r="B90" s="589"/>
      <c r="C90" s="589"/>
      <c r="D90" s="589"/>
      <c r="E90" s="589"/>
      <c r="F90" s="591">
        <v>89</v>
      </c>
      <c r="G90" s="691" t="s">
        <v>167</v>
      </c>
      <c r="H90" s="691" t="s">
        <v>217</v>
      </c>
      <c r="I90" s="691" t="s">
        <v>137</v>
      </c>
      <c r="J90" s="691" t="s">
        <v>147</v>
      </c>
      <c r="K90" s="691" t="s">
        <v>207</v>
      </c>
      <c r="L90" s="691" t="s">
        <v>197</v>
      </c>
      <c r="M90" s="691" t="s">
        <v>237</v>
      </c>
      <c r="N90" s="691" t="s">
        <v>227</v>
      </c>
      <c r="O90" s="589"/>
      <c r="P90" s="717" cm="1">
        <f t="array" ref="P90">F90</f>
        <v>89</v>
      </c>
      <c r="Q90" s="620" t="str" cm="1">
        <f t="array" ref="Q90">RIGHT(G90,1)</f>
        <v>E</v>
      </c>
      <c r="R90" s="590" t="str" cm="1">
        <f t="array" ref="R90">RIGHT(H90,1)</f>
        <v>J</v>
      </c>
      <c r="S90" s="590" t="str" cm="1">
        <f t="array" ref="S90">RIGHT(I90,1)</f>
        <v>B</v>
      </c>
      <c r="T90" s="590" t="str" cm="1">
        <f t="array" ref="T90">RIGHT(J90,1)</f>
        <v>C</v>
      </c>
      <c r="U90" s="590" t="str" cm="1">
        <f t="array" ref="U90">RIGHT(K90,1)</f>
        <v>I</v>
      </c>
      <c r="V90" s="590" t="str" cm="1">
        <f t="array" ref="V90">RIGHT(L90,1)</f>
        <v>H</v>
      </c>
      <c r="W90" s="590" t="str" cm="1">
        <f t="array" ref="W90">RIGHT(M90,1)</f>
        <v>L</v>
      </c>
      <c r="X90" s="590" t="str" cm="1">
        <f t="array" ref="X90">RIGHT(N90,1)</f>
        <v>K</v>
      </c>
      <c r="Y90" s="708" cm="1">
        <f t="array" ref="Y90">COUNTIF($AA$2:$AA$9,Q90)+COUNTIF($AA$2:$AA$9,R90)+COUNTIF($AA$2:$AA$9,S90)+COUNTIF($AA$2:$AA$9,T90)+COUNTIF($AA$2:$AA$9,U90)+COUNTIF($AA$2:$AA$9,V90)+COUNTIF($AA$2:$AA$9,W90)+COUNTIF($AA$2:$AA$9,X90)</f>
        <v>5</v>
      </c>
      <c r="Z90" s="589"/>
      <c r="AA90" s="589"/>
      <c r="AB90" s="589"/>
      <c r="AC90" s="589"/>
      <c r="AD90" s="589"/>
      <c r="AE90" s="589"/>
      <c r="AF90" s="589"/>
      <c r="AG90" s="589"/>
      <c r="AH90" s="589"/>
      <c r="AI90" s="589"/>
      <c r="AJ90" s="589"/>
      <c r="AK90" s="589"/>
      <c r="AL90" s="589"/>
      <c r="AM90" s="589"/>
      <c r="AN90" s="589"/>
      <c r="AO90" s="589"/>
      <c r="AP90" s="589"/>
      <c r="AQ90" s="589"/>
      <c r="AR90" s="589"/>
      <c r="AS90" s="589"/>
      <c r="AT90" s="589"/>
      <c r="AU90" s="589"/>
      <c r="AV90" s="589"/>
      <c r="AW90" s="589"/>
      <c r="AX90" s="589"/>
      <c r="AY90" s="589"/>
      <c r="AZ90" s="589"/>
      <c r="BA90" s="589"/>
      <c r="BB90" s="589"/>
      <c r="BC90" s="589"/>
      <c r="BD90" s="589"/>
      <c r="BE90" s="589"/>
      <c r="BF90" s="589"/>
      <c r="BG90" s="589"/>
      <c r="BH90" s="589"/>
      <c r="BI90" s="589"/>
      <c r="BJ90" s="589"/>
      <c r="BK90" s="589"/>
      <c r="BL90" s="589"/>
    </row>
    <row r="91" spans="1:64" ht="14.25" customHeight="1">
      <c r="A91" s="691" t="s">
        <v>428</v>
      </c>
      <c r="B91" s="589"/>
      <c r="C91" s="589"/>
      <c r="D91" s="589"/>
      <c r="E91" s="589"/>
      <c r="F91" s="591">
        <v>90</v>
      </c>
      <c r="G91" s="691" t="s">
        <v>167</v>
      </c>
      <c r="H91" s="691" t="s">
        <v>217</v>
      </c>
      <c r="I91" s="691" t="s">
        <v>137</v>
      </c>
      <c r="J91" s="691" t="s">
        <v>147</v>
      </c>
      <c r="K91" s="691" t="s">
        <v>207</v>
      </c>
      <c r="L91" s="691" t="s">
        <v>187</v>
      </c>
      <c r="M91" s="691" t="s">
        <v>237</v>
      </c>
      <c r="N91" s="691" t="s">
        <v>227</v>
      </c>
      <c r="O91" s="589"/>
      <c r="P91" s="717" cm="1">
        <f t="array" ref="P91">F91</f>
        <v>90</v>
      </c>
      <c r="Q91" s="620" t="str" cm="1">
        <f t="array" ref="Q91">RIGHT(G91,1)</f>
        <v>E</v>
      </c>
      <c r="R91" s="590" t="str" cm="1">
        <f t="array" ref="R91">RIGHT(H91,1)</f>
        <v>J</v>
      </c>
      <c r="S91" s="590" t="str" cm="1">
        <f t="array" ref="S91">RIGHT(I91,1)</f>
        <v>B</v>
      </c>
      <c r="T91" s="590" t="str" cm="1">
        <f t="array" ref="T91">RIGHT(J91,1)</f>
        <v>C</v>
      </c>
      <c r="U91" s="590" t="str" cm="1">
        <f t="array" ref="U91">RIGHT(K91,1)</f>
        <v>I</v>
      </c>
      <c r="V91" s="590" t="str" cm="1">
        <f t="array" ref="V91">RIGHT(L91,1)</f>
        <v>G</v>
      </c>
      <c r="W91" s="590" t="str" cm="1">
        <f t="array" ref="W91">RIGHT(M91,1)</f>
        <v>L</v>
      </c>
      <c r="X91" s="590" t="str" cm="1">
        <f t="array" ref="X91">RIGHT(N91,1)</f>
        <v>K</v>
      </c>
      <c r="Y91" s="708" cm="1">
        <f t="array" ref="Y91">COUNTIF($AA$2:$AA$9,Q91)+COUNTIF($AA$2:$AA$9,R91)+COUNTIF($AA$2:$AA$9,S91)+COUNTIF($AA$2:$AA$9,T91)+COUNTIF($AA$2:$AA$9,U91)+COUNTIF($AA$2:$AA$9,V91)+COUNTIF($AA$2:$AA$9,W91)+COUNTIF($AA$2:$AA$9,X91)</f>
        <v>5</v>
      </c>
      <c r="Z91" s="589"/>
      <c r="AA91" s="589"/>
      <c r="AB91" s="589"/>
      <c r="AC91" s="589"/>
      <c r="AD91" s="589"/>
      <c r="AE91" s="589"/>
      <c r="AF91" s="589"/>
      <c r="AG91" s="589"/>
      <c r="AH91" s="589"/>
      <c r="AI91" s="589"/>
      <c r="AJ91" s="589"/>
      <c r="AK91" s="589"/>
      <c r="AL91" s="589"/>
      <c r="AM91" s="589"/>
      <c r="AN91" s="589"/>
      <c r="AO91" s="589"/>
      <c r="AP91" s="589"/>
      <c r="AQ91" s="589"/>
      <c r="AR91" s="589"/>
      <c r="AS91" s="589"/>
      <c r="AT91" s="589"/>
      <c r="AU91" s="589"/>
      <c r="AV91" s="589"/>
      <c r="AW91" s="589"/>
      <c r="AX91" s="589"/>
      <c r="AY91" s="589"/>
      <c r="AZ91" s="589"/>
      <c r="BA91" s="589"/>
      <c r="BB91" s="589"/>
      <c r="BC91" s="589"/>
      <c r="BD91" s="589"/>
      <c r="BE91" s="589"/>
      <c r="BF91" s="589"/>
      <c r="BG91" s="589"/>
      <c r="BH91" s="589"/>
      <c r="BI91" s="589"/>
      <c r="BJ91" s="589"/>
      <c r="BK91" s="589"/>
      <c r="BL91" s="589"/>
    </row>
    <row r="92" spans="1:64" ht="14.25" customHeight="1">
      <c r="A92" s="691" t="s">
        <v>429</v>
      </c>
      <c r="B92" s="589"/>
      <c r="C92" s="589"/>
      <c r="D92" s="589"/>
      <c r="E92" s="589"/>
      <c r="F92" s="591">
        <v>91</v>
      </c>
      <c r="G92" s="691" t="s">
        <v>167</v>
      </c>
      <c r="H92" s="691" t="s">
        <v>217</v>
      </c>
      <c r="I92" s="691" t="s">
        <v>137</v>
      </c>
      <c r="J92" s="691" t="s">
        <v>147</v>
      </c>
      <c r="K92" s="691" t="s">
        <v>197</v>
      </c>
      <c r="L92" s="691" t="s">
        <v>187</v>
      </c>
      <c r="M92" s="691" t="s">
        <v>237</v>
      </c>
      <c r="N92" s="691" t="s">
        <v>227</v>
      </c>
      <c r="O92" s="589"/>
      <c r="P92" s="717" cm="1">
        <f t="array" ref="P92">F92</f>
        <v>91</v>
      </c>
      <c r="Q92" s="620" t="str" cm="1">
        <f t="array" ref="Q92">RIGHT(G92,1)</f>
        <v>E</v>
      </c>
      <c r="R92" s="590" t="str" cm="1">
        <f t="array" ref="R92">RIGHT(H92,1)</f>
        <v>J</v>
      </c>
      <c r="S92" s="590" t="str" cm="1">
        <f t="array" ref="S92">RIGHT(I92,1)</f>
        <v>B</v>
      </c>
      <c r="T92" s="590" t="str" cm="1">
        <f t="array" ref="T92">RIGHT(J92,1)</f>
        <v>C</v>
      </c>
      <c r="U92" s="590" t="str" cm="1">
        <f t="array" ref="U92">RIGHT(K92,1)</f>
        <v>H</v>
      </c>
      <c r="V92" s="590" t="str" cm="1">
        <f t="array" ref="V92">RIGHT(L92,1)</f>
        <v>G</v>
      </c>
      <c r="W92" s="590" t="str" cm="1">
        <f t="array" ref="W92">RIGHT(M92,1)</f>
        <v>L</v>
      </c>
      <c r="X92" s="590" t="str" cm="1">
        <f t="array" ref="X92">RIGHT(N92,1)</f>
        <v>K</v>
      </c>
      <c r="Y92" s="708" cm="1">
        <f t="array" ref="Y92">COUNTIF($AA$2:$AA$9,Q92)+COUNTIF($AA$2:$AA$9,R92)+COUNTIF($AA$2:$AA$9,S92)+COUNTIF($AA$2:$AA$9,T92)+COUNTIF($AA$2:$AA$9,U92)+COUNTIF($AA$2:$AA$9,V92)+COUNTIF($AA$2:$AA$9,W92)+COUNTIF($AA$2:$AA$9,X92)</f>
        <v>4</v>
      </c>
      <c r="Z92" s="589"/>
      <c r="AA92" s="589"/>
      <c r="AB92" s="589"/>
      <c r="AC92" s="589"/>
      <c r="AD92" s="589"/>
      <c r="AE92" s="589"/>
      <c r="AF92" s="589"/>
      <c r="AG92" s="589"/>
      <c r="AH92" s="589"/>
      <c r="AI92" s="589"/>
      <c r="AJ92" s="589"/>
      <c r="AK92" s="589"/>
      <c r="AL92" s="589"/>
      <c r="AM92" s="589"/>
      <c r="AN92" s="589"/>
      <c r="AO92" s="589"/>
      <c r="AP92" s="589"/>
      <c r="AQ92" s="589"/>
      <c r="AR92" s="589"/>
      <c r="AS92" s="589"/>
      <c r="AT92" s="589"/>
      <c r="AU92" s="589"/>
      <c r="AV92" s="589"/>
      <c r="AW92" s="589"/>
      <c r="AX92" s="589"/>
      <c r="AY92" s="589"/>
      <c r="AZ92" s="589"/>
      <c r="BA92" s="589"/>
      <c r="BB92" s="589"/>
      <c r="BC92" s="589"/>
      <c r="BD92" s="589"/>
      <c r="BE92" s="589"/>
      <c r="BF92" s="589"/>
      <c r="BG92" s="589"/>
      <c r="BH92" s="589"/>
      <c r="BI92" s="589"/>
      <c r="BJ92" s="589"/>
      <c r="BK92" s="589"/>
      <c r="BL92" s="589"/>
    </row>
    <row r="93" spans="1:64" ht="14.25" customHeight="1">
      <c r="A93" s="691" t="s">
        <v>430</v>
      </c>
      <c r="B93" s="589"/>
      <c r="C93" s="589"/>
      <c r="D93" s="589"/>
      <c r="E93" s="589"/>
      <c r="F93" s="591">
        <v>92</v>
      </c>
      <c r="G93" s="691" t="s">
        <v>167</v>
      </c>
      <c r="H93" s="691" t="s">
        <v>187</v>
      </c>
      <c r="I93" s="691" t="s">
        <v>137</v>
      </c>
      <c r="J93" s="691" t="s">
        <v>147</v>
      </c>
      <c r="K93" s="691" t="s">
        <v>207</v>
      </c>
      <c r="L93" s="691" t="s">
        <v>197</v>
      </c>
      <c r="M93" s="691" t="s">
        <v>237</v>
      </c>
      <c r="N93" s="691" t="s">
        <v>227</v>
      </c>
      <c r="O93" s="589"/>
      <c r="P93" s="717" cm="1">
        <f t="array" ref="P93">F93</f>
        <v>92</v>
      </c>
      <c r="Q93" s="620" t="str" cm="1">
        <f t="array" ref="Q93">RIGHT(G93,1)</f>
        <v>E</v>
      </c>
      <c r="R93" s="590" t="str" cm="1">
        <f t="array" ref="R93">RIGHT(H93,1)</f>
        <v>G</v>
      </c>
      <c r="S93" s="590" t="str" cm="1">
        <f t="array" ref="S93">RIGHT(I93,1)</f>
        <v>B</v>
      </c>
      <c r="T93" s="590" t="str" cm="1">
        <f t="array" ref="T93">RIGHT(J93,1)</f>
        <v>C</v>
      </c>
      <c r="U93" s="590" t="str" cm="1">
        <f t="array" ref="U93">RIGHT(K93,1)</f>
        <v>I</v>
      </c>
      <c r="V93" s="590" t="str" cm="1">
        <f t="array" ref="V93">RIGHT(L93,1)</f>
        <v>H</v>
      </c>
      <c r="W93" s="590" t="str" cm="1">
        <f t="array" ref="W93">RIGHT(M93,1)</f>
        <v>L</v>
      </c>
      <c r="X93" s="590" t="str" cm="1">
        <f t="array" ref="X93">RIGHT(N93,1)</f>
        <v>K</v>
      </c>
      <c r="Y93" s="708" cm="1">
        <f t="array" ref="Y93">COUNTIF($AA$2:$AA$9,Q93)+COUNTIF($AA$2:$AA$9,R93)+COUNTIF($AA$2:$AA$9,S93)+COUNTIF($AA$2:$AA$9,T93)+COUNTIF($AA$2:$AA$9,U93)+COUNTIF($AA$2:$AA$9,V93)+COUNTIF($AA$2:$AA$9,W93)+COUNTIF($AA$2:$AA$9,X93)</f>
        <v>4</v>
      </c>
      <c r="Z93" s="589"/>
      <c r="AA93" s="589"/>
      <c r="AB93" s="589"/>
      <c r="AC93" s="589"/>
      <c r="AD93" s="589"/>
      <c r="AE93" s="589"/>
      <c r="AF93" s="589"/>
      <c r="AG93" s="589"/>
      <c r="AH93" s="589"/>
      <c r="AI93" s="589"/>
      <c r="AJ93" s="589"/>
      <c r="AK93" s="589"/>
      <c r="AL93" s="589"/>
      <c r="AM93" s="589"/>
      <c r="AN93" s="589"/>
      <c r="AO93" s="589"/>
      <c r="AP93" s="589"/>
      <c r="AQ93" s="589"/>
      <c r="AR93" s="589"/>
      <c r="AS93" s="589"/>
      <c r="AT93" s="589"/>
      <c r="AU93" s="589"/>
      <c r="AV93" s="589"/>
      <c r="AW93" s="589"/>
      <c r="AX93" s="589"/>
      <c r="AY93" s="589"/>
      <c r="AZ93" s="589"/>
      <c r="BA93" s="589"/>
      <c r="BB93" s="589"/>
      <c r="BC93" s="589"/>
      <c r="BD93" s="589"/>
      <c r="BE93" s="589"/>
      <c r="BF93" s="589"/>
      <c r="BG93" s="589"/>
      <c r="BH93" s="589"/>
      <c r="BI93" s="589"/>
      <c r="BJ93" s="589"/>
      <c r="BK93" s="589"/>
      <c r="BL93" s="589"/>
    </row>
    <row r="94" spans="1:64" ht="14.25" customHeight="1">
      <c r="A94" s="691" t="s">
        <v>431</v>
      </c>
      <c r="B94" s="589"/>
      <c r="C94" s="589"/>
      <c r="D94" s="589"/>
      <c r="E94" s="589"/>
      <c r="F94" s="591">
        <v>93</v>
      </c>
      <c r="G94" s="691" t="s">
        <v>167</v>
      </c>
      <c r="H94" s="691" t="s">
        <v>217</v>
      </c>
      <c r="I94" s="691" t="s">
        <v>137</v>
      </c>
      <c r="J94" s="691" t="s">
        <v>147</v>
      </c>
      <c r="K94" s="691" t="s">
        <v>197</v>
      </c>
      <c r="L94" s="691" t="s">
        <v>187</v>
      </c>
      <c r="M94" s="691" t="s">
        <v>237</v>
      </c>
      <c r="N94" s="691" t="s">
        <v>207</v>
      </c>
      <c r="O94" s="589"/>
      <c r="P94" s="717" cm="1">
        <f t="array" ref="P94">F94</f>
        <v>93</v>
      </c>
      <c r="Q94" s="620" t="str" cm="1">
        <f t="array" ref="Q94">RIGHT(G94,1)</f>
        <v>E</v>
      </c>
      <c r="R94" s="590" t="str" cm="1">
        <f t="array" ref="R94">RIGHT(H94,1)</f>
        <v>J</v>
      </c>
      <c r="S94" s="590" t="str" cm="1">
        <f t="array" ref="S94">RIGHT(I94,1)</f>
        <v>B</v>
      </c>
      <c r="T94" s="590" t="str" cm="1">
        <f t="array" ref="T94">RIGHT(J94,1)</f>
        <v>C</v>
      </c>
      <c r="U94" s="590" t="str" cm="1">
        <f t="array" ref="U94">RIGHT(K94,1)</f>
        <v>H</v>
      </c>
      <c r="V94" s="590" t="str" cm="1">
        <f t="array" ref="V94">RIGHT(L94,1)</f>
        <v>G</v>
      </c>
      <c r="W94" s="590" t="str" cm="1">
        <f t="array" ref="W94">RIGHT(M94,1)</f>
        <v>L</v>
      </c>
      <c r="X94" s="590" t="str" cm="1">
        <f t="array" ref="X94">RIGHT(N94,1)</f>
        <v>I</v>
      </c>
      <c r="Y94" s="708" cm="1">
        <f t="array" ref="Y94">COUNTIF($AA$2:$AA$9,Q94)+COUNTIF($AA$2:$AA$9,R94)+COUNTIF($AA$2:$AA$9,S94)+COUNTIF($AA$2:$AA$9,T94)+COUNTIF($AA$2:$AA$9,U94)+COUNTIF($AA$2:$AA$9,V94)+COUNTIF($AA$2:$AA$9,W94)+COUNTIF($AA$2:$AA$9,X94)</f>
        <v>5</v>
      </c>
      <c r="Z94" s="589"/>
      <c r="AA94" s="589"/>
      <c r="AB94" s="589"/>
      <c r="AC94" s="589"/>
      <c r="AD94" s="589"/>
      <c r="AE94" s="589"/>
      <c r="AF94" s="589"/>
      <c r="AG94" s="589"/>
      <c r="AH94" s="589"/>
      <c r="AI94" s="589"/>
      <c r="AJ94" s="589"/>
      <c r="AK94" s="589"/>
      <c r="AL94" s="589"/>
      <c r="AM94" s="589"/>
      <c r="AN94" s="589"/>
      <c r="AO94" s="589"/>
      <c r="AP94" s="589"/>
      <c r="AQ94" s="589"/>
      <c r="AR94" s="589"/>
      <c r="AS94" s="589"/>
      <c r="AT94" s="589"/>
      <c r="AU94" s="589"/>
      <c r="AV94" s="589"/>
      <c r="AW94" s="589"/>
      <c r="AX94" s="589"/>
      <c r="AY94" s="589"/>
      <c r="AZ94" s="589"/>
      <c r="BA94" s="589"/>
      <c r="BB94" s="589"/>
      <c r="BC94" s="589"/>
      <c r="BD94" s="589"/>
      <c r="BE94" s="589"/>
      <c r="BF94" s="589"/>
      <c r="BG94" s="589"/>
      <c r="BH94" s="589"/>
      <c r="BI94" s="589"/>
      <c r="BJ94" s="589"/>
      <c r="BK94" s="589"/>
      <c r="BL94" s="589"/>
    </row>
    <row r="95" spans="1:64" ht="14.25" customHeight="1">
      <c r="A95" s="691" t="s">
        <v>432</v>
      </c>
      <c r="B95" s="589"/>
      <c r="C95" s="589"/>
      <c r="D95" s="589"/>
      <c r="E95" s="589"/>
      <c r="F95" s="591">
        <v>94</v>
      </c>
      <c r="G95" s="691" t="s">
        <v>167</v>
      </c>
      <c r="H95" s="691" t="s">
        <v>217</v>
      </c>
      <c r="I95" s="691" t="s">
        <v>137</v>
      </c>
      <c r="J95" s="691" t="s">
        <v>147</v>
      </c>
      <c r="K95" s="691" t="s">
        <v>197</v>
      </c>
      <c r="L95" s="691" t="s">
        <v>187</v>
      </c>
      <c r="M95" s="691" t="s">
        <v>207</v>
      </c>
      <c r="N95" s="691" t="s">
        <v>227</v>
      </c>
      <c r="O95" s="589"/>
      <c r="P95" s="717" cm="1">
        <f t="array" ref="P95">F95</f>
        <v>94</v>
      </c>
      <c r="Q95" s="620" t="str" cm="1">
        <f t="array" ref="Q95">RIGHT(G95,1)</f>
        <v>E</v>
      </c>
      <c r="R95" s="590" t="str" cm="1">
        <f t="array" ref="R95">RIGHT(H95,1)</f>
        <v>J</v>
      </c>
      <c r="S95" s="590" t="str" cm="1">
        <f t="array" ref="S95">RIGHT(I95,1)</f>
        <v>B</v>
      </c>
      <c r="T95" s="590" t="str" cm="1">
        <f t="array" ref="T95">RIGHT(J95,1)</f>
        <v>C</v>
      </c>
      <c r="U95" s="590" t="str" cm="1">
        <f t="array" ref="U95">RIGHT(K95,1)</f>
        <v>H</v>
      </c>
      <c r="V95" s="590" t="str" cm="1">
        <f t="array" ref="V95">RIGHT(L95,1)</f>
        <v>G</v>
      </c>
      <c r="W95" s="590" t="str" cm="1">
        <f t="array" ref="W95">RIGHT(M95,1)</f>
        <v>I</v>
      </c>
      <c r="X95" s="590" t="str" cm="1">
        <f t="array" ref="X95">RIGHT(N95,1)</f>
        <v>K</v>
      </c>
      <c r="Y95" s="708" cm="1">
        <f t="array" ref="Y95">COUNTIF($AA$2:$AA$9,Q95)+COUNTIF($AA$2:$AA$9,R95)+COUNTIF($AA$2:$AA$9,S95)+COUNTIF($AA$2:$AA$9,T95)+COUNTIF($AA$2:$AA$9,U95)+COUNTIF($AA$2:$AA$9,V95)+COUNTIF($AA$2:$AA$9,W95)+COUNTIF($AA$2:$AA$9,X95)</f>
        <v>4</v>
      </c>
      <c r="Z95" s="589"/>
      <c r="AA95" s="589"/>
      <c r="AB95" s="589"/>
      <c r="AC95" s="589"/>
      <c r="AD95" s="589"/>
      <c r="AE95" s="589"/>
      <c r="AF95" s="589"/>
      <c r="AG95" s="589"/>
      <c r="AH95" s="589"/>
      <c r="AI95" s="589"/>
      <c r="AJ95" s="589"/>
      <c r="AK95" s="589"/>
      <c r="AL95" s="589"/>
      <c r="AM95" s="589"/>
      <c r="AN95" s="589"/>
      <c r="AO95" s="589"/>
      <c r="AP95" s="589"/>
      <c r="AQ95" s="589"/>
      <c r="AR95" s="589"/>
      <c r="AS95" s="589"/>
      <c r="AT95" s="589"/>
      <c r="AU95" s="589"/>
      <c r="AV95" s="589"/>
      <c r="AW95" s="589"/>
      <c r="AX95" s="589"/>
      <c r="AY95" s="589"/>
      <c r="AZ95" s="589"/>
      <c r="BA95" s="589"/>
      <c r="BB95" s="589"/>
      <c r="BC95" s="589"/>
      <c r="BD95" s="589"/>
      <c r="BE95" s="589"/>
      <c r="BF95" s="589"/>
      <c r="BG95" s="589"/>
      <c r="BH95" s="589"/>
      <c r="BI95" s="589"/>
      <c r="BJ95" s="589"/>
      <c r="BK95" s="589"/>
      <c r="BL95" s="589"/>
    </row>
    <row r="96" spans="1:64" ht="14.25" customHeight="1">
      <c r="A96" s="691" t="s">
        <v>433</v>
      </c>
      <c r="B96" s="589"/>
      <c r="C96" s="589"/>
      <c r="D96" s="589"/>
      <c r="E96" s="589"/>
      <c r="F96" s="591">
        <v>95</v>
      </c>
      <c r="G96" s="691" t="s">
        <v>167</v>
      </c>
      <c r="H96" s="691" t="s">
        <v>217</v>
      </c>
      <c r="I96" s="691" t="s">
        <v>137</v>
      </c>
      <c r="J96" s="691" t="s">
        <v>147</v>
      </c>
      <c r="K96" s="691" t="s">
        <v>207</v>
      </c>
      <c r="L96" s="691" t="s">
        <v>177</v>
      </c>
      <c r="M96" s="691" t="s">
        <v>237</v>
      </c>
      <c r="N96" s="691" t="s">
        <v>227</v>
      </c>
      <c r="O96" s="589"/>
      <c r="P96" s="717" cm="1">
        <f t="array" ref="P96">F96</f>
        <v>95</v>
      </c>
      <c r="Q96" s="620" t="str" cm="1">
        <f t="array" ref="Q96">RIGHT(G96,1)</f>
        <v>E</v>
      </c>
      <c r="R96" s="590" t="str" cm="1">
        <f t="array" ref="R96">RIGHT(H96,1)</f>
        <v>J</v>
      </c>
      <c r="S96" s="590" t="str" cm="1">
        <f t="array" ref="S96">RIGHT(I96,1)</f>
        <v>B</v>
      </c>
      <c r="T96" s="590" t="str" cm="1">
        <f t="array" ref="T96">RIGHT(J96,1)</f>
        <v>C</v>
      </c>
      <c r="U96" s="590" t="str" cm="1">
        <f t="array" ref="U96">RIGHT(K96,1)</f>
        <v>I</v>
      </c>
      <c r="V96" s="590" t="str" cm="1">
        <f t="array" ref="V96">RIGHT(L96,1)</f>
        <v>F</v>
      </c>
      <c r="W96" s="590" t="str" cm="1">
        <f t="array" ref="W96">RIGHT(M96,1)</f>
        <v>L</v>
      </c>
      <c r="X96" s="590" t="str" cm="1">
        <f t="array" ref="X96">RIGHT(N96,1)</f>
        <v>K</v>
      </c>
      <c r="Y96" s="708" cm="1">
        <f t="array" ref="Y96">COUNTIF($AA$2:$AA$9,Q96)+COUNTIF($AA$2:$AA$9,R96)+COUNTIF($AA$2:$AA$9,S96)+COUNTIF($AA$2:$AA$9,T96)+COUNTIF($AA$2:$AA$9,U96)+COUNTIF($AA$2:$AA$9,V96)+COUNTIF($AA$2:$AA$9,W96)+COUNTIF($AA$2:$AA$9,X96)</f>
        <v>6</v>
      </c>
      <c r="Z96" s="589"/>
      <c r="AA96" s="589"/>
      <c r="AB96" s="589"/>
      <c r="AC96" s="589"/>
      <c r="AD96" s="589"/>
      <c r="AE96" s="589"/>
      <c r="AF96" s="589"/>
      <c r="AG96" s="589"/>
      <c r="AH96" s="589"/>
      <c r="AI96" s="589"/>
      <c r="AJ96" s="589"/>
      <c r="AK96" s="589"/>
      <c r="AL96" s="589"/>
      <c r="AM96" s="589"/>
      <c r="AN96" s="589"/>
      <c r="AO96" s="589"/>
      <c r="AP96" s="589"/>
      <c r="AQ96" s="589"/>
      <c r="AR96" s="589"/>
      <c r="AS96" s="589"/>
      <c r="AT96" s="589"/>
      <c r="AU96" s="589"/>
      <c r="AV96" s="589"/>
      <c r="AW96" s="589"/>
      <c r="AX96" s="589"/>
      <c r="AY96" s="589"/>
      <c r="AZ96" s="589"/>
      <c r="BA96" s="589"/>
      <c r="BB96" s="589"/>
      <c r="BC96" s="589"/>
      <c r="BD96" s="589"/>
      <c r="BE96" s="589"/>
      <c r="BF96" s="589"/>
      <c r="BG96" s="589"/>
      <c r="BH96" s="589"/>
      <c r="BI96" s="589"/>
      <c r="BJ96" s="589"/>
      <c r="BK96" s="589"/>
      <c r="BL96" s="589"/>
    </row>
    <row r="97" spans="1:64" ht="14.25" customHeight="1">
      <c r="A97" s="691" t="s">
        <v>434</v>
      </c>
      <c r="B97" s="589"/>
      <c r="C97" s="589"/>
      <c r="D97" s="589"/>
      <c r="E97" s="589"/>
      <c r="F97" s="591">
        <v>96</v>
      </c>
      <c r="G97" s="691" t="s">
        <v>167</v>
      </c>
      <c r="H97" s="691" t="s">
        <v>217</v>
      </c>
      <c r="I97" s="691" t="s">
        <v>137</v>
      </c>
      <c r="J97" s="691" t="s">
        <v>147</v>
      </c>
      <c r="K97" s="691" t="s">
        <v>197</v>
      </c>
      <c r="L97" s="691" t="s">
        <v>177</v>
      </c>
      <c r="M97" s="691" t="s">
        <v>237</v>
      </c>
      <c r="N97" s="691" t="s">
        <v>227</v>
      </c>
      <c r="O97" s="589"/>
      <c r="P97" s="717" cm="1">
        <f t="array" ref="P97">F97</f>
        <v>96</v>
      </c>
      <c r="Q97" s="620" t="str" cm="1">
        <f t="array" ref="Q97">RIGHT(G97,1)</f>
        <v>E</v>
      </c>
      <c r="R97" s="590" t="str" cm="1">
        <f t="array" ref="R97">RIGHT(H97,1)</f>
        <v>J</v>
      </c>
      <c r="S97" s="590" t="str" cm="1">
        <f t="array" ref="S97">RIGHT(I97,1)</f>
        <v>B</v>
      </c>
      <c r="T97" s="590" t="str" cm="1">
        <f t="array" ref="T97">RIGHT(J97,1)</f>
        <v>C</v>
      </c>
      <c r="U97" s="590" t="str" cm="1">
        <f t="array" ref="U97">RIGHT(K97,1)</f>
        <v>H</v>
      </c>
      <c r="V97" s="590" t="str" cm="1">
        <f t="array" ref="V97">RIGHT(L97,1)</f>
        <v>F</v>
      </c>
      <c r="W97" s="590" t="str" cm="1">
        <f t="array" ref="W97">RIGHT(M97,1)</f>
        <v>L</v>
      </c>
      <c r="X97" s="590" t="str" cm="1">
        <f t="array" ref="X97">RIGHT(N97,1)</f>
        <v>K</v>
      </c>
      <c r="Y97" s="708" cm="1">
        <f t="array" ref="Y97">COUNTIF($AA$2:$AA$9,Q97)+COUNTIF($AA$2:$AA$9,R97)+COUNTIF($AA$2:$AA$9,S97)+COUNTIF($AA$2:$AA$9,T97)+COUNTIF($AA$2:$AA$9,U97)+COUNTIF($AA$2:$AA$9,V97)+COUNTIF($AA$2:$AA$9,W97)+COUNTIF($AA$2:$AA$9,X97)</f>
        <v>5</v>
      </c>
      <c r="Z97" s="589"/>
      <c r="AA97" s="589"/>
      <c r="AB97" s="589"/>
      <c r="AC97" s="589"/>
      <c r="AD97" s="589"/>
      <c r="AE97" s="589"/>
      <c r="AF97" s="589"/>
      <c r="AG97" s="589"/>
      <c r="AH97" s="589"/>
      <c r="AI97" s="589"/>
      <c r="AJ97" s="589"/>
      <c r="AK97" s="589"/>
      <c r="AL97" s="589"/>
      <c r="AM97" s="589"/>
      <c r="AN97" s="589"/>
      <c r="AO97" s="589"/>
      <c r="AP97" s="589"/>
      <c r="AQ97" s="589"/>
      <c r="AR97" s="589"/>
      <c r="AS97" s="589"/>
      <c r="AT97" s="589"/>
      <c r="AU97" s="589"/>
      <c r="AV97" s="589"/>
      <c r="AW97" s="589"/>
      <c r="AX97" s="589"/>
      <c r="AY97" s="589"/>
      <c r="AZ97" s="589"/>
      <c r="BA97" s="589"/>
      <c r="BB97" s="589"/>
      <c r="BC97" s="589"/>
      <c r="BD97" s="589"/>
      <c r="BE97" s="589"/>
      <c r="BF97" s="589"/>
      <c r="BG97" s="589"/>
      <c r="BH97" s="589"/>
      <c r="BI97" s="589"/>
      <c r="BJ97" s="589"/>
      <c r="BK97" s="589"/>
      <c r="BL97" s="589"/>
    </row>
    <row r="98" spans="1:64" ht="14.25" customHeight="1">
      <c r="A98" s="691" t="s">
        <v>435</v>
      </c>
      <c r="B98" s="589"/>
      <c r="C98" s="589"/>
      <c r="D98" s="589"/>
      <c r="E98" s="589"/>
      <c r="F98" s="591">
        <v>97</v>
      </c>
      <c r="G98" s="691" t="s">
        <v>167</v>
      </c>
      <c r="H98" s="691" t="s">
        <v>207</v>
      </c>
      <c r="I98" s="691" t="s">
        <v>137</v>
      </c>
      <c r="J98" s="691" t="s">
        <v>147</v>
      </c>
      <c r="K98" s="691" t="s">
        <v>197</v>
      </c>
      <c r="L98" s="691" t="s">
        <v>177</v>
      </c>
      <c r="M98" s="691" t="s">
        <v>237</v>
      </c>
      <c r="N98" s="691" t="s">
        <v>227</v>
      </c>
      <c r="O98" s="589"/>
      <c r="P98" s="717" cm="1">
        <f t="array" ref="P98">F98</f>
        <v>97</v>
      </c>
      <c r="Q98" s="620" t="str" cm="1">
        <f t="array" ref="Q98">RIGHT(G98,1)</f>
        <v>E</v>
      </c>
      <c r="R98" s="590" t="str" cm="1">
        <f t="array" ref="R98">RIGHT(H98,1)</f>
        <v>I</v>
      </c>
      <c r="S98" s="590" t="str" cm="1">
        <f t="array" ref="S98">RIGHT(I98,1)</f>
        <v>B</v>
      </c>
      <c r="T98" s="590" t="str" cm="1">
        <f t="array" ref="T98">RIGHT(J98,1)</f>
        <v>C</v>
      </c>
      <c r="U98" s="590" t="str" cm="1">
        <f t="array" ref="U98">RIGHT(K98,1)</f>
        <v>H</v>
      </c>
      <c r="V98" s="590" t="str" cm="1">
        <f t="array" ref="V98">RIGHT(L98,1)</f>
        <v>F</v>
      </c>
      <c r="W98" s="590" t="str" cm="1">
        <f t="array" ref="W98">RIGHT(M98,1)</f>
        <v>L</v>
      </c>
      <c r="X98" s="590" t="str" cm="1">
        <f t="array" ref="X98">RIGHT(N98,1)</f>
        <v>K</v>
      </c>
      <c r="Y98" s="708" cm="1">
        <f t="array" ref="Y98">COUNTIF($AA$2:$AA$9,Q98)+COUNTIF($AA$2:$AA$9,R98)+COUNTIF($AA$2:$AA$9,S98)+COUNTIF($AA$2:$AA$9,T98)+COUNTIF($AA$2:$AA$9,U98)+COUNTIF($AA$2:$AA$9,V98)+COUNTIF($AA$2:$AA$9,W98)+COUNTIF($AA$2:$AA$9,X98)</f>
        <v>5</v>
      </c>
      <c r="Z98" s="589"/>
      <c r="AA98" s="589"/>
      <c r="AB98" s="589"/>
      <c r="AC98" s="589"/>
      <c r="AD98" s="589"/>
      <c r="AE98" s="589"/>
      <c r="AF98" s="589"/>
      <c r="AG98" s="589"/>
      <c r="AH98" s="589"/>
      <c r="AI98" s="589"/>
      <c r="AJ98" s="589"/>
      <c r="AK98" s="589"/>
      <c r="AL98" s="589"/>
      <c r="AM98" s="589"/>
      <c r="AN98" s="589"/>
      <c r="AO98" s="589"/>
      <c r="AP98" s="589"/>
      <c r="AQ98" s="589"/>
      <c r="AR98" s="589"/>
      <c r="AS98" s="589"/>
      <c r="AT98" s="589"/>
      <c r="AU98" s="589"/>
      <c r="AV98" s="589"/>
      <c r="AW98" s="589"/>
      <c r="AX98" s="589"/>
      <c r="AY98" s="589"/>
      <c r="AZ98" s="589"/>
      <c r="BA98" s="589"/>
      <c r="BB98" s="589"/>
      <c r="BC98" s="589"/>
      <c r="BD98" s="589"/>
      <c r="BE98" s="589"/>
      <c r="BF98" s="589"/>
      <c r="BG98" s="589"/>
      <c r="BH98" s="589"/>
      <c r="BI98" s="589"/>
      <c r="BJ98" s="589"/>
      <c r="BK98" s="589"/>
      <c r="BL98" s="589"/>
    </row>
    <row r="99" spans="1:64" ht="14.25" customHeight="1">
      <c r="A99" s="691" t="s">
        <v>436</v>
      </c>
      <c r="B99" s="589"/>
      <c r="C99" s="589"/>
      <c r="D99" s="589"/>
      <c r="E99" s="589"/>
      <c r="F99" s="591">
        <v>98</v>
      </c>
      <c r="G99" s="691" t="s">
        <v>167</v>
      </c>
      <c r="H99" s="691" t="s">
        <v>217</v>
      </c>
      <c r="I99" s="691" t="s">
        <v>137</v>
      </c>
      <c r="J99" s="691" t="s">
        <v>147</v>
      </c>
      <c r="K99" s="691" t="s">
        <v>197</v>
      </c>
      <c r="L99" s="691" t="s">
        <v>177</v>
      </c>
      <c r="M99" s="691" t="s">
        <v>237</v>
      </c>
      <c r="N99" s="691" t="s">
        <v>207</v>
      </c>
      <c r="O99" s="589"/>
      <c r="P99" s="717" cm="1">
        <f t="array" ref="P99">F99</f>
        <v>98</v>
      </c>
      <c r="Q99" s="620" t="str" cm="1">
        <f t="array" ref="Q99">RIGHT(G99,1)</f>
        <v>E</v>
      </c>
      <c r="R99" s="590" t="str" cm="1">
        <f t="array" ref="R99">RIGHT(H99,1)</f>
        <v>J</v>
      </c>
      <c r="S99" s="590" t="str" cm="1">
        <f t="array" ref="S99">RIGHT(I99,1)</f>
        <v>B</v>
      </c>
      <c r="T99" s="590" t="str" cm="1">
        <f t="array" ref="T99">RIGHT(J99,1)</f>
        <v>C</v>
      </c>
      <c r="U99" s="590" t="str" cm="1">
        <f t="array" ref="U99">RIGHT(K99,1)</f>
        <v>H</v>
      </c>
      <c r="V99" s="590" t="str" cm="1">
        <f t="array" ref="V99">RIGHT(L99,1)</f>
        <v>F</v>
      </c>
      <c r="W99" s="590" t="str" cm="1">
        <f t="array" ref="W99">RIGHT(M99,1)</f>
        <v>L</v>
      </c>
      <c r="X99" s="590" t="str" cm="1">
        <f t="array" ref="X99">RIGHT(N99,1)</f>
        <v>I</v>
      </c>
      <c r="Y99" s="708" cm="1">
        <f t="array" ref="Y99">COUNTIF($AA$2:$AA$9,Q99)+COUNTIF($AA$2:$AA$9,R99)+COUNTIF($AA$2:$AA$9,S99)+COUNTIF($AA$2:$AA$9,T99)+COUNTIF($AA$2:$AA$9,U99)+COUNTIF($AA$2:$AA$9,V99)+COUNTIF($AA$2:$AA$9,W99)+COUNTIF($AA$2:$AA$9,X99)</f>
        <v>6</v>
      </c>
      <c r="Z99" s="589"/>
      <c r="AA99" s="589"/>
      <c r="AB99" s="589"/>
      <c r="AC99" s="589"/>
      <c r="AD99" s="589"/>
      <c r="AE99" s="589"/>
      <c r="AF99" s="589"/>
      <c r="AG99" s="589"/>
      <c r="AH99" s="589"/>
      <c r="AI99" s="589"/>
      <c r="AJ99" s="589"/>
      <c r="AK99" s="589"/>
      <c r="AL99" s="589"/>
      <c r="AM99" s="589"/>
      <c r="AN99" s="589"/>
      <c r="AO99" s="589"/>
      <c r="AP99" s="589"/>
      <c r="AQ99" s="589"/>
      <c r="AR99" s="589"/>
      <c r="AS99" s="589"/>
      <c r="AT99" s="589"/>
      <c r="AU99" s="589"/>
      <c r="AV99" s="589"/>
      <c r="AW99" s="589"/>
      <c r="AX99" s="589"/>
      <c r="AY99" s="589"/>
      <c r="AZ99" s="589"/>
      <c r="BA99" s="589"/>
      <c r="BB99" s="589"/>
      <c r="BC99" s="589"/>
      <c r="BD99" s="589"/>
      <c r="BE99" s="589"/>
      <c r="BF99" s="589"/>
      <c r="BG99" s="589"/>
      <c r="BH99" s="589"/>
      <c r="BI99" s="589"/>
      <c r="BJ99" s="589"/>
      <c r="BK99" s="589"/>
      <c r="BL99" s="589"/>
    </row>
    <row r="100" spans="1:64" ht="14.25" customHeight="1">
      <c r="A100" s="691" t="s">
        <v>437</v>
      </c>
      <c r="B100" s="589"/>
      <c r="C100" s="589"/>
      <c r="D100" s="589"/>
      <c r="E100" s="589"/>
      <c r="F100" s="591">
        <v>99</v>
      </c>
      <c r="G100" s="691" t="s">
        <v>167</v>
      </c>
      <c r="H100" s="691" t="s">
        <v>217</v>
      </c>
      <c r="I100" s="691" t="s">
        <v>137</v>
      </c>
      <c r="J100" s="691" t="s">
        <v>147</v>
      </c>
      <c r="K100" s="691" t="s">
        <v>197</v>
      </c>
      <c r="L100" s="691" t="s">
        <v>177</v>
      </c>
      <c r="M100" s="691" t="s">
        <v>207</v>
      </c>
      <c r="N100" s="691" t="s">
        <v>227</v>
      </c>
      <c r="O100" s="589"/>
      <c r="P100" s="717" cm="1">
        <f t="array" ref="P100">F100</f>
        <v>99</v>
      </c>
      <c r="Q100" s="620" t="str" cm="1">
        <f t="array" ref="Q100">RIGHT(G100,1)</f>
        <v>E</v>
      </c>
      <c r="R100" s="590" t="str" cm="1">
        <f t="array" ref="R100">RIGHT(H100,1)</f>
        <v>J</v>
      </c>
      <c r="S100" s="590" t="str" cm="1">
        <f t="array" ref="S100">RIGHT(I100,1)</f>
        <v>B</v>
      </c>
      <c r="T100" s="590" t="str" cm="1">
        <f t="array" ref="T100">RIGHT(J100,1)</f>
        <v>C</v>
      </c>
      <c r="U100" s="590" t="str" cm="1">
        <f t="array" ref="U100">RIGHT(K100,1)</f>
        <v>H</v>
      </c>
      <c r="V100" s="590" t="str" cm="1">
        <f t="array" ref="V100">RIGHT(L100,1)</f>
        <v>F</v>
      </c>
      <c r="W100" s="590" t="str" cm="1">
        <f t="array" ref="W100">RIGHT(M100,1)</f>
        <v>I</v>
      </c>
      <c r="X100" s="590" t="str" cm="1">
        <f t="array" ref="X100">RIGHT(N100,1)</f>
        <v>K</v>
      </c>
      <c r="Y100" s="708" cm="1">
        <f t="array" ref="Y100">COUNTIF($AA$2:$AA$9,Q100)+COUNTIF($AA$2:$AA$9,R100)+COUNTIF($AA$2:$AA$9,S100)+COUNTIF($AA$2:$AA$9,T100)+COUNTIF($AA$2:$AA$9,U100)+COUNTIF($AA$2:$AA$9,V100)+COUNTIF($AA$2:$AA$9,W100)+COUNTIF($AA$2:$AA$9,X100)</f>
        <v>5</v>
      </c>
      <c r="Z100" s="589"/>
      <c r="AA100" s="589"/>
      <c r="AB100" s="589"/>
      <c r="AC100" s="589"/>
      <c r="AD100" s="589"/>
      <c r="AE100" s="589"/>
      <c r="AF100" s="589"/>
      <c r="AG100" s="589"/>
      <c r="AH100" s="589"/>
      <c r="AI100" s="589"/>
      <c r="AJ100" s="589"/>
      <c r="AK100" s="589"/>
      <c r="AL100" s="589"/>
      <c r="AM100" s="589"/>
      <c r="AN100" s="589"/>
      <c r="AO100" s="589"/>
      <c r="AP100" s="589"/>
      <c r="AQ100" s="589"/>
      <c r="AR100" s="589"/>
      <c r="AS100" s="589"/>
      <c r="AT100" s="589"/>
      <c r="AU100" s="589"/>
      <c r="AV100" s="589"/>
      <c r="AW100" s="589"/>
      <c r="AX100" s="589"/>
      <c r="AY100" s="589"/>
      <c r="AZ100" s="589"/>
      <c r="BA100" s="589"/>
      <c r="BB100" s="589"/>
      <c r="BC100" s="589"/>
      <c r="BD100" s="589"/>
      <c r="BE100" s="589"/>
      <c r="BF100" s="589"/>
      <c r="BG100" s="589"/>
      <c r="BH100" s="589"/>
      <c r="BI100" s="589"/>
      <c r="BJ100" s="589"/>
      <c r="BK100" s="589"/>
      <c r="BL100" s="589"/>
    </row>
    <row r="101" spans="1:64" ht="14.25" customHeight="1">
      <c r="A101" s="691" t="s">
        <v>438</v>
      </c>
      <c r="B101" s="589"/>
      <c r="C101" s="589"/>
      <c r="D101" s="589"/>
      <c r="E101" s="589"/>
      <c r="F101" s="591">
        <v>100</v>
      </c>
      <c r="G101" s="691" t="s">
        <v>167</v>
      </c>
      <c r="H101" s="691" t="s">
        <v>187</v>
      </c>
      <c r="I101" s="691" t="s">
        <v>137</v>
      </c>
      <c r="J101" s="691" t="s">
        <v>147</v>
      </c>
      <c r="K101" s="691" t="s">
        <v>217</v>
      </c>
      <c r="L101" s="691" t="s">
        <v>177</v>
      </c>
      <c r="M101" s="691" t="s">
        <v>237</v>
      </c>
      <c r="N101" s="691" t="s">
        <v>227</v>
      </c>
      <c r="O101" s="589"/>
      <c r="P101" s="717" cm="1">
        <f t="array" ref="P101">F101</f>
        <v>100</v>
      </c>
      <c r="Q101" s="620" t="str" cm="1">
        <f t="array" ref="Q101">RIGHT(G101,1)</f>
        <v>E</v>
      </c>
      <c r="R101" s="590" t="str" cm="1">
        <f t="array" ref="R101">RIGHT(H101,1)</f>
        <v>G</v>
      </c>
      <c r="S101" s="590" t="str" cm="1">
        <f t="array" ref="S101">RIGHT(I101,1)</f>
        <v>B</v>
      </c>
      <c r="T101" s="590" t="str" cm="1">
        <f t="array" ref="T101">RIGHT(J101,1)</f>
        <v>C</v>
      </c>
      <c r="U101" s="590" t="str" cm="1">
        <f t="array" ref="U101">RIGHT(K101,1)</f>
        <v>J</v>
      </c>
      <c r="V101" s="590" t="str" cm="1">
        <f t="array" ref="V101">RIGHT(L101,1)</f>
        <v>F</v>
      </c>
      <c r="W101" s="590" t="str" cm="1">
        <f t="array" ref="W101">RIGHT(M101,1)</f>
        <v>L</v>
      </c>
      <c r="X101" s="590" t="str" cm="1">
        <f t="array" ref="X101">RIGHT(N101,1)</f>
        <v>K</v>
      </c>
      <c r="Y101" s="708" cm="1">
        <f t="array" ref="Y101">COUNTIF($AA$2:$AA$9,Q101)+COUNTIF($AA$2:$AA$9,R101)+COUNTIF($AA$2:$AA$9,S101)+COUNTIF($AA$2:$AA$9,T101)+COUNTIF($AA$2:$AA$9,U101)+COUNTIF($AA$2:$AA$9,V101)+COUNTIF($AA$2:$AA$9,W101)+COUNTIF($AA$2:$AA$9,X101)</f>
        <v>5</v>
      </c>
      <c r="Z101" s="589"/>
      <c r="AA101" s="589"/>
      <c r="AB101" s="589"/>
      <c r="AC101" s="589"/>
      <c r="AD101" s="589"/>
      <c r="AE101" s="589"/>
      <c r="AF101" s="589"/>
      <c r="AG101" s="589"/>
      <c r="AH101" s="589"/>
      <c r="AI101" s="589"/>
      <c r="AJ101" s="589"/>
      <c r="AK101" s="589"/>
      <c r="AL101" s="589"/>
      <c r="AM101" s="589"/>
      <c r="AN101" s="589"/>
      <c r="AO101" s="589"/>
      <c r="AP101" s="589"/>
      <c r="AQ101" s="589"/>
      <c r="AR101" s="589"/>
      <c r="AS101" s="589"/>
      <c r="AT101" s="589"/>
      <c r="AU101" s="589"/>
      <c r="AV101" s="589"/>
      <c r="AW101" s="589"/>
      <c r="AX101" s="589"/>
      <c r="AY101" s="589"/>
      <c r="AZ101" s="589"/>
      <c r="BA101" s="589"/>
      <c r="BB101" s="589"/>
      <c r="BC101" s="589"/>
      <c r="BD101" s="589"/>
      <c r="BE101" s="589"/>
      <c r="BF101" s="589"/>
      <c r="BG101" s="589"/>
      <c r="BH101" s="589"/>
      <c r="BI101" s="589"/>
      <c r="BJ101" s="589"/>
      <c r="BK101" s="589"/>
      <c r="BL101" s="589"/>
    </row>
    <row r="102" spans="1:64" ht="14.25" customHeight="1">
      <c r="A102" s="691" t="s">
        <v>439</v>
      </c>
      <c r="B102" s="589"/>
      <c r="C102" s="589"/>
      <c r="D102" s="589"/>
      <c r="E102" s="589"/>
      <c r="F102" s="591">
        <v>101</v>
      </c>
      <c r="G102" s="691" t="s">
        <v>167</v>
      </c>
      <c r="H102" s="691" t="s">
        <v>187</v>
      </c>
      <c r="I102" s="691" t="s">
        <v>137</v>
      </c>
      <c r="J102" s="691" t="s">
        <v>147</v>
      </c>
      <c r="K102" s="691" t="s">
        <v>207</v>
      </c>
      <c r="L102" s="691" t="s">
        <v>177</v>
      </c>
      <c r="M102" s="691" t="s">
        <v>237</v>
      </c>
      <c r="N102" s="691" t="s">
        <v>227</v>
      </c>
      <c r="O102" s="589"/>
      <c r="P102" s="717" cm="1">
        <f t="array" ref="P102">F102</f>
        <v>101</v>
      </c>
      <c r="Q102" s="620" t="str" cm="1">
        <f t="array" ref="Q102">RIGHT(G102,1)</f>
        <v>E</v>
      </c>
      <c r="R102" s="590" t="str" cm="1">
        <f t="array" ref="R102">RIGHT(H102,1)</f>
        <v>G</v>
      </c>
      <c r="S102" s="590" t="str" cm="1">
        <f t="array" ref="S102">RIGHT(I102,1)</f>
        <v>B</v>
      </c>
      <c r="T102" s="590" t="str" cm="1">
        <f t="array" ref="T102">RIGHT(J102,1)</f>
        <v>C</v>
      </c>
      <c r="U102" s="590" t="str" cm="1">
        <f t="array" ref="U102">RIGHT(K102,1)</f>
        <v>I</v>
      </c>
      <c r="V102" s="590" t="str" cm="1">
        <f t="array" ref="V102">RIGHT(L102,1)</f>
        <v>F</v>
      </c>
      <c r="W102" s="590" t="str" cm="1">
        <f t="array" ref="W102">RIGHT(M102,1)</f>
        <v>L</v>
      </c>
      <c r="X102" s="590" t="str" cm="1">
        <f t="array" ref="X102">RIGHT(N102,1)</f>
        <v>K</v>
      </c>
      <c r="Y102" s="708" cm="1">
        <f t="array" ref="Y102">COUNTIF($AA$2:$AA$9,Q102)+COUNTIF($AA$2:$AA$9,R102)+COUNTIF($AA$2:$AA$9,S102)+COUNTIF($AA$2:$AA$9,T102)+COUNTIF($AA$2:$AA$9,U102)+COUNTIF($AA$2:$AA$9,V102)+COUNTIF($AA$2:$AA$9,W102)+COUNTIF($AA$2:$AA$9,X102)</f>
        <v>5</v>
      </c>
      <c r="Z102" s="589"/>
      <c r="AA102" s="589"/>
      <c r="AB102" s="589"/>
      <c r="AC102" s="589"/>
      <c r="AD102" s="589"/>
      <c r="AE102" s="589"/>
      <c r="AF102" s="589"/>
      <c r="AG102" s="589"/>
      <c r="AH102" s="589"/>
      <c r="AI102" s="589"/>
      <c r="AJ102" s="589"/>
      <c r="AK102" s="589"/>
      <c r="AL102" s="589"/>
      <c r="AM102" s="589"/>
      <c r="AN102" s="589"/>
      <c r="AO102" s="589"/>
      <c r="AP102" s="589"/>
      <c r="AQ102" s="589"/>
      <c r="AR102" s="589"/>
      <c r="AS102" s="589"/>
      <c r="AT102" s="589"/>
      <c r="AU102" s="589"/>
      <c r="AV102" s="589"/>
      <c r="AW102" s="589"/>
      <c r="AX102" s="589"/>
      <c r="AY102" s="589"/>
      <c r="AZ102" s="589"/>
      <c r="BA102" s="589"/>
      <c r="BB102" s="589"/>
      <c r="BC102" s="589"/>
      <c r="BD102" s="589"/>
      <c r="BE102" s="589"/>
      <c r="BF102" s="589"/>
      <c r="BG102" s="589"/>
      <c r="BH102" s="589"/>
      <c r="BI102" s="589"/>
      <c r="BJ102" s="589"/>
      <c r="BK102" s="589"/>
      <c r="BL102" s="589"/>
    </row>
    <row r="103" spans="1:64" ht="14.25" customHeight="1">
      <c r="A103" s="691" t="s">
        <v>440</v>
      </c>
      <c r="B103" s="589"/>
      <c r="C103" s="589"/>
      <c r="D103" s="589"/>
      <c r="E103" s="589"/>
      <c r="F103" s="591">
        <v>102</v>
      </c>
      <c r="G103" s="691" t="s">
        <v>167</v>
      </c>
      <c r="H103" s="691" t="s">
        <v>187</v>
      </c>
      <c r="I103" s="691" t="s">
        <v>137</v>
      </c>
      <c r="J103" s="691" t="s">
        <v>147</v>
      </c>
      <c r="K103" s="691" t="s">
        <v>217</v>
      </c>
      <c r="L103" s="691" t="s">
        <v>177</v>
      </c>
      <c r="M103" s="691" t="s">
        <v>237</v>
      </c>
      <c r="N103" s="691" t="s">
        <v>207</v>
      </c>
      <c r="O103" s="589"/>
      <c r="P103" s="717" cm="1">
        <f t="array" ref="P103">F103</f>
        <v>102</v>
      </c>
      <c r="Q103" s="620" t="str" cm="1">
        <f t="array" ref="Q103">RIGHT(G103,1)</f>
        <v>E</v>
      </c>
      <c r="R103" s="590" t="str" cm="1">
        <f t="array" ref="R103">RIGHT(H103,1)</f>
        <v>G</v>
      </c>
      <c r="S103" s="590" t="str" cm="1">
        <f t="array" ref="S103">RIGHT(I103,1)</f>
        <v>B</v>
      </c>
      <c r="T103" s="590" t="str" cm="1">
        <f t="array" ref="T103">RIGHT(J103,1)</f>
        <v>C</v>
      </c>
      <c r="U103" s="590" t="str" cm="1">
        <f t="array" ref="U103">RIGHT(K103,1)</f>
        <v>J</v>
      </c>
      <c r="V103" s="590" t="str" cm="1">
        <f t="array" ref="V103">RIGHT(L103,1)</f>
        <v>F</v>
      </c>
      <c r="W103" s="590" t="str" cm="1">
        <f t="array" ref="W103">RIGHT(M103,1)</f>
        <v>L</v>
      </c>
      <c r="X103" s="590" t="str" cm="1">
        <f t="array" ref="X103">RIGHT(N103,1)</f>
        <v>I</v>
      </c>
      <c r="Y103" s="708" cm="1">
        <f t="array" ref="Y103">COUNTIF($AA$2:$AA$9,Q103)+COUNTIF($AA$2:$AA$9,R103)+COUNTIF($AA$2:$AA$9,S103)+COUNTIF($AA$2:$AA$9,T103)+COUNTIF($AA$2:$AA$9,U103)+COUNTIF($AA$2:$AA$9,V103)+COUNTIF($AA$2:$AA$9,W103)+COUNTIF($AA$2:$AA$9,X103)</f>
        <v>6</v>
      </c>
      <c r="Z103" s="589"/>
      <c r="AA103" s="589"/>
      <c r="AB103" s="589"/>
      <c r="AC103" s="589"/>
      <c r="AD103" s="589"/>
      <c r="AE103" s="589"/>
      <c r="AF103" s="589"/>
      <c r="AG103" s="589"/>
      <c r="AH103" s="589"/>
      <c r="AI103" s="589"/>
      <c r="AJ103" s="589"/>
      <c r="AK103" s="589"/>
      <c r="AL103" s="589"/>
      <c r="AM103" s="589"/>
      <c r="AN103" s="589"/>
      <c r="AO103" s="589"/>
      <c r="AP103" s="589"/>
      <c r="AQ103" s="589"/>
      <c r="AR103" s="589"/>
      <c r="AS103" s="589"/>
      <c r="AT103" s="589"/>
      <c r="AU103" s="589"/>
      <c r="AV103" s="589"/>
      <c r="AW103" s="589"/>
      <c r="AX103" s="589"/>
      <c r="AY103" s="589"/>
      <c r="AZ103" s="589"/>
      <c r="BA103" s="589"/>
      <c r="BB103" s="589"/>
      <c r="BC103" s="589"/>
      <c r="BD103" s="589"/>
      <c r="BE103" s="589"/>
      <c r="BF103" s="589"/>
      <c r="BG103" s="589"/>
      <c r="BH103" s="589"/>
      <c r="BI103" s="589"/>
      <c r="BJ103" s="589"/>
      <c r="BK103" s="589"/>
      <c r="BL103" s="589"/>
    </row>
    <row r="104" spans="1:64" ht="14.25" customHeight="1">
      <c r="A104" s="691" t="s">
        <v>441</v>
      </c>
      <c r="B104" s="589"/>
      <c r="C104" s="589"/>
      <c r="D104" s="589"/>
      <c r="E104" s="589"/>
      <c r="F104" s="591">
        <v>103</v>
      </c>
      <c r="G104" s="691" t="s">
        <v>167</v>
      </c>
      <c r="H104" s="691" t="s">
        <v>187</v>
      </c>
      <c r="I104" s="691" t="s">
        <v>137</v>
      </c>
      <c r="J104" s="691" t="s">
        <v>147</v>
      </c>
      <c r="K104" s="691" t="s">
        <v>217</v>
      </c>
      <c r="L104" s="691" t="s">
        <v>177</v>
      </c>
      <c r="M104" s="691" t="s">
        <v>207</v>
      </c>
      <c r="N104" s="691" t="s">
        <v>227</v>
      </c>
      <c r="O104" s="589"/>
      <c r="P104" s="717" cm="1">
        <f t="array" ref="P104">F104</f>
        <v>103</v>
      </c>
      <c r="Q104" s="620" t="str" cm="1">
        <f t="array" ref="Q104">RIGHT(G104,1)</f>
        <v>E</v>
      </c>
      <c r="R104" s="590" t="str" cm="1">
        <f t="array" ref="R104">RIGHT(H104,1)</f>
        <v>G</v>
      </c>
      <c r="S104" s="590" t="str" cm="1">
        <f t="array" ref="S104">RIGHT(I104,1)</f>
        <v>B</v>
      </c>
      <c r="T104" s="590" t="str" cm="1">
        <f t="array" ref="T104">RIGHT(J104,1)</f>
        <v>C</v>
      </c>
      <c r="U104" s="590" t="str" cm="1">
        <f t="array" ref="U104">RIGHT(K104,1)</f>
        <v>J</v>
      </c>
      <c r="V104" s="590" t="str" cm="1">
        <f t="array" ref="V104">RIGHT(L104,1)</f>
        <v>F</v>
      </c>
      <c r="W104" s="590" t="str" cm="1">
        <f t="array" ref="W104">RIGHT(M104,1)</f>
        <v>I</v>
      </c>
      <c r="X104" s="590" t="str" cm="1">
        <f t="array" ref="X104">RIGHT(N104,1)</f>
        <v>K</v>
      </c>
      <c r="Y104" s="708" cm="1">
        <f t="array" ref="Y104">COUNTIF($AA$2:$AA$9,Q104)+COUNTIF($AA$2:$AA$9,R104)+COUNTIF($AA$2:$AA$9,S104)+COUNTIF($AA$2:$AA$9,T104)+COUNTIF($AA$2:$AA$9,U104)+COUNTIF($AA$2:$AA$9,V104)+COUNTIF($AA$2:$AA$9,W104)+COUNTIF($AA$2:$AA$9,X104)</f>
        <v>5</v>
      </c>
      <c r="Z104" s="589"/>
      <c r="AA104" s="589"/>
      <c r="AB104" s="589"/>
      <c r="AC104" s="589"/>
      <c r="AD104" s="589"/>
      <c r="AE104" s="589"/>
      <c r="AF104" s="589"/>
      <c r="AG104" s="589"/>
      <c r="AH104" s="589"/>
      <c r="AI104" s="589"/>
      <c r="AJ104" s="589"/>
      <c r="AK104" s="589"/>
      <c r="AL104" s="589"/>
      <c r="AM104" s="589"/>
      <c r="AN104" s="589"/>
      <c r="AO104" s="589"/>
      <c r="AP104" s="589"/>
      <c r="AQ104" s="589"/>
      <c r="AR104" s="589"/>
      <c r="AS104" s="589"/>
      <c r="AT104" s="589"/>
      <c r="AU104" s="589"/>
      <c r="AV104" s="589"/>
      <c r="AW104" s="589"/>
      <c r="AX104" s="589"/>
      <c r="AY104" s="589"/>
      <c r="AZ104" s="589"/>
      <c r="BA104" s="589"/>
      <c r="BB104" s="589"/>
      <c r="BC104" s="589"/>
      <c r="BD104" s="589"/>
      <c r="BE104" s="589"/>
      <c r="BF104" s="589"/>
      <c r="BG104" s="589"/>
      <c r="BH104" s="589"/>
      <c r="BI104" s="589"/>
      <c r="BJ104" s="589"/>
      <c r="BK104" s="589"/>
      <c r="BL104" s="589"/>
    </row>
    <row r="105" spans="1:64" ht="14.25" customHeight="1">
      <c r="A105" s="691" t="s">
        <v>442</v>
      </c>
      <c r="B105" s="589"/>
      <c r="C105" s="589"/>
      <c r="D105" s="589"/>
      <c r="E105" s="589"/>
      <c r="F105" s="591">
        <v>104</v>
      </c>
      <c r="G105" s="691" t="s">
        <v>167</v>
      </c>
      <c r="H105" s="691" t="s">
        <v>187</v>
      </c>
      <c r="I105" s="691" t="s">
        <v>137</v>
      </c>
      <c r="J105" s="691" t="s">
        <v>147</v>
      </c>
      <c r="K105" s="691" t="s">
        <v>197</v>
      </c>
      <c r="L105" s="691" t="s">
        <v>177</v>
      </c>
      <c r="M105" s="691" t="s">
        <v>237</v>
      </c>
      <c r="N105" s="691" t="s">
        <v>227</v>
      </c>
      <c r="O105" s="589"/>
      <c r="P105" s="717" cm="1">
        <f t="array" ref="P105">F105</f>
        <v>104</v>
      </c>
      <c r="Q105" s="620" t="str" cm="1">
        <f t="array" ref="Q105">RIGHT(G105,1)</f>
        <v>E</v>
      </c>
      <c r="R105" s="590" t="str" cm="1">
        <f t="array" ref="R105">RIGHT(H105,1)</f>
        <v>G</v>
      </c>
      <c r="S105" s="590" t="str" cm="1">
        <f t="array" ref="S105">RIGHT(I105,1)</f>
        <v>B</v>
      </c>
      <c r="T105" s="590" t="str" cm="1">
        <f t="array" ref="T105">RIGHT(J105,1)</f>
        <v>C</v>
      </c>
      <c r="U105" s="590" t="str" cm="1">
        <f t="array" ref="U105">RIGHT(K105,1)</f>
        <v>H</v>
      </c>
      <c r="V105" s="590" t="str" cm="1">
        <f t="array" ref="V105">RIGHT(L105,1)</f>
        <v>F</v>
      </c>
      <c r="W105" s="590" t="str" cm="1">
        <f t="array" ref="W105">RIGHT(M105,1)</f>
        <v>L</v>
      </c>
      <c r="X105" s="590" t="str" cm="1">
        <f t="array" ref="X105">RIGHT(N105,1)</f>
        <v>K</v>
      </c>
      <c r="Y105" s="708" cm="1">
        <f t="array" ref="Y105">COUNTIF($AA$2:$AA$9,Q105)+COUNTIF($AA$2:$AA$9,R105)+COUNTIF($AA$2:$AA$9,S105)+COUNTIF($AA$2:$AA$9,T105)+COUNTIF($AA$2:$AA$9,U105)+COUNTIF($AA$2:$AA$9,V105)+COUNTIF($AA$2:$AA$9,W105)+COUNTIF($AA$2:$AA$9,X105)</f>
        <v>4</v>
      </c>
      <c r="Z105" s="589"/>
      <c r="AA105" s="589"/>
      <c r="AB105" s="589"/>
      <c r="AC105" s="589"/>
      <c r="AD105" s="589"/>
      <c r="AE105" s="589"/>
      <c r="AF105" s="589"/>
      <c r="AG105" s="589"/>
      <c r="AH105" s="589"/>
      <c r="AI105" s="589"/>
      <c r="AJ105" s="589"/>
      <c r="AK105" s="589"/>
      <c r="AL105" s="589"/>
      <c r="AM105" s="589"/>
      <c r="AN105" s="589"/>
      <c r="AO105" s="589"/>
      <c r="AP105" s="589"/>
      <c r="AQ105" s="589"/>
      <c r="AR105" s="589"/>
      <c r="AS105" s="589"/>
      <c r="AT105" s="589"/>
      <c r="AU105" s="589"/>
      <c r="AV105" s="589"/>
      <c r="AW105" s="589"/>
      <c r="AX105" s="589"/>
      <c r="AY105" s="589"/>
      <c r="AZ105" s="589"/>
      <c r="BA105" s="589"/>
      <c r="BB105" s="589"/>
      <c r="BC105" s="589"/>
      <c r="BD105" s="589"/>
      <c r="BE105" s="589"/>
      <c r="BF105" s="589"/>
      <c r="BG105" s="589"/>
      <c r="BH105" s="589"/>
      <c r="BI105" s="589"/>
      <c r="BJ105" s="589"/>
      <c r="BK105" s="589"/>
      <c r="BL105" s="589"/>
    </row>
    <row r="106" spans="1:64" ht="14.25" customHeight="1">
      <c r="A106" s="691" t="s">
        <v>443</v>
      </c>
      <c r="B106" s="589"/>
      <c r="C106" s="589"/>
      <c r="D106" s="589"/>
      <c r="E106" s="589"/>
      <c r="F106" s="591">
        <v>105</v>
      </c>
      <c r="G106" s="691" t="s">
        <v>197</v>
      </c>
      <c r="H106" s="691" t="s">
        <v>187</v>
      </c>
      <c r="I106" s="691" t="s">
        <v>137</v>
      </c>
      <c r="J106" s="691" t="s">
        <v>147</v>
      </c>
      <c r="K106" s="691" t="s">
        <v>217</v>
      </c>
      <c r="L106" s="691" t="s">
        <v>177</v>
      </c>
      <c r="M106" s="691" t="s">
        <v>237</v>
      </c>
      <c r="N106" s="691" t="s">
        <v>167</v>
      </c>
      <c r="O106" s="589"/>
      <c r="P106" s="717" cm="1">
        <f t="array" ref="P106">F106</f>
        <v>105</v>
      </c>
      <c r="Q106" s="620" t="str" cm="1">
        <f t="array" ref="Q106">RIGHT(G106,1)</f>
        <v>H</v>
      </c>
      <c r="R106" s="590" t="str" cm="1">
        <f t="array" ref="R106">RIGHT(H106,1)</f>
        <v>G</v>
      </c>
      <c r="S106" s="590" t="str" cm="1">
        <f t="array" ref="S106">RIGHT(I106,1)</f>
        <v>B</v>
      </c>
      <c r="T106" s="590" t="str" cm="1">
        <f t="array" ref="T106">RIGHT(J106,1)</f>
        <v>C</v>
      </c>
      <c r="U106" s="590" t="str" cm="1">
        <f t="array" ref="U106">RIGHT(K106,1)</f>
        <v>J</v>
      </c>
      <c r="V106" s="590" t="str" cm="1">
        <f t="array" ref="V106">RIGHT(L106,1)</f>
        <v>F</v>
      </c>
      <c r="W106" s="590" t="str" cm="1">
        <f t="array" ref="W106">RIGHT(M106,1)</f>
        <v>L</v>
      </c>
      <c r="X106" s="590" t="str" cm="1">
        <f t="array" ref="X106">RIGHT(N106,1)</f>
        <v>E</v>
      </c>
      <c r="Y106" s="708" cm="1">
        <f t="array" ref="Y106">COUNTIF($AA$2:$AA$9,Q106)+COUNTIF($AA$2:$AA$9,R106)+COUNTIF($AA$2:$AA$9,S106)+COUNTIF($AA$2:$AA$9,T106)+COUNTIF($AA$2:$AA$9,U106)+COUNTIF($AA$2:$AA$9,V106)+COUNTIF($AA$2:$AA$9,W106)+COUNTIF($AA$2:$AA$9,X106)</f>
        <v>5</v>
      </c>
      <c r="Z106" s="589"/>
      <c r="AA106" s="589"/>
      <c r="AB106" s="589"/>
      <c r="AC106" s="589"/>
      <c r="AD106" s="589"/>
      <c r="AE106" s="589"/>
      <c r="AF106" s="589"/>
      <c r="AG106" s="589"/>
      <c r="AH106" s="589"/>
      <c r="AI106" s="589"/>
      <c r="AJ106" s="589"/>
      <c r="AK106" s="589"/>
      <c r="AL106" s="589"/>
      <c r="AM106" s="589"/>
      <c r="AN106" s="589"/>
      <c r="AO106" s="589"/>
      <c r="AP106" s="589"/>
      <c r="AQ106" s="589"/>
      <c r="AR106" s="589"/>
      <c r="AS106" s="589"/>
      <c r="AT106" s="589"/>
      <c r="AU106" s="589"/>
      <c r="AV106" s="589"/>
      <c r="AW106" s="589"/>
      <c r="AX106" s="589"/>
      <c r="AY106" s="589"/>
      <c r="AZ106" s="589"/>
      <c r="BA106" s="589"/>
      <c r="BB106" s="589"/>
      <c r="BC106" s="589"/>
      <c r="BD106" s="589"/>
      <c r="BE106" s="589"/>
      <c r="BF106" s="589"/>
      <c r="BG106" s="589"/>
      <c r="BH106" s="589"/>
      <c r="BI106" s="589"/>
      <c r="BJ106" s="589"/>
      <c r="BK106" s="589"/>
      <c r="BL106" s="589"/>
    </row>
    <row r="107" spans="1:64" ht="14.25" customHeight="1">
      <c r="A107" s="691" t="s">
        <v>444</v>
      </c>
      <c r="B107" s="589"/>
      <c r="C107" s="589"/>
      <c r="D107" s="589"/>
      <c r="E107" s="589"/>
      <c r="F107" s="591">
        <v>106</v>
      </c>
      <c r="G107" s="691" t="s">
        <v>197</v>
      </c>
      <c r="H107" s="691" t="s">
        <v>187</v>
      </c>
      <c r="I107" s="691" t="s">
        <v>137</v>
      </c>
      <c r="J107" s="691" t="s">
        <v>147</v>
      </c>
      <c r="K107" s="691" t="s">
        <v>217</v>
      </c>
      <c r="L107" s="691" t="s">
        <v>177</v>
      </c>
      <c r="M107" s="691" t="s">
        <v>167</v>
      </c>
      <c r="N107" s="691" t="s">
        <v>227</v>
      </c>
      <c r="O107" s="589"/>
      <c r="P107" s="717" cm="1">
        <f t="array" ref="P107">F107</f>
        <v>106</v>
      </c>
      <c r="Q107" s="620" t="str" cm="1">
        <f t="array" ref="Q107">RIGHT(G107,1)</f>
        <v>H</v>
      </c>
      <c r="R107" s="590" t="str" cm="1">
        <f t="array" ref="R107">RIGHT(H107,1)</f>
        <v>G</v>
      </c>
      <c r="S107" s="590" t="str" cm="1">
        <f t="array" ref="S107">RIGHT(I107,1)</f>
        <v>B</v>
      </c>
      <c r="T107" s="590" t="str" cm="1">
        <f t="array" ref="T107">RIGHT(J107,1)</f>
        <v>C</v>
      </c>
      <c r="U107" s="590" t="str" cm="1">
        <f t="array" ref="U107">RIGHT(K107,1)</f>
        <v>J</v>
      </c>
      <c r="V107" s="590" t="str" cm="1">
        <f t="array" ref="V107">RIGHT(L107,1)</f>
        <v>F</v>
      </c>
      <c r="W107" s="590" t="str" cm="1">
        <f t="array" ref="W107">RIGHT(M107,1)</f>
        <v>E</v>
      </c>
      <c r="X107" s="590" t="str" cm="1">
        <f t="array" ref="X107">RIGHT(N107,1)</f>
        <v>K</v>
      </c>
      <c r="Y107" s="708" cm="1">
        <f t="array" ref="Y107">COUNTIF($AA$2:$AA$9,Q107)+COUNTIF($AA$2:$AA$9,R107)+COUNTIF($AA$2:$AA$9,S107)+COUNTIF($AA$2:$AA$9,T107)+COUNTIF($AA$2:$AA$9,U107)+COUNTIF($AA$2:$AA$9,V107)+COUNTIF($AA$2:$AA$9,W107)+COUNTIF($AA$2:$AA$9,X107)</f>
        <v>4</v>
      </c>
      <c r="Z107" s="589"/>
      <c r="AA107" s="589"/>
      <c r="AB107" s="589"/>
      <c r="AC107" s="589"/>
      <c r="AD107" s="589"/>
      <c r="AE107" s="589"/>
      <c r="AF107" s="589"/>
      <c r="AG107" s="589"/>
      <c r="AH107" s="589"/>
      <c r="AI107" s="589"/>
      <c r="AJ107" s="589"/>
      <c r="AK107" s="589"/>
      <c r="AL107" s="589"/>
      <c r="AM107" s="589"/>
      <c r="AN107" s="589"/>
      <c r="AO107" s="589"/>
      <c r="AP107" s="589"/>
      <c r="AQ107" s="589"/>
      <c r="AR107" s="589"/>
      <c r="AS107" s="589"/>
      <c r="AT107" s="589"/>
      <c r="AU107" s="589"/>
      <c r="AV107" s="589"/>
      <c r="AW107" s="589"/>
      <c r="AX107" s="589"/>
      <c r="AY107" s="589"/>
      <c r="AZ107" s="589"/>
      <c r="BA107" s="589"/>
      <c r="BB107" s="589"/>
      <c r="BC107" s="589"/>
      <c r="BD107" s="589"/>
      <c r="BE107" s="589"/>
      <c r="BF107" s="589"/>
      <c r="BG107" s="589"/>
      <c r="BH107" s="589"/>
      <c r="BI107" s="589"/>
      <c r="BJ107" s="589"/>
      <c r="BK107" s="589"/>
      <c r="BL107" s="589"/>
    </row>
    <row r="108" spans="1:64" ht="14.25" customHeight="1">
      <c r="A108" s="691" t="s">
        <v>445</v>
      </c>
      <c r="B108" s="589"/>
      <c r="C108" s="589"/>
      <c r="D108" s="589"/>
      <c r="E108" s="589"/>
      <c r="F108" s="591">
        <v>107</v>
      </c>
      <c r="G108" s="691" t="s">
        <v>167</v>
      </c>
      <c r="H108" s="691" t="s">
        <v>187</v>
      </c>
      <c r="I108" s="691" t="s">
        <v>137</v>
      </c>
      <c r="J108" s="691" t="s">
        <v>147</v>
      </c>
      <c r="K108" s="691" t="s">
        <v>197</v>
      </c>
      <c r="L108" s="691" t="s">
        <v>177</v>
      </c>
      <c r="M108" s="691" t="s">
        <v>237</v>
      </c>
      <c r="N108" s="691" t="s">
        <v>207</v>
      </c>
      <c r="O108" s="589"/>
      <c r="P108" s="717" cm="1">
        <f t="array" ref="P108">F108</f>
        <v>107</v>
      </c>
      <c r="Q108" s="620" t="str" cm="1">
        <f t="array" ref="Q108">RIGHT(G108,1)</f>
        <v>E</v>
      </c>
      <c r="R108" s="590" t="str" cm="1">
        <f t="array" ref="R108">RIGHT(H108,1)</f>
        <v>G</v>
      </c>
      <c r="S108" s="590" t="str" cm="1">
        <f t="array" ref="S108">RIGHT(I108,1)</f>
        <v>B</v>
      </c>
      <c r="T108" s="590" t="str" cm="1">
        <f t="array" ref="T108">RIGHT(J108,1)</f>
        <v>C</v>
      </c>
      <c r="U108" s="590" t="str" cm="1">
        <f t="array" ref="U108">RIGHT(K108,1)</f>
        <v>H</v>
      </c>
      <c r="V108" s="590" t="str" cm="1">
        <f t="array" ref="V108">RIGHT(L108,1)</f>
        <v>F</v>
      </c>
      <c r="W108" s="590" t="str" cm="1">
        <f t="array" ref="W108">RIGHT(M108,1)</f>
        <v>L</v>
      </c>
      <c r="X108" s="590" t="str" cm="1">
        <f t="array" ref="X108">RIGHT(N108,1)</f>
        <v>I</v>
      </c>
      <c r="Y108" s="708" cm="1">
        <f t="array" ref="Y108">COUNTIF($AA$2:$AA$9,Q108)+COUNTIF($AA$2:$AA$9,R108)+COUNTIF($AA$2:$AA$9,S108)+COUNTIF($AA$2:$AA$9,T108)+COUNTIF($AA$2:$AA$9,U108)+COUNTIF($AA$2:$AA$9,V108)+COUNTIF($AA$2:$AA$9,W108)+COUNTIF($AA$2:$AA$9,X108)</f>
        <v>5</v>
      </c>
      <c r="Z108" s="589"/>
      <c r="AA108" s="589"/>
      <c r="AB108" s="589"/>
      <c r="AC108" s="589"/>
      <c r="AD108" s="589"/>
      <c r="AE108" s="589"/>
      <c r="AF108" s="589"/>
      <c r="AG108" s="589"/>
      <c r="AH108" s="589"/>
      <c r="AI108" s="589"/>
      <c r="AJ108" s="589"/>
      <c r="AK108" s="589"/>
      <c r="AL108" s="589"/>
      <c r="AM108" s="589"/>
      <c r="AN108" s="589"/>
      <c r="AO108" s="589"/>
      <c r="AP108" s="589"/>
      <c r="AQ108" s="589"/>
      <c r="AR108" s="589"/>
      <c r="AS108" s="589"/>
      <c r="AT108" s="589"/>
      <c r="AU108" s="589"/>
      <c r="AV108" s="589"/>
      <c r="AW108" s="589"/>
      <c r="AX108" s="589"/>
      <c r="AY108" s="589"/>
      <c r="AZ108" s="589"/>
      <c r="BA108" s="589"/>
      <c r="BB108" s="589"/>
      <c r="BC108" s="589"/>
      <c r="BD108" s="589"/>
      <c r="BE108" s="589"/>
      <c r="BF108" s="589"/>
      <c r="BG108" s="589"/>
      <c r="BH108" s="589"/>
      <c r="BI108" s="589"/>
      <c r="BJ108" s="589"/>
      <c r="BK108" s="589"/>
      <c r="BL108" s="589"/>
    </row>
    <row r="109" spans="1:64" ht="14.25" customHeight="1">
      <c r="A109" s="691" t="s">
        <v>446</v>
      </c>
      <c r="B109" s="589"/>
      <c r="C109" s="589"/>
      <c r="D109" s="589"/>
      <c r="E109" s="589"/>
      <c r="F109" s="591">
        <v>108</v>
      </c>
      <c r="G109" s="691" t="s">
        <v>167</v>
      </c>
      <c r="H109" s="691" t="s">
        <v>187</v>
      </c>
      <c r="I109" s="691" t="s">
        <v>137</v>
      </c>
      <c r="J109" s="691" t="s">
        <v>147</v>
      </c>
      <c r="K109" s="691" t="s">
        <v>197</v>
      </c>
      <c r="L109" s="691" t="s">
        <v>177</v>
      </c>
      <c r="M109" s="691" t="s">
        <v>207</v>
      </c>
      <c r="N109" s="691" t="s">
        <v>227</v>
      </c>
      <c r="O109" s="589"/>
      <c r="P109" s="717" cm="1">
        <f t="array" ref="P109">F109</f>
        <v>108</v>
      </c>
      <c r="Q109" s="620" t="str" cm="1">
        <f t="array" ref="Q109">RIGHT(G109,1)</f>
        <v>E</v>
      </c>
      <c r="R109" s="590" t="str" cm="1">
        <f t="array" ref="R109">RIGHT(H109,1)</f>
        <v>G</v>
      </c>
      <c r="S109" s="590" t="str" cm="1">
        <f t="array" ref="S109">RIGHT(I109,1)</f>
        <v>B</v>
      </c>
      <c r="T109" s="590" t="str" cm="1">
        <f t="array" ref="T109">RIGHT(J109,1)</f>
        <v>C</v>
      </c>
      <c r="U109" s="590" t="str" cm="1">
        <f t="array" ref="U109">RIGHT(K109,1)</f>
        <v>H</v>
      </c>
      <c r="V109" s="590" t="str" cm="1">
        <f t="array" ref="V109">RIGHT(L109,1)</f>
        <v>F</v>
      </c>
      <c r="W109" s="590" t="str" cm="1">
        <f t="array" ref="W109">RIGHT(M109,1)</f>
        <v>I</v>
      </c>
      <c r="X109" s="590" t="str" cm="1">
        <f t="array" ref="X109">RIGHT(N109,1)</f>
        <v>K</v>
      </c>
      <c r="Y109" s="708" cm="1">
        <f t="array" ref="Y109">COUNTIF($AA$2:$AA$9,Q109)+COUNTIF($AA$2:$AA$9,R109)+COUNTIF($AA$2:$AA$9,S109)+COUNTIF($AA$2:$AA$9,T109)+COUNTIF($AA$2:$AA$9,U109)+COUNTIF($AA$2:$AA$9,V109)+COUNTIF($AA$2:$AA$9,W109)+COUNTIF($AA$2:$AA$9,X109)</f>
        <v>4</v>
      </c>
      <c r="Z109" s="589"/>
      <c r="AA109" s="589"/>
      <c r="AB109" s="589"/>
      <c r="AC109" s="589"/>
      <c r="AD109" s="589"/>
      <c r="AE109" s="589"/>
      <c r="AF109" s="589"/>
      <c r="AG109" s="589"/>
      <c r="AH109" s="589"/>
      <c r="AI109" s="589"/>
      <c r="AJ109" s="589"/>
      <c r="AK109" s="589"/>
      <c r="AL109" s="589"/>
      <c r="AM109" s="589"/>
      <c r="AN109" s="589"/>
      <c r="AO109" s="589"/>
      <c r="AP109" s="589"/>
      <c r="AQ109" s="589"/>
      <c r="AR109" s="589"/>
      <c r="AS109" s="589"/>
      <c r="AT109" s="589"/>
      <c r="AU109" s="589"/>
      <c r="AV109" s="589"/>
      <c r="AW109" s="589"/>
      <c r="AX109" s="589"/>
      <c r="AY109" s="589"/>
      <c r="AZ109" s="589"/>
      <c r="BA109" s="589"/>
      <c r="BB109" s="589"/>
      <c r="BC109" s="589"/>
      <c r="BD109" s="589"/>
      <c r="BE109" s="589"/>
      <c r="BF109" s="589"/>
      <c r="BG109" s="589"/>
      <c r="BH109" s="589"/>
      <c r="BI109" s="589"/>
      <c r="BJ109" s="589"/>
      <c r="BK109" s="589"/>
      <c r="BL109" s="589"/>
    </row>
    <row r="110" spans="1:64" ht="14.25" customHeight="1">
      <c r="A110" s="691" t="s">
        <v>447</v>
      </c>
      <c r="B110" s="589"/>
      <c r="C110" s="589"/>
      <c r="D110" s="589"/>
      <c r="E110" s="589"/>
      <c r="F110" s="591">
        <v>109</v>
      </c>
      <c r="G110" s="691" t="s">
        <v>197</v>
      </c>
      <c r="H110" s="691" t="s">
        <v>187</v>
      </c>
      <c r="I110" s="691" t="s">
        <v>137</v>
      </c>
      <c r="J110" s="691" t="s">
        <v>147</v>
      </c>
      <c r="K110" s="691" t="s">
        <v>217</v>
      </c>
      <c r="L110" s="691" t="s">
        <v>177</v>
      </c>
      <c r="M110" s="691" t="s">
        <v>167</v>
      </c>
      <c r="N110" s="691" t="s">
        <v>207</v>
      </c>
      <c r="O110" s="589"/>
      <c r="P110" s="717" cm="1">
        <f t="array" ref="P110">F110</f>
        <v>109</v>
      </c>
      <c r="Q110" s="620" t="str" cm="1">
        <f t="array" ref="Q110">RIGHT(G110,1)</f>
        <v>H</v>
      </c>
      <c r="R110" s="590" t="str" cm="1">
        <f t="array" ref="R110">RIGHT(H110,1)</f>
        <v>G</v>
      </c>
      <c r="S110" s="590" t="str" cm="1">
        <f t="array" ref="S110">RIGHT(I110,1)</f>
        <v>B</v>
      </c>
      <c r="T110" s="590" t="str" cm="1">
        <f t="array" ref="T110">RIGHT(J110,1)</f>
        <v>C</v>
      </c>
      <c r="U110" s="590" t="str" cm="1">
        <f t="array" ref="U110">RIGHT(K110,1)</f>
        <v>J</v>
      </c>
      <c r="V110" s="590" t="str" cm="1">
        <f t="array" ref="V110">RIGHT(L110,1)</f>
        <v>F</v>
      </c>
      <c r="W110" s="590" t="str" cm="1">
        <f t="array" ref="W110">RIGHT(M110,1)</f>
        <v>E</v>
      </c>
      <c r="X110" s="590" t="str" cm="1">
        <f t="array" ref="X110">RIGHT(N110,1)</f>
        <v>I</v>
      </c>
      <c r="Y110" s="708" cm="1">
        <f t="array" ref="Y110">COUNTIF($AA$2:$AA$9,Q110)+COUNTIF($AA$2:$AA$9,R110)+COUNTIF($AA$2:$AA$9,S110)+COUNTIF($AA$2:$AA$9,T110)+COUNTIF($AA$2:$AA$9,U110)+COUNTIF($AA$2:$AA$9,V110)+COUNTIF($AA$2:$AA$9,W110)+COUNTIF($AA$2:$AA$9,X110)</f>
        <v>5</v>
      </c>
      <c r="Z110" s="589"/>
      <c r="AA110" s="589"/>
      <c r="AB110" s="589"/>
      <c r="AC110" s="589"/>
      <c r="AD110" s="589"/>
      <c r="AE110" s="589"/>
      <c r="AF110" s="589"/>
      <c r="AG110" s="589"/>
      <c r="AH110" s="589"/>
      <c r="AI110" s="589"/>
      <c r="AJ110" s="589"/>
      <c r="AK110" s="589"/>
      <c r="AL110" s="589"/>
      <c r="AM110" s="589"/>
      <c r="AN110" s="589"/>
      <c r="AO110" s="589"/>
      <c r="AP110" s="589"/>
      <c r="AQ110" s="589"/>
      <c r="AR110" s="589"/>
      <c r="AS110" s="589"/>
      <c r="AT110" s="589"/>
      <c r="AU110" s="589"/>
      <c r="AV110" s="589"/>
      <c r="AW110" s="589"/>
      <c r="AX110" s="589"/>
      <c r="AY110" s="589"/>
      <c r="AZ110" s="589"/>
      <c r="BA110" s="589"/>
      <c r="BB110" s="589"/>
      <c r="BC110" s="589"/>
      <c r="BD110" s="589"/>
      <c r="BE110" s="589"/>
      <c r="BF110" s="589"/>
      <c r="BG110" s="589"/>
      <c r="BH110" s="589"/>
      <c r="BI110" s="589"/>
      <c r="BJ110" s="589"/>
      <c r="BK110" s="589"/>
      <c r="BL110" s="589"/>
    </row>
    <row r="111" spans="1:64" ht="14.25" customHeight="1">
      <c r="A111" s="691" t="s">
        <v>448</v>
      </c>
      <c r="B111" s="589"/>
      <c r="C111" s="589"/>
      <c r="D111" s="589"/>
      <c r="E111" s="589"/>
      <c r="F111" s="591">
        <v>110</v>
      </c>
      <c r="G111" s="691" t="s">
        <v>197</v>
      </c>
      <c r="H111" s="691" t="s">
        <v>217</v>
      </c>
      <c r="I111" s="691" t="s">
        <v>137</v>
      </c>
      <c r="J111" s="691" t="s">
        <v>147</v>
      </c>
      <c r="K111" s="691" t="s">
        <v>207</v>
      </c>
      <c r="L111" s="691" t="s">
        <v>157</v>
      </c>
      <c r="M111" s="691" t="s">
        <v>237</v>
      </c>
      <c r="N111" s="691" t="s">
        <v>227</v>
      </c>
      <c r="O111" s="589"/>
      <c r="P111" s="717" cm="1">
        <f t="array" ref="P111">F111</f>
        <v>110</v>
      </c>
      <c r="Q111" s="620" t="str" cm="1">
        <f t="array" ref="Q111">RIGHT(G111,1)</f>
        <v>H</v>
      </c>
      <c r="R111" s="590" t="str" cm="1">
        <f t="array" ref="R111">RIGHT(H111,1)</f>
        <v>J</v>
      </c>
      <c r="S111" s="590" t="str" cm="1">
        <f t="array" ref="S111">RIGHT(I111,1)</f>
        <v>B</v>
      </c>
      <c r="T111" s="590" t="str" cm="1">
        <f t="array" ref="T111">RIGHT(J111,1)</f>
        <v>C</v>
      </c>
      <c r="U111" s="590" t="str" cm="1">
        <f t="array" ref="U111">RIGHT(K111,1)</f>
        <v>I</v>
      </c>
      <c r="V111" s="590" t="str" cm="1">
        <f t="array" ref="V111">RIGHT(L111,1)</f>
        <v>D</v>
      </c>
      <c r="W111" s="590" t="str" cm="1">
        <f t="array" ref="W111">RIGHT(M111,1)</f>
        <v>L</v>
      </c>
      <c r="X111" s="590" t="str" cm="1">
        <f t="array" ref="X111">RIGHT(N111,1)</f>
        <v>K</v>
      </c>
      <c r="Y111" s="708" cm="1">
        <f t="array" ref="Y111">COUNTIF($AA$2:$AA$9,Q111)+COUNTIF($AA$2:$AA$9,R111)+COUNTIF($AA$2:$AA$9,S111)+COUNTIF($AA$2:$AA$9,T111)+COUNTIF($AA$2:$AA$9,U111)+COUNTIF($AA$2:$AA$9,V111)+COUNTIF($AA$2:$AA$9,W111)+COUNTIF($AA$2:$AA$9,X111)</f>
        <v>5</v>
      </c>
      <c r="Z111" s="589"/>
      <c r="AA111" s="589"/>
      <c r="AB111" s="589"/>
      <c r="AC111" s="589"/>
      <c r="AD111" s="589"/>
      <c r="AE111" s="589"/>
      <c r="AF111" s="589"/>
      <c r="AG111" s="589"/>
      <c r="AH111" s="589"/>
      <c r="AI111" s="589"/>
      <c r="AJ111" s="589"/>
      <c r="AK111" s="589"/>
      <c r="AL111" s="589"/>
      <c r="AM111" s="589"/>
      <c r="AN111" s="589"/>
      <c r="AO111" s="589"/>
      <c r="AP111" s="589"/>
      <c r="AQ111" s="589"/>
      <c r="AR111" s="589"/>
      <c r="AS111" s="589"/>
      <c r="AT111" s="589"/>
      <c r="AU111" s="589"/>
      <c r="AV111" s="589"/>
      <c r="AW111" s="589"/>
      <c r="AX111" s="589"/>
      <c r="AY111" s="589"/>
      <c r="AZ111" s="589"/>
      <c r="BA111" s="589"/>
      <c r="BB111" s="589"/>
      <c r="BC111" s="589"/>
      <c r="BD111" s="589"/>
      <c r="BE111" s="589"/>
      <c r="BF111" s="589"/>
      <c r="BG111" s="589"/>
      <c r="BH111" s="589"/>
      <c r="BI111" s="589"/>
      <c r="BJ111" s="589"/>
      <c r="BK111" s="589"/>
      <c r="BL111" s="589"/>
    </row>
    <row r="112" spans="1:64" ht="14.25" customHeight="1">
      <c r="A112" s="691" t="s">
        <v>449</v>
      </c>
      <c r="B112" s="589"/>
      <c r="C112" s="589"/>
      <c r="D112" s="589"/>
      <c r="E112" s="589"/>
      <c r="F112" s="591">
        <v>111</v>
      </c>
      <c r="G112" s="691" t="s">
        <v>207</v>
      </c>
      <c r="H112" s="691" t="s">
        <v>187</v>
      </c>
      <c r="I112" s="691" t="s">
        <v>137</v>
      </c>
      <c r="J112" s="691" t="s">
        <v>147</v>
      </c>
      <c r="K112" s="691" t="s">
        <v>217</v>
      </c>
      <c r="L112" s="691" t="s">
        <v>157</v>
      </c>
      <c r="M112" s="691" t="s">
        <v>237</v>
      </c>
      <c r="N112" s="691" t="s">
        <v>227</v>
      </c>
      <c r="O112" s="589"/>
      <c r="P112" s="717" cm="1">
        <f t="array" ref="P112">F112</f>
        <v>111</v>
      </c>
      <c r="Q112" s="620" t="str" cm="1">
        <f t="array" ref="Q112">RIGHT(G112,1)</f>
        <v>I</v>
      </c>
      <c r="R112" s="590" t="str" cm="1">
        <f t="array" ref="R112">RIGHT(H112,1)</f>
        <v>G</v>
      </c>
      <c r="S112" s="590" t="str" cm="1">
        <f t="array" ref="S112">RIGHT(I112,1)</f>
        <v>B</v>
      </c>
      <c r="T112" s="590" t="str" cm="1">
        <f t="array" ref="T112">RIGHT(J112,1)</f>
        <v>C</v>
      </c>
      <c r="U112" s="590" t="str" cm="1">
        <f t="array" ref="U112">RIGHT(K112,1)</f>
        <v>J</v>
      </c>
      <c r="V112" s="590" t="str" cm="1">
        <f t="array" ref="V112">RIGHT(L112,1)</f>
        <v>D</v>
      </c>
      <c r="W112" s="590" t="str" cm="1">
        <f t="array" ref="W112">RIGHT(M112,1)</f>
        <v>L</v>
      </c>
      <c r="X112" s="590" t="str" cm="1">
        <f t="array" ref="X112">RIGHT(N112,1)</f>
        <v>K</v>
      </c>
      <c r="Y112" s="708" cm="1">
        <f t="array" ref="Y112">COUNTIF($AA$2:$AA$9,Q112)+COUNTIF($AA$2:$AA$9,R112)+COUNTIF($AA$2:$AA$9,S112)+COUNTIF($AA$2:$AA$9,T112)+COUNTIF($AA$2:$AA$9,U112)+COUNTIF($AA$2:$AA$9,V112)+COUNTIF($AA$2:$AA$9,W112)+COUNTIF($AA$2:$AA$9,X112)</f>
        <v>5</v>
      </c>
      <c r="Z112" s="589"/>
      <c r="AA112" s="589"/>
      <c r="AB112" s="589"/>
      <c r="AC112" s="589"/>
      <c r="AD112" s="589"/>
      <c r="AE112" s="589"/>
      <c r="AF112" s="589"/>
      <c r="AG112" s="589"/>
      <c r="AH112" s="589"/>
      <c r="AI112" s="589"/>
      <c r="AJ112" s="589"/>
      <c r="AK112" s="589"/>
      <c r="AL112" s="589"/>
      <c r="AM112" s="589"/>
      <c r="AN112" s="589"/>
      <c r="AO112" s="589"/>
      <c r="AP112" s="589"/>
      <c r="AQ112" s="589"/>
      <c r="AR112" s="589"/>
      <c r="AS112" s="589"/>
      <c r="AT112" s="589"/>
      <c r="AU112" s="589"/>
      <c r="AV112" s="589"/>
      <c r="AW112" s="589"/>
      <c r="AX112" s="589"/>
      <c r="AY112" s="589"/>
      <c r="AZ112" s="589"/>
      <c r="BA112" s="589"/>
      <c r="BB112" s="589"/>
      <c r="BC112" s="589"/>
      <c r="BD112" s="589"/>
      <c r="BE112" s="589"/>
      <c r="BF112" s="589"/>
      <c r="BG112" s="589"/>
      <c r="BH112" s="589"/>
      <c r="BI112" s="589"/>
      <c r="BJ112" s="589"/>
      <c r="BK112" s="589"/>
      <c r="BL112" s="589"/>
    </row>
    <row r="113" spans="1:64" ht="14.25" customHeight="1">
      <c r="A113" s="691" t="s">
        <v>450</v>
      </c>
      <c r="B113" s="589"/>
      <c r="C113" s="589"/>
      <c r="D113" s="589"/>
      <c r="E113" s="589"/>
      <c r="F113" s="591">
        <v>112</v>
      </c>
      <c r="G113" s="691" t="s">
        <v>197</v>
      </c>
      <c r="H113" s="691" t="s">
        <v>187</v>
      </c>
      <c r="I113" s="691" t="s">
        <v>137</v>
      </c>
      <c r="J113" s="691" t="s">
        <v>147</v>
      </c>
      <c r="K113" s="691" t="s">
        <v>217</v>
      </c>
      <c r="L113" s="691" t="s">
        <v>157</v>
      </c>
      <c r="M113" s="691" t="s">
        <v>237</v>
      </c>
      <c r="N113" s="691" t="s">
        <v>227</v>
      </c>
      <c r="O113" s="589"/>
      <c r="P113" s="717" cm="1">
        <f t="array" ref="P113">F113</f>
        <v>112</v>
      </c>
      <c r="Q113" s="620" t="str" cm="1">
        <f t="array" ref="Q113">RIGHT(G113,1)</f>
        <v>H</v>
      </c>
      <c r="R113" s="590" t="str" cm="1">
        <f t="array" ref="R113">RIGHT(H113,1)</f>
        <v>G</v>
      </c>
      <c r="S113" s="590" t="str" cm="1">
        <f t="array" ref="S113">RIGHT(I113,1)</f>
        <v>B</v>
      </c>
      <c r="T113" s="590" t="str" cm="1">
        <f t="array" ref="T113">RIGHT(J113,1)</f>
        <v>C</v>
      </c>
      <c r="U113" s="590" t="str" cm="1">
        <f t="array" ref="U113">RIGHT(K113,1)</f>
        <v>J</v>
      </c>
      <c r="V113" s="590" t="str" cm="1">
        <f t="array" ref="V113">RIGHT(L113,1)</f>
        <v>D</v>
      </c>
      <c r="W113" s="590" t="str" cm="1">
        <f t="array" ref="W113">RIGHT(M113,1)</f>
        <v>L</v>
      </c>
      <c r="X113" s="590" t="str" cm="1">
        <f t="array" ref="X113">RIGHT(N113,1)</f>
        <v>K</v>
      </c>
      <c r="Y113" s="708" cm="1">
        <f t="array" ref="Y113">COUNTIF($AA$2:$AA$9,Q113)+COUNTIF($AA$2:$AA$9,R113)+COUNTIF($AA$2:$AA$9,S113)+COUNTIF($AA$2:$AA$9,T113)+COUNTIF($AA$2:$AA$9,U113)+COUNTIF($AA$2:$AA$9,V113)+COUNTIF($AA$2:$AA$9,W113)+COUNTIF($AA$2:$AA$9,X113)</f>
        <v>4</v>
      </c>
      <c r="Z113" s="589"/>
      <c r="AA113" s="589"/>
      <c r="AB113" s="589"/>
      <c r="AC113" s="589"/>
      <c r="AD113" s="589"/>
      <c r="AE113" s="589"/>
      <c r="AF113" s="589"/>
      <c r="AG113" s="589"/>
      <c r="AH113" s="589"/>
      <c r="AI113" s="589"/>
      <c r="AJ113" s="589"/>
      <c r="AK113" s="589"/>
      <c r="AL113" s="589"/>
      <c r="AM113" s="589"/>
      <c r="AN113" s="589"/>
      <c r="AO113" s="589"/>
      <c r="AP113" s="589"/>
      <c r="AQ113" s="589"/>
      <c r="AR113" s="589"/>
      <c r="AS113" s="589"/>
      <c r="AT113" s="589"/>
      <c r="AU113" s="589"/>
      <c r="AV113" s="589"/>
      <c r="AW113" s="589"/>
      <c r="AX113" s="589"/>
      <c r="AY113" s="589"/>
      <c r="AZ113" s="589"/>
      <c r="BA113" s="589"/>
      <c r="BB113" s="589"/>
      <c r="BC113" s="589"/>
      <c r="BD113" s="589"/>
      <c r="BE113" s="589"/>
      <c r="BF113" s="589"/>
      <c r="BG113" s="589"/>
      <c r="BH113" s="589"/>
      <c r="BI113" s="589"/>
      <c r="BJ113" s="589"/>
      <c r="BK113" s="589"/>
      <c r="BL113" s="589"/>
    </row>
    <row r="114" spans="1:64" ht="14.25" customHeight="1">
      <c r="A114" s="691" t="s">
        <v>451</v>
      </c>
      <c r="B114" s="589"/>
      <c r="C114" s="589"/>
      <c r="D114" s="589"/>
      <c r="E114" s="589"/>
      <c r="F114" s="591">
        <v>113</v>
      </c>
      <c r="G114" s="691" t="s">
        <v>197</v>
      </c>
      <c r="H114" s="691" t="s">
        <v>187</v>
      </c>
      <c r="I114" s="691" t="s">
        <v>137</v>
      </c>
      <c r="J114" s="691" t="s">
        <v>147</v>
      </c>
      <c r="K114" s="691" t="s">
        <v>207</v>
      </c>
      <c r="L114" s="691" t="s">
        <v>157</v>
      </c>
      <c r="M114" s="691" t="s">
        <v>237</v>
      </c>
      <c r="N114" s="691" t="s">
        <v>227</v>
      </c>
      <c r="O114" s="589"/>
      <c r="P114" s="717" cm="1">
        <f t="array" ref="P114">F114</f>
        <v>113</v>
      </c>
      <c r="Q114" s="620" t="str" cm="1">
        <f t="array" ref="Q114">RIGHT(G114,1)</f>
        <v>H</v>
      </c>
      <c r="R114" s="590" t="str" cm="1">
        <f t="array" ref="R114">RIGHT(H114,1)</f>
        <v>G</v>
      </c>
      <c r="S114" s="590" t="str" cm="1">
        <f t="array" ref="S114">RIGHT(I114,1)</f>
        <v>B</v>
      </c>
      <c r="T114" s="590" t="str" cm="1">
        <f t="array" ref="T114">RIGHT(J114,1)</f>
        <v>C</v>
      </c>
      <c r="U114" s="590" t="str" cm="1">
        <f t="array" ref="U114">RIGHT(K114,1)</f>
        <v>I</v>
      </c>
      <c r="V114" s="590" t="str" cm="1">
        <f t="array" ref="V114">RIGHT(L114,1)</f>
        <v>D</v>
      </c>
      <c r="W114" s="590" t="str" cm="1">
        <f t="array" ref="W114">RIGHT(M114,1)</f>
        <v>L</v>
      </c>
      <c r="X114" s="590" t="str" cm="1">
        <f t="array" ref="X114">RIGHT(N114,1)</f>
        <v>K</v>
      </c>
      <c r="Y114" s="708" cm="1">
        <f t="array" ref="Y114">COUNTIF($AA$2:$AA$9,Q114)+COUNTIF($AA$2:$AA$9,R114)+COUNTIF($AA$2:$AA$9,S114)+COUNTIF($AA$2:$AA$9,T114)+COUNTIF($AA$2:$AA$9,U114)+COUNTIF($AA$2:$AA$9,V114)+COUNTIF($AA$2:$AA$9,W114)+COUNTIF($AA$2:$AA$9,X114)</f>
        <v>4</v>
      </c>
      <c r="Z114" s="589"/>
      <c r="AA114" s="589"/>
      <c r="AB114" s="589"/>
      <c r="AC114" s="589"/>
      <c r="AD114" s="589"/>
      <c r="AE114" s="589"/>
      <c r="AF114" s="589"/>
      <c r="AG114" s="589"/>
      <c r="AH114" s="589"/>
      <c r="AI114" s="589"/>
      <c r="AJ114" s="589"/>
      <c r="AK114" s="589"/>
      <c r="AL114" s="589"/>
      <c r="AM114" s="589"/>
      <c r="AN114" s="589"/>
      <c r="AO114" s="589"/>
      <c r="AP114" s="589"/>
      <c r="AQ114" s="589"/>
      <c r="AR114" s="589"/>
      <c r="AS114" s="589"/>
      <c r="AT114" s="589"/>
      <c r="AU114" s="589"/>
      <c r="AV114" s="589"/>
      <c r="AW114" s="589"/>
      <c r="AX114" s="589"/>
      <c r="AY114" s="589"/>
      <c r="AZ114" s="589"/>
      <c r="BA114" s="589"/>
      <c r="BB114" s="589"/>
      <c r="BC114" s="589"/>
      <c r="BD114" s="589"/>
      <c r="BE114" s="589"/>
      <c r="BF114" s="589"/>
      <c r="BG114" s="589"/>
      <c r="BH114" s="589"/>
      <c r="BI114" s="589"/>
      <c r="BJ114" s="589"/>
      <c r="BK114" s="589"/>
      <c r="BL114" s="589"/>
    </row>
    <row r="115" spans="1:64" ht="14.25" customHeight="1">
      <c r="A115" s="691" t="s">
        <v>452</v>
      </c>
      <c r="B115" s="589"/>
      <c r="C115" s="589"/>
      <c r="D115" s="589"/>
      <c r="E115" s="589"/>
      <c r="F115" s="591">
        <v>114</v>
      </c>
      <c r="G115" s="691" t="s">
        <v>197</v>
      </c>
      <c r="H115" s="691" t="s">
        <v>187</v>
      </c>
      <c r="I115" s="691" t="s">
        <v>137</v>
      </c>
      <c r="J115" s="691" t="s">
        <v>147</v>
      </c>
      <c r="K115" s="691" t="s">
        <v>217</v>
      </c>
      <c r="L115" s="691" t="s">
        <v>157</v>
      </c>
      <c r="M115" s="691" t="s">
        <v>237</v>
      </c>
      <c r="N115" s="691" t="s">
        <v>207</v>
      </c>
      <c r="O115" s="589"/>
      <c r="P115" s="717" cm="1">
        <f t="array" ref="P115">F115</f>
        <v>114</v>
      </c>
      <c r="Q115" s="620" t="str" cm="1">
        <f t="array" ref="Q115">RIGHT(G115,1)</f>
        <v>H</v>
      </c>
      <c r="R115" s="590" t="str" cm="1">
        <f t="array" ref="R115">RIGHT(H115,1)</f>
        <v>G</v>
      </c>
      <c r="S115" s="590" t="str" cm="1">
        <f t="array" ref="S115">RIGHT(I115,1)</f>
        <v>B</v>
      </c>
      <c r="T115" s="590" t="str" cm="1">
        <f t="array" ref="T115">RIGHT(J115,1)</f>
        <v>C</v>
      </c>
      <c r="U115" s="590" t="str" cm="1">
        <f t="array" ref="U115">RIGHT(K115,1)</f>
        <v>J</v>
      </c>
      <c r="V115" s="590" t="str" cm="1">
        <f t="array" ref="V115">RIGHT(L115,1)</f>
        <v>D</v>
      </c>
      <c r="W115" s="590" t="str" cm="1">
        <f t="array" ref="W115">RIGHT(M115,1)</f>
        <v>L</v>
      </c>
      <c r="X115" s="590" t="str" cm="1">
        <f t="array" ref="X115">RIGHT(N115,1)</f>
        <v>I</v>
      </c>
      <c r="Y115" s="708" cm="1">
        <f t="array" ref="Y115">COUNTIF($AA$2:$AA$9,Q115)+COUNTIF($AA$2:$AA$9,R115)+COUNTIF($AA$2:$AA$9,S115)+COUNTIF($AA$2:$AA$9,T115)+COUNTIF($AA$2:$AA$9,U115)+COUNTIF($AA$2:$AA$9,V115)+COUNTIF($AA$2:$AA$9,W115)+COUNTIF($AA$2:$AA$9,X115)</f>
        <v>5</v>
      </c>
      <c r="Z115" s="589"/>
      <c r="AA115" s="589"/>
      <c r="AB115" s="589"/>
      <c r="AC115" s="589"/>
      <c r="AD115" s="589"/>
      <c r="AE115" s="589"/>
      <c r="AF115" s="589"/>
      <c r="AG115" s="589"/>
      <c r="AH115" s="589"/>
      <c r="AI115" s="589"/>
      <c r="AJ115" s="589"/>
      <c r="AK115" s="589"/>
      <c r="AL115" s="589"/>
      <c r="AM115" s="589"/>
      <c r="AN115" s="589"/>
      <c r="AO115" s="589"/>
      <c r="AP115" s="589"/>
      <c r="AQ115" s="589"/>
      <c r="AR115" s="589"/>
      <c r="AS115" s="589"/>
      <c r="AT115" s="589"/>
      <c r="AU115" s="589"/>
      <c r="AV115" s="589"/>
      <c r="AW115" s="589"/>
      <c r="AX115" s="589"/>
      <c r="AY115" s="589"/>
      <c r="AZ115" s="589"/>
      <c r="BA115" s="589"/>
      <c r="BB115" s="589"/>
      <c r="BC115" s="589"/>
      <c r="BD115" s="589"/>
      <c r="BE115" s="589"/>
      <c r="BF115" s="589"/>
      <c r="BG115" s="589"/>
      <c r="BH115" s="589"/>
      <c r="BI115" s="589"/>
      <c r="BJ115" s="589"/>
      <c r="BK115" s="589"/>
      <c r="BL115" s="589"/>
    </row>
    <row r="116" spans="1:64" ht="14.25" customHeight="1">
      <c r="A116" s="691" t="s">
        <v>453</v>
      </c>
      <c r="B116" s="589"/>
      <c r="C116" s="589"/>
      <c r="D116" s="589"/>
      <c r="E116" s="589"/>
      <c r="F116" s="591">
        <v>115</v>
      </c>
      <c r="G116" s="691" t="s">
        <v>197</v>
      </c>
      <c r="H116" s="691" t="s">
        <v>187</v>
      </c>
      <c r="I116" s="691" t="s">
        <v>137</v>
      </c>
      <c r="J116" s="691" t="s">
        <v>147</v>
      </c>
      <c r="K116" s="691" t="s">
        <v>217</v>
      </c>
      <c r="L116" s="691" t="s">
        <v>157</v>
      </c>
      <c r="M116" s="691" t="s">
        <v>207</v>
      </c>
      <c r="N116" s="691" t="s">
        <v>227</v>
      </c>
      <c r="O116" s="589"/>
      <c r="P116" s="717" cm="1">
        <f t="array" ref="P116">F116</f>
        <v>115</v>
      </c>
      <c r="Q116" s="620" t="str" cm="1">
        <f t="array" ref="Q116">RIGHT(G116,1)</f>
        <v>H</v>
      </c>
      <c r="R116" s="590" t="str" cm="1">
        <f t="array" ref="R116">RIGHT(H116,1)</f>
        <v>G</v>
      </c>
      <c r="S116" s="590" t="str" cm="1">
        <f t="array" ref="S116">RIGHT(I116,1)</f>
        <v>B</v>
      </c>
      <c r="T116" s="590" t="str" cm="1">
        <f t="array" ref="T116">RIGHT(J116,1)</f>
        <v>C</v>
      </c>
      <c r="U116" s="590" t="str" cm="1">
        <f t="array" ref="U116">RIGHT(K116,1)</f>
        <v>J</v>
      </c>
      <c r="V116" s="590" t="str" cm="1">
        <f t="array" ref="V116">RIGHT(L116,1)</f>
        <v>D</v>
      </c>
      <c r="W116" s="590" t="str" cm="1">
        <f t="array" ref="W116">RIGHT(M116,1)</f>
        <v>I</v>
      </c>
      <c r="X116" s="590" t="str" cm="1">
        <f t="array" ref="X116">RIGHT(N116,1)</f>
        <v>K</v>
      </c>
      <c r="Y116" s="708" cm="1">
        <f t="array" ref="Y116">COUNTIF($AA$2:$AA$9,Q116)+COUNTIF($AA$2:$AA$9,R116)+COUNTIF($AA$2:$AA$9,S116)+COUNTIF($AA$2:$AA$9,T116)+COUNTIF($AA$2:$AA$9,U116)+COUNTIF($AA$2:$AA$9,V116)+COUNTIF($AA$2:$AA$9,W116)+COUNTIF($AA$2:$AA$9,X116)</f>
        <v>4</v>
      </c>
      <c r="Z116" s="589"/>
      <c r="AA116" s="589"/>
      <c r="AB116" s="589"/>
      <c r="AC116" s="589"/>
      <c r="AD116" s="589"/>
      <c r="AE116" s="589"/>
      <c r="AF116" s="589"/>
      <c r="AG116" s="589"/>
      <c r="AH116" s="589"/>
      <c r="AI116" s="589"/>
      <c r="AJ116" s="589"/>
      <c r="AK116" s="589"/>
      <c r="AL116" s="589"/>
      <c r="AM116" s="589"/>
      <c r="AN116" s="589"/>
      <c r="AO116" s="589"/>
      <c r="AP116" s="589"/>
      <c r="AQ116" s="589"/>
      <c r="AR116" s="589"/>
      <c r="AS116" s="589"/>
      <c r="AT116" s="589"/>
      <c r="AU116" s="589"/>
      <c r="AV116" s="589"/>
      <c r="AW116" s="589"/>
      <c r="AX116" s="589"/>
      <c r="AY116" s="589"/>
      <c r="AZ116" s="589"/>
      <c r="BA116" s="589"/>
      <c r="BB116" s="589"/>
      <c r="BC116" s="589"/>
      <c r="BD116" s="589"/>
      <c r="BE116" s="589"/>
      <c r="BF116" s="589"/>
      <c r="BG116" s="589"/>
      <c r="BH116" s="589"/>
      <c r="BI116" s="589"/>
      <c r="BJ116" s="589"/>
      <c r="BK116" s="589"/>
      <c r="BL116" s="589"/>
    </row>
    <row r="117" spans="1:64" ht="14.25" customHeight="1">
      <c r="A117" s="691" t="s">
        <v>454</v>
      </c>
      <c r="B117" s="589"/>
      <c r="C117" s="589"/>
      <c r="D117" s="589"/>
      <c r="E117" s="589"/>
      <c r="F117" s="591">
        <v>116</v>
      </c>
      <c r="G117" s="691" t="s">
        <v>147</v>
      </c>
      <c r="H117" s="691" t="s">
        <v>217</v>
      </c>
      <c r="I117" s="691" t="s">
        <v>137</v>
      </c>
      <c r="J117" s="691" t="s">
        <v>157</v>
      </c>
      <c r="K117" s="691" t="s">
        <v>207</v>
      </c>
      <c r="L117" s="691" t="s">
        <v>177</v>
      </c>
      <c r="M117" s="691" t="s">
        <v>237</v>
      </c>
      <c r="N117" s="691" t="s">
        <v>227</v>
      </c>
      <c r="O117" s="589"/>
      <c r="P117" s="717" cm="1">
        <f t="array" ref="P117">F117</f>
        <v>116</v>
      </c>
      <c r="Q117" s="620" t="str" cm="1">
        <f t="array" ref="Q117">RIGHT(G117,1)</f>
        <v>C</v>
      </c>
      <c r="R117" s="590" t="str" cm="1">
        <f t="array" ref="R117">RIGHT(H117,1)</f>
        <v>J</v>
      </c>
      <c r="S117" s="590" t="str" cm="1">
        <f t="array" ref="S117">RIGHT(I117,1)</f>
        <v>B</v>
      </c>
      <c r="T117" s="590" t="str" cm="1">
        <f t="array" ref="T117">RIGHT(J117,1)</f>
        <v>D</v>
      </c>
      <c r="U117" s="590" t="str" cm="1">
        <f t="array" ref="U117">RIGHT(K117,1)</f>
        <v>I</v>
      </c>
      <c r="V117" s="590" t="str" cm="1">
        <f t="array" ref="V117">RIGHT(L117,1)</f>
        <v>F</v>
      </c>
      <c r="W117" s="590" t="str" cm="1">
        <f t="array" ref="W117">RIGHT(M117,1)</f>
        <v>L</v>
      </c>
      <c r="X117" s="590" t="str" cm="1">
        <f t="array" ref="X117">RIGHT(N117,1)</f>
        <v>K</v>
      </c>
      <c r="Y117" s="708" cm="1">
        <f t="array" ref="Y117">COUNTIF($AA$2:$AA$9,Q117)+COUNTIF($AA$2:$AA$9,R117)+COUNTIF($AA$2:$AA$9,S117)+COUNTIF($AA$2:$AA$9,T117)+COUNTIF($AA$2:$AA$9,U117)+COUNTIF($AA$2:$AA$9,V117)+COUNTIF($AA$2:$AA$9,W117)+COUNTIF($AA$2:$AA$9,X117)</f>
        <v>6</v>
      </c>
      <c r="Z117" s="589"/>
      <c r="AA117" s="589"/>
      <c r="AB117" s="589"/>
      <c r="AC117" s="589"/>
      <c r="AD117" s="589"/>
      <c r="AE117" s="589"/>
      <c r="AF117" s="589"/>
      <c r="AG117" s="589"/>
      <c r="AH117" s="589"/>
      <c r="AI117" s="589"/>
      <c r="AJ117" s="589"/>
      <c r="AK117" s="589"/>
      <c r="AL117" s="589"/>
      <c r="AM117" s="589"/>
      <c r="AN117" s="589"/>
      <c r="AO117" s="589"/>
      <c r="AP117" s="589"/>
      <c r="AQ117" s="589"/>
      <c r="AR117" s="589"/>
      <c r="AS117" s="589"/>
      <c r="AT117" s="589"/>
      <c r="AU117" s="589"/>
      <c r="AV117" s="589"/>
      <c r="AW117" s="589"/>
      <c r="AX117" s="589"/>
      <c r="AY117" s="589"/>
      <c r="AZ117" s="589"/>
      <c r="BA117" s="589"/>
      <c r="BB117" s="589"/>
      <c r="BC117" s="589"/>
      <c r="BD117" s="589"/>
      <c r="BE117" s="589"/>
      <c r="BF117" s="589"/>
      <c r="BG117" s="589"/>
      <c r="BH117" s="589"/>
      <c r="BI117" s="589"/>
      <c r="BJ117" s="589"/>
      <c r="BK117" s="589"/>
      <c r="BL117" s="589"/>
    </row>
    <row r="118" spans="1:64" ht="14.25" customHeight="1">
      <c r="A118" s="691" t="s">
        <v>455</v>
      </c>
      <c r="B118" s="589"/>
      <c r="C118" s="589"/>
      <c r="D118" s="589"/>
      <c r="E118" s="589"/>
      <c r="F118" s="591">
        <v>117</v>
      </c>
      <c r="G118" s="691" t="s">
        <v>147</v>
      </c>
      <c r="H118" s="691" t="s">
        <v>217</v>
      </c>
      <c r="I118" s="691" t="s">
        <v>137</v>
      </c>
      <c r="J118" s="691" t="s">
        <v>157</v>
      </c>
      <c r="K118" s="691" t="s">
        <v>197</v>
      </c>
      <c r="L118" s="691" t="s">
        <v>177</v>
      </c>
      <c r="M118" s="691" t="s">
        <v>237</v>
      </c>
      <c r="N118" s="691" t="s">
        <v>227</v>
      </c>
      <c r="O118" s="589"/>
      <c r="P118" s="717" cm="1">
        <f t="array" ref="P118">F118</f>
        <v>117</v>
      </c>
      <c r="Q118" s="620" t="str" cm="1">
        <f t="array" ref="Q118">RIGHT(G118,1)</f>
        <v>C</v>
      </c>
      <c r="R118" s="590" t="str" cm="1">
        <f t="array" ref="R118">RIGHT(H118,1)</f>
        <v>J</v>
      </c>
      <c r="S118" s="590" t="str" cm="1">
        <f t="array" ref="S118">RIGHT(I118,1)</f>
        <v>B</v>
      </c>
      <c r="T118" s="590" t="str" cm="1">
        <f t="array" ref="T118">RIGHT(J118,1)</f>
        <v>D</v>
      </c>
      <c r="U118" s="590" t="str" cm="1">
        <f t="array" ref="U118">RIGHT(K118,1)</f>
        <v>H</v>
      </c>
      <c r="V118" s="590" t="str" cm="1">
        <f t="array" ref="V118">RIGHT(L118,1)</f>
        <v>F</v>
      </c>
      <c r="W118" s="590" t="str" cm="1">
        <f t="array" ref="W118">RIGHT(M118,1)</f>
        <v>L</v>
      </c>
      <c r="X118" s="590" t="str" cm="1">
        <f t="array" ref="X118">RIGHT(N118,1)</f>
        <v>K</v>
      </c>
      <c r="Y118" s="708" cm="1">
        <f t="array" ref="Y118">COUNTIF($AA$2:$AA$9,Q118)+COUNTIF($AA$2:$AA$9,R118)+COUNTIF($AA$2:$AA$9,S118)+COUNTIF($AA$2:$AA$9,T118)+COUNTIF($AA$2:$AA$9,U118)+COUNTIF($AA$2:$AA$9,V118)+COUNTIF($AA$2:$AA$9,W118)+COUNTIF($AA$2:$AA$9,X118)</f>
        <v>5</v>
      </c>
      <c r="Z118" s="589"/>
      <c r="AA118" s="589"/>
      <c r="AB118" s="589"/>
      <c r="AC118" s="589"/>
      <c r="AD118" s="589"/>
      <c r="AE118" s="589"/>
      <c r="AF118" s="589"/>
      <c r="AG118" s="589"/>
      <c r="AH118" s="589"/>
      <c r="AI118" s="589"/>
      <c r="AJ118" s="589"/>
      <c r="AK118" s="589"/>
      <c r="AL118" s="589"/>
      <c r="AM118" s="589"/>
      <c r="AN118" s="589"/>
      <c r="AO118" s="589"/>
      <c r="AP118" s="589"/>
      <c r="AQ118" s="589"/>
      <c r="AR118" s="589"/>
      <c r="AS118" s="589"/>
      <c r="AT118" s="589"/>
      <c r="AU118" s="589"/>
      <c r="AV118" s="589"/>
      <c r="AW118" s="589"/>
      <c r="AX118" s="589"/>
      <c r="AY118" s="589"/>
      <c r="AZ118" s="589"/>
      <c r="BA118" s="589"/>
      <c r="BB118" s="589"/>
      <c r="BC118" s="589"/>
      <c r="BD118" s="589"/>
      <c r="BE118" s="589"/>
      <c r="BF118" s="589"/>
      <c r="BG118" s="589"/>
      <c r="BH118" s="589"/>
      <c r="BI118" s="589"/>
      <c r="BJ118" s="589"/>
      <c r="BK118" s="589"/>
      <c r="BL118" s="589"/>
    </row>
    <row r="119" spans="1:64" ht="14.25" customHeight="1">
      <c r="A119" s="691" t="s">
        <v>456</v>
      </c>
      <c r="B119" s="589"/>
      <c r="C119" s="589"/>
      <c r="D119" s="589"/>
      <c r="E119" s="589"/>
      <c r="F119" s="591">
        <v>118</v>
      </c>
      <c r="G119" s="691" t="s">
        <v>147</v>
      </c>
      <c r="H119" s="691" t="s">
        <v>207</v>
      </c>
      <c r="I119" s="691" t="s">
        <v>137</v>
      </c>
      <c r="J119" s="691" t="s">
        <v>157</v>
      </c>
      <c r="K119" s="691" t="s">
        <v>197</v>
      </c>
      <c r="L119" s="691" t="s">
        <v>177</v>
      </c>
      <c r="M119" s="691" t="s">
        <v>237</v>
      </c>
      <c r="N119" s="691" t="s">
        <v>227</v>
      </c>
      <c r="O119" s="589"/>
      <c r="P119" s="717" cm="1">
        <f t="array" ref="P119">F119</f>
        <v>118</v>
      </c>
      <c r="Q119" s="620" t="str" cm="1">
        <f t="array" ref="Q119">RIGHT(G119,1)</f>
        <v>C</v>
      </c>
      <c r="R119" s="590" t="str" cm="1">
        <f t="array" ref="R119">RIGHT(H119,1)</f>
        <v>I</v>
      </c>
      <c r="S119" s="590" t="str" cm="1">
        <f t="array" ref="S119">RIGHT(I119,1)</f>
        <v>B</v>
      </c>
      <c r="T119" s="590" t="str" cm="1">
        <f t="array" ref="T119">RIGHT(J119,1)</f>
        <v>D</v>
      </c>
      <c r="U119" s="590" t="str" cm="1">
        <f t="array" ref="U119">RIGHT(K119,1)</f>
        <v>H</v>
      </c>
      <c r="V119" s="590" t="str" cm="1">
        <f t="array" ref="V119">RIGHT(L119,1)</f>
        <v>F</v>
      </c>
      <c r="W119" s="590" t="str" cm="1">
        <f t="array" ref="W119">RIGHT(M119,1)</f>
        <v>L</v>
      </c>
      <c r="X119" s="590" t="str" cm="1">
        <f t="array" ref="X119">RIGHT(N119,1)</f>
        <v>K</v>
      </c>
      <c r="Y119" s="708" cm="1">
        <f t="array" ref="Y119">COUNTIF($AA$2:$AA$9,Q119)+COUNTIF($AA$2:$AA$9,R119)+COUNTIF($AA$2:$AA$9,S119)+COUNTIF($AA$2:$AA$9,T119)+COUNTIF($AA$2:$AA$9,U119)+COUNTIF($AA$2:$AA$9,V119)+COUNTIF($AA$2:$AA$9,W119)+COUNTIF($AA$2:$AA$9,X119)</f>
        <v>5</v>
      </c>
      <c r="Z119" s="589"/>
      <c r="AA119" s="589"/>
      <c r="AB119" s="589"/>
      <c r="AC119" s="589"/>
      <c r="AD119" s="589"/>
      <c r="AE119" s="589"/>
      <c r="AF119" s="589"/>
      <c r="AG119" s="589"/>
      <c r="AH119" s="589"/>
      <c r="AI119" s="589"/>
      <c r="AJ119" s="589"/>
      <c r="AK119" s="589"/>
      <c r="AL119" s="589"/>
      <c r="AM119" s="589"/>
      <c r="AN119" s="589"/>
      <c r="AO119" s="589"/>
      <c r="AP119" s="589"/>
      <c r="AQ119" s="589"/>
      <c r="AR119" s="589"/>
      <c r="AS119" s="589"/>
      <c r="AT119" s="589"/>
      <c r="AU119" s="589"/>
      <c r="AV119" s="589"/>
      <c r="AW119" s="589"/>
      <c r="AX119" s="589"/>
      <c r="AY119" s="589"/>
      <c r="AZ119" s="589"/>
      <c r="BA119" s="589"/>
      <c r="BB119" s="589"/>
      <c r="BC119" s="589"/>
      <c r="BD119" s="589"/>
      <c r="BE119" s="589"/>
      <c r="BF119" s="589"/>
      <c r="BG119" s="589"/>
      <c r="BH119" s="589"/>
      <c r="BI119" s="589"/>
      <c r="BJ119" s="589"/>
      <c r="BK119" s="589"/>
      <c r="BL119" s="589"/>
    </row>
    <row r="120" spans="1:64" ht="14.25" customHeight="1">
      <c r="A120" s="691" t="s">
        <v>457</v>
      </c>
      <c r="B120" s="589"/>
      <c r="C120" s="589"/>
      <c r="D120" s="589"/>
      <c r="E120" s="589"/>
      <c r="F120" s="591">
        <v>119</v>
      </c>
      <c r="G120" s="691" t="s">
        <v>147</v>
      </c>
      <c r="H120" s="691" t="s">
        <v>217</v>
      </c>
      <c r="I120" s="691" t="s">
        <v>137</v>
      </c>
      <c r="J120" s="691" t="s">
        <v>157</v>
      </c>
      <c r="K120" s="691" t="s">
        <v>197</v>
      </c>
      <c r="L120" s="691" t="s">
        <v>177</v>
      </c>
      <c r="M120" s="691" t="s">
        <v>237</v>
      </c>
      <c r="N120" s="691" t="s">
        <v>207</v>
      </c>
      <c r="O120" s="589"/>
      <c r="P120" s="717" cm="1">
        <f t="array" ref="P120">F120</f>
        <v>119</v>
      </c>
      <c r="Q120" s="620" t="str" cm="1">
        <f t="array" ref="Q120">RIGHT(G120,1)</f>
        <v>C</v>
      </c>
      <c r="R120" s="590" t="str" cm="1">
        <f t="array" ref="R120">RIGHT(H120,1)</f>
        <v>J</v>
      </c>
      <c r="S120" s="590" t="str" cm="1">
        <f t="array" ref="S120">RIGHT(I120,1)</f>
        <v>B</v>
      </c>
      <c r="T120" s="590" t="str" cm="1">
        <f t="array" ref="T120">RIGHT(J120,1)</f>
        <v>D</v>
      </c>
      <c r="U120" s="590" t="str" cm="1">
        <f t="array" ref="U120">RIGHT(K120,1)</f>
        <v>H</v>
      </c>
      <c r="V120" s="590" t="str" cm="1">
        <f t="array" ref="V120">RIGHT(L120,1)</f>
        <v>F</v>
      </c>
      <c r="W120" s="590" t="str" cm="1">
        <f t="array" ref="W120">RIGHT(M120,1)</f>
        <v>L</v>
      </c>
      <c r="X120" s="590" t="str" cm="1">
        <f t="array" ref="X120">RIGHT(N120,1)</f>
        <v>I</v>
      </c>
      <c r="Y120" s="708" cm="1">
        <f t="array" ref="Y120">COUNTIF($AA$2:$AA$9,Q120)+COUNTIF($AA$2:$AA$9,R120)+COUNTIF($AA$2:$AA$9,S120)+COUNTIF($AA$2:$AA$9,T120)+COUNTIF($AA$2:$AA$9,U120)+COUNTIF($AA$2:$AA$9,V120)+COUNTIF($AA$2:$AA$9,W120)+COUNTIF($AA$2:$AA$9,X120)</f>
        <v>6</v>
      </c>
      <c r="Z120" s="589"/>
      <c r="AA120" s="589"/>
      <c r="AB120" s="589"/>
      <c r="AC120" s="589"/>
      <c r="AD120" s="589"/>
      <c r="AE120" s="589"/>
      <c r="AF120" s="589"/>
      <c r="AG120" s="589"/>
      <c r="AH120" s="589"/>
      <c r="AI120" s="589"/>
      <c r="AJ120" s="589"/>
      <c r="AK120" s="589"/>
      <c r="AL120" s="589"/>
      <c r="AM120" s="589"/>
      <c r="AN120" s="589"/>
      <c r="AO120" s="589"/>
      <c r="AP120" s="589"/>
      <c r="AQ120" s="589"/>
      <c r="AR120" s="589"/>
      <c r="AS120" s="589"/>
      <c r="AT120" s="589"/>
      <c r="AU120" s="589"/>
      <c r="AV120" s="589"/>
      <c r="AW120" s="589"/>
      <c r="AX120" s="589"/>
      <c r="AY120" s="589"/>
      <c r="AZ120" s="589"/>
      <c r="BA120" s="589"/>
      <c r="BB120" s="589"/>
      <c r="BC120" s="589"/>
      <c r="BD120" s="589"/>
      <c r="BE120" s="589"/>
      <c r="BF120" s="589"/>
      <c r="BG120" s="589"/>
      <c r="BH120" s="589"/>
      <c r="BI120" s="589"/>
      <c r="BJ120" s="589"/>
      <c r="BK120" s="589"/>
      <c r="BL120" s="589"/>
    </row>
    <row r="121" spans="1:64" ht="14.25" customHeight="1">
      <c r="A121" s="691" t="s">
        <v>458</v>
      </c>
      <c r="B121" s="589"/>
      <c r="C121" s="589"/>
      <c r="D121" s="589"/>
      <c r="E121" s="589"/>
      <c r="F121" s="591">
        <v>120</v>
      </c>
      <c r="G121" s="691" t="s">
        <v>147</v>
      </c>
      <c r="H121" s="691" t="s">
        <v>217</v>
      </c>
      <c r="I121" s="691" t="s">
        <v>137</v>
      </c>
      <c r="J121" s="691" t="s">
        <v>157</v>
      </c>
      <c r="K121" s="691" t="s">
        <v>197</v>
      </c>
      <c r="L121" s="691" t="s">
        <v>177</v>
      </c>
      <c r="M121" s="691" t="s">
        <v>207</v>
      </c>
      <c r="N121" s="691" t="s">
        <v>227</v>
      </c>
      <c r="O121" s="589"/>
      <c r="P121" s="717" cm="1">
        <f t="array" ref="P121">F121</f>
        <v>120</v>
      </c>
      <c r="Q121" s="620" t="str" cm="1">
        <f t="array" ref="Q121">RIGHT(G121,1)</f>
        <v>C</v>
      </c>
      <c r="R121" s="590" t="str" cm="1">
        <f t="array" ref="R121">RIGHT(H121,1)</f>
        <v>J</v>
      </c>
      <c r="S121" s="590" t="str" cm="1">
        <f t="array" ref="S121">RIGHT(I121,1)</f>
        <v>B</v>
      </c>
      <c r="T121" s="590" t="str" cm="1">
        <f t="array" ref="T121">RIGHT(J121,1)</f>
        <v>D</v>
      </c>
      <c r="U121" s="590" t="str" cm="1">
        <f t="array" ref="U121">RIGHT(K121,1)</f>
        <v>H</v>
      </c>
      <c r="V121" s="590" t="str" cm="1">
        <f t="array" ref="V121">RIGHT(L121,1)</f>
        <v>F</v>
      </c>
      <c r="W121" s="590" t="str" cm="1">
        <f t="array" ref="W121">RIGHT(M121,1)</f>
        <v>I</v>
      </c>
      <c r="X121" s="590" t="str" cm="1">
        <f t="array" ref="X121">RIGHT(N121,1)</f>
        <v>K</v>
      </c>
      <c r="Y121" s="708" cm="1">
        <f t="array" ref="Y121">COUNTIF($AA$2:$AA$9,Q121)+COUNTIF($AA$2:$AA$9,R121)+COUNTIF($AA$2:$AA$9,S121)+COUNTIF($AA$2:$AA$9,T121)+COUNTIF($AA$2:$AA$9,U121)+COUNTIF($AA$2:$AA$9,V121)+COUNTIF($AA$2:$AA$9,W121)+COUNTIF($AA$2:$AA$9,X121)</f>
        <v>5</v>
      </c>
      <c r="Z121" s="589"/>
      <c r="AA121" s="589"/>
      <c r="AB121" s="589"/>
      <c r="AC121" s="589"/>
      <c r="AD121" s="589"/>
      <c r="AE121" s="589"/>
      <c r="AF121" s="589"/>
      <c r="AG121" s="589"/>
      <c r="AH121" s="589"/>
      <c r="AI121" s="589"/>
      <c r="AJ121" s="589"/>
      <c r="AK121" s="589"/>
      <c r="AL121" s="589"/>
      <c r="AM121" s="589"/>
      <c r="AN121" s="589"/>
      <c r="AO121" s="589"/>
      <c r="AP121" s="589"/>
      <c r="AQ121" s="589"/>
      <c r="AR121" s="589"/>
      <c r="AS121" s="589"/>
      <c r="AT121" s="589"/>
      <c r="AU121" s="589"/>
      <c r="AV121" s="589"/>
      <c r="AW121" s="589"/>
      <c r="AX121" s="589"/>
      <c r="AY121" s="589"/>
      <c r="AZ121" s="589"/>
      <c r="BA121" s="589"/>
      <c r="BB121" s="589"/>
      <c r="BC121" s="589"/>
      <c r="BD121" s="589"/>
      <c r="BE121" s="589"/>
      <c r="BF121" s="589"/>
      <c r="BG121" s="589"/>
      <c r="BH121" s="589"/>
      <c r="BI121" s="589"/>
      <c r="BJ121" s="589"/>
      <c r="BK121" s="589"/>
      <c r="BL121" s="589"/>
    </row>
    <row r="122" spans="1:64" ht="14.25" customHeight="1">
      <c r="A122" s="691" t="s">
        <v>459</v>
      </c>
      <c r="B122" s="589"/>
      <c r="C122" s="589"/>
      <c r="D122" s="589"/>
      <c r="E122" s="589"/>
      <c r="F122" s="591">
        <v>121</v>
      </c>
      <c r="G122" s="691" t="s">
        <v>147</v>
      </c>
      <c r="H122" s="691" t="s">
        <v>187</v>
      </c>
      <c r="I122" s="691" t="s">
        <v>137</v>
      </c>
      <c r="J122" s="691" t="s">
        <v>157</v>
      </c>
      <c r="K122" s="691" t="s">
        <v>217</v>
      </c>
      <c r="L122" s="691" t="s">
        <v>177</v>
      </c>
      <c r="M122" s="691" t="s">
        <v>237</v>
      </c>
      <c r="N122" s="691" t="s">
        <v>227</v>
      </c>
      <c r="O122" s="589"/>
      <c r="P122" s="717" cm="1">
        <f t="array" ref="P122">F122</f>
        <v>121</v>
      </c>
      <c r="Q122" s="620" t="str" cm="1">
        <f t="array" ref="Q122">RIGHT(G122,1)</f>
        <v>C</v>
      </c>
      <c r="R122" s="590" t="str" cm="1">
        <f t="array" ref="R122">RIGHT(H122,1)</f>
        <v>G</v>
      </c>
      <c r="S122" s="590" t="str" cm="1">
        <f t="array" ref="S122">RIGHT(I122,1)</f>
        <v>B</v>
      </c>
      <c r="T122" s="590" t="str" cm="1">
        <f t="array" ref="T122">RIGHT(J122,1)</f>
        <v>D</v>
      </c>
      <c r="U122" s="590" t="str" cm="1">
        <f t="array" ref="U122">RIGHT(K122,1)</f>
        <v>J</v>
      </c>
      <c r="V122" s="590" t="str" cm="1">
        <f t="array" ref="V122">RIGHT(L122,1)</f>
        <v>F</v>
      </c>
      <c r="W122" s="590" t="str" cm="1">
        <f t="array" ref="W122">RIGHT(M122,1)</f>
        <v>L</v>
      </c>
      <c r="X122" s="590" t="str" cm="1">
        <f t="array" ref="X122">RIGHT(N122,1)</f>
        <v>K</v>
      </c>
      <c r="Y122" s="708" cm="1">
        <f t="array" ref="Y122">COUNTIF($AA$2:$AA$9,Q122)+COUNTIF($AA$2:$AA$9,R122)+COUNTIF($AA$2:$AA$9,S122)+COUNTIF($AA$2:$AA$9,T122)+COUNTIF($AA$2:$AA$9,U122)+COUNTIF($AA$2:$AA$9,V122)+COUNTIF($AA$2:$AA$9,W122)+COUNTIF($AA$2:$AA$9,X122)</f>
        <v>5</v>
      </c>
      <c r="Z122" s="589"/>
      <c r="AA122" s="589"/>
      <c r="AB122" s="589"/>
      <c r="AC122" s="589"/>
      <c r="AD122" s="589"/>
      <c r="AE122" s="589"/>
      <c r="AF122" s="589"/>
      <c r="AG122" s="589"/>
      <c r="AH122" s="589"/>
      <c r="AI122" s="589"/>
      <c r="AJ122" s="589"/>
      <c r="AK122" s="589"/>
      <c r="AL122" s="589"/>
      <c r="AM122" s="589"/>
      <c r="AN122" s="589"/>
      <c r="AO122" s="589"/>
      <c r="AP122" s="589"/>
      <c r="AQ122" s="589"/>
      <c r="AR122" s="589"/>
      <c r="AS122" s="589"/>
      <c r="AT122" s="589"/>
      <c r="AU122" s="589"/>
      <c r="AV122" s="589"/>
      <c r="AW122" s="589"/>
      <c r="AX122" s="589"/>
      <c r="AY122" s="589"/>
      <c r="AZ122" s="589"/>
      <c r="BA122" s="589"/>
      <c r="BB122" s="589"/>
      <c r="BC122" s="589"/>
      <c r="BD122" s="589"/>
      <c r="BE122" s="589"/>
      <c r="BF122" s="589"/>
      <c r="BG122" s="589"/>
      <c r="BH122" s="589"/>
      <c r="BI122" s="589"/>
      <c r="BJ122" s="589"/>
      <c r="BK122" s="589"/>
      <c r="BL122" s="589"/>
    </row>
    <row r="123" spans="1:64" ht="14.25" customHeight="1">
      <c r="A123" s="691" t="s">
        <v>460</v>
      </c>
      <c r="B123" s="589"/>
      <c r="C123" s="589"/>
      <c r="D123" s="589"/>
      <c r="E123" s="589"/>
      <c r="F123" s="591">
        <v>122</v>
      </c>
      <c r="G123" s="691" t="s">
        <v>147</v>
      </c>
      <c r="H123" s="691" t="s">
        <v>187</v>
      </c>
      <c r="I123" s="691" t="s">
        <v>137</v>
      </c>
      <c r="J123" s="691" t="s">
        <v>157</v>
      </c>
      <c r="K123" s="691" t="s">
        <v>207</v>
      </c>
      <c r="L123" s="691" t="s">
        <v>177</v>
      </c>
      <c r="M123" s="691" t="s">
        <v>237</v>
      </c>
      <c r="N123" s="691" t="s">
        <v>227</v>
      </c>
      <c r="O123" s="589"/>
      <c r="P123" s="717" cm="1">
        <f t="array" ref="P123">F123</f>
        <v>122</v>
      </c>
      <c r="Q123" s="620" t="str" cm="1">
        <f t="array" ref="Q123">RIGHT(G123,1)</f>
        <v>C</v>
      </c>
      <c r="R123" s="590" t="str" cm="1">
        <f t="array" ref="R123">RIGHT(H123,1)</f>
        <v>G</v>
      </c>
      <c r="S123" s="590" t="str" cm="1">
        <f t="array" ref="S123">RIGHT(I123,1)</f>
        <v>B</v>
      </c>
      <c r="T123" s="590" t="str" cm="1">
        <f t="array" ref="T123">RIGHT(J123,1)</f>
        <v>D</v>
      </c>
      <c r="U123" s="590" t="str" cm="1">
        <f t="array" ref="U123">RIGHT(K123,1)</f>
        <v>I</v>
      </c>
      <c r="V123" s="590" t="str" cm="1">
        <f t="array" ref="V123">RIGHT(L123,1)</f>
        <v>F</v>
      </c>
      <c r="W123" s="590" t="str" cm="1">
        <f t="array" ref="W123">RIGHT(M123,1)</f>
        <v>L</v>
      </c>
      <c r="X123" s="590" t="str" cm="1">
        <f t="array" ref="X123">RIGHT(N123,1)</f>
        <v>K</v>
      </c>
      <c r="Y123" s="708" cm="1">
        <f t="array" ref="Y123">COUNTIF($AA$2:$AA$9,Q123)+COUNTIF($AA$2:$AA$9,R123)+COUNTIF($AA$2:$AA$9,S123)+COUNTIF($AA$2:$AA$9,T123)+COUNTIF($AA$2:$AA$9,U123)+COUNTIF($AA$2:$AA$9,V123)+COUNTIF($AA$2:$AA$9,W123)+COUNTIF($AA$2:$AA$9,X123)</f>
        <v>5</v>
      </c>
      <c r="Z123" s="589"/>
      <c r="AA123" s="589"/>
      <c r="AB123" s="589"/>
      <c r="AC123" s="589"/>
      <c r="AD123" s="589"/>
      <c r="AE123" s="589"/>
      <c r="AF123" s="589"/>
      <c r="AG123" s="589"/>
      <c r="AH123" s="589"/>
      <c r="AI123" s="589"/>
      <c r="AJ123" s="589"/>
      <c r="AK123" s="589"/>
      <c r="AL123" s="589"/>
      <c r="AM123" s="589"/>
      <c r="AN123" s="589"/>
      <c r="AO123" s="589"/>
      <c r="AP123" s="589"/>
      <c r="AQ123" s="589"/>
      <c r="AR123" s="589"/>
      <c r="AS123" s="589"/>
      <c r="AT123" s="589"/>
      <c r="AU123" s="589"/>
      <c r="AV123" s="589"/>
      <c r="AW123" s="589"/>
      <c r="AX123" s="589"/>
      <c r="AY123" s="589"/>
      <c r="AZ123" s="589"/>
      <c r="BA123" s="589"/>
      <c r="BB123" s="589"/>
      <c r="BC123" s="589"/>
      <c r="BD123" s="589"/>
      <c r="BE123" s="589"/>
      <c r="BF123" s="589"/>
      <c r="BG123" s="589"/>
      <c r="BH123" s="589"/>
      <c r="BI123" s="589"/>
      <c r="BJ123" s="589"/>
      <c r="BK123" s="589"/>
      <c r="BL123" s="589"/>
    </row>
    <row r="124" spans="1:64" ht="14.25" customHeight="1">
      <c r="A124" s="691" t="s">
        <v>461</v>
      </c>
      <c r="B124" s="589"/>
      <c r="C124" s="589"/>
      <c r="D124" s="589"/>
      <c r="E124" s="589"/>
      <c r="F124" s="591">
        <v>123</v>
      </c>
      <c r="G124" s="691" t="s">
        <v>147</v>
      </c>
      <c r="H124" s="691" t="s">
        <v>187</v>
      </c>
      <c r="I124" s="691" t="s">
        <v>137</v>
      </c>
      <c r="J124" s="691" t="s">
        <v>157</v>
      </c>
      <c r="K124" s="691" t="s">
        <v>217</v>
      </c>
      <c r="L124" s="691" t="s">
        <v>177</v>
      </c>
      <c r="M124" s="691" t="s">
        <v>237</v>
      </c>
      <c r="N124" s="691" t="s">
        <v>207</v>
      </c>
      <c r="O124" s="589"/>
      <c r="P124" s="717" cm="1">
        <f t="array" ref="P124">F124</f>
        <v>123</v>
      </c>
      <c r="Q124" s="620" t="str" cm="1">
        <f t="array" ref="Q124">RIGHT(G124,1)</f>
        <v>C</v>
      </c>
      <c r="R124" s="590" t="str" cm="1">
        <f t="array" ref="R124">RIGHT(H124,1)</f>
        <v>G</v>
      </c>
      <c r="S124" s="590" t="str" cm="1">
        <f t="array" ref="S124">RIGHT(I124,1)</f>
        <v>B</v>
      </c>
      <c r="T124" s="590" t="str" cm="1">
        <f t="array" ref="T124">RIGHT(J124,1)</f>
        <v>D</v>
      </c>
      <c r="U124" s="590" t="str" cm="1">
        <f t="array" ref="U124">RIGHT(K124,1)</f>
        <v>J</v>
      </c>
      <c r="V124" s="590" t="str" cm="1">
        <f t="array" ref="V124">RIGHT(L124,1)</f>
        <v>F</v>
      </c>
      <c r="W124" s="590" t="str" cm="1">
        <f t="array" ref="W124">RIGHT(M124,1)</f>
        <v>L</v>
      </c>
      <c r="X124" s="590" t="str" cm="1">
        <f t="array" ref="X124">RIGHT(N124,1)</f>
        <v>I</v>
      </c>
      <c r="Y124" s="708" cm="1">
        <f t="array" ref="Y124">COUNTIF($AA$2:$AA$9,Q124)+COUNTIF($AA$2:$AA$9,R124)+COUNTIF($AA$2:$AA$9,S124)+COUNTIF($AA$2:$AA$9,T124)+COUNTIF($AA$2:$AA$9,U124)+COUNTIF($AA$2:$AA$9,V124)+COUNTIF($AA$2:$AA$9,W124)+COUNTIF($AA$2:$AA$9,X124)</f>
        <v>6</v>
      </c>
      <c r="Z124" s="589"/>
      <c r="AA124" s="589"/>
      <c r="AB124" s="589"/>
      <c r="AC124" s="589"/>
      <c r="AD124" s="589"/>
      <c r="AE124" s="589"/>
      <c r="AF124" s="589"/>
      <c r="AG124" s="589"/>
      <c r="AH124" s="589"/>
      <c r="AI124" s="589"/>
      <c r="AJ124" s="589"/>
      <c r="AK124" s="589"/>
      <c r="AL124" s="589"/>
      <c r="AM124" s="589"/>
      <c r="AN124" s="589"/>
      <c r="AO124" s="589"/>
      <c r="AP124" s="589"/>
      <c r="AQ124" s="589"/>
      <c r="AR124" s="589"/>
      <c r="AS124" s="589"/>
      <c r="AT124" s="589"/>
      <c r="AU124" s="589"/>
      <c r="AV124" s="589"/>
      <c r="AW124" s="589"/>
      <c r="AX124" s="589"/>
      <c r="AY124" s="589"/>
      <c r="AZ124" s="589"/>
      <c r="BA124" s="589"/>
      <c r="BB124" s="589"/>
      <c r="BC124" s="589"/>
      <c r="BD124" s="589"/>
      <c r="BE124" s="589"/>
      <c r="BF124" s="589"/>
      <c r="BG124" s="589"/>
      <c r="BH124" s="589"/>
      <c r="BI124" s="589"/>
      <c r="BJ124" s="589"/>
      <c r="BK124" s="589"/>
      <c r="BL124" s="589"/>
    </row>
    <row r="125" spans="1:64" ht="14.25" customHeight="1">
      <c r="A125" s="691" t="s">
        <v>462</v>
      </c>
      <c r="B125" s="589"/>
      <c r="C125" s="589"/>
      <c r="D125" s="589"/>
      <c r="E125" s="589"/>
      <c r="F125" s="591">
        <v>124</v>
      </c>
      <c r="G125" s="691" t="s">
        <v>147</v>
      </c>
      <c r="H125" s="691" t="s">
        <v>187</v>
      </c>
      <c r="I125" s="691" t="s">
        <v>137</v>
      </c>
      <c r="J125" s="691" t="s">
        <v>157</v>
      </c>
      <c r="K125" s="691" t="s">
        <v>217</v>
      </c>
      <c r="L125" s="691" t="s">
        <v>177</v>
      </c>
      <c r="M125" s="691" t="s">
        <v>207</v>
      </c>
      <c r="N125" s="691" t="s">
        <v>227</v>
      </c>
      <c r="O125" s="589"/>
      <c r="P125" s="717" cm="1">
        <f t="array" ref="P125">F125</f>
        <v>124</v>
      </c>
      <c r="Q125" s="620" t="str" cm="1">
        <f t="array" ref="Q125">RIGHT(G125,1)</f>
        <v>C</v>
      </c>
      <c r="R125" s="590" t="str" cm="1">
        <f t="array" ref="R125">RIGHT(H125,1)</f>
        <v>G</v>
      </c>
      <c r="S125" s="590" t="str" cm="1">
        <f t="array" ref="S125">RIGHT(I125,1)</f>
        <v>B</v>
      </c>
      <c r="T125" s="590" t="str" cm="1">
        <f t="array" ref="T125">RIGHT(J125,1)</f>
        <v>D</v>
      </c>
      <c r="U125" s="590" t="str" cm="1">
        <f t="array" ref="U125">RIGHT(K125,1)</f>
        <v>J</v>
      </c>
      <c r="V125" s="590" t="str" cm="1">
        <f t="array" ref="V125">RIGHT(L125,1)</f>
        <v>F</v>
      </c>
      <c r="W125" s="590" t="str" cm="1">
        <f t="array" ref="W125">RIGHT(M125,1)</f>
        <v>I</v>
      </c>
      <c r="X125" s="590" t="str" cm="1">
        <f t="array" ref="X125">RIGHT(N125,1)</f>
        <v>K</v>
      </c>
      <c r="Y125" s="708" cm="1">
        <f t="array" ref="Y125">COUNTIF($AA$2:$AA$9,Q125)+COUNTIF($AA$2:$AA$9,R125)+COUNTIF($AA$2:$AA$9,S125)+COUNTIF($AA$2:$AA$9,T125)+COUNTIF($AA$2:$AA$9,U125)+COUNTIF($AA$2:$AA$9,V125)+COUNTIF($AA$2:$AA$9,W125)+COUNTIF($AA$2:$AA$9,X125)</f>
        <v>5</v>
      </c>
      <c r="Z125" s="589"/>
      <c r="AA125" s="589"/>
      <c r="AB125" s="589"/>
      <c r="AC125" s="589"/>
      <c r="AD125" s="589"/>
      <c r="AE125" s="589"/>
      <c r="AF125" s="589"/>
      <c r="AG125" s="589"/>
      <c r="AH125" s="589"/>
      <c r="AI125" s="589"/>
      <c r="AJ125" s="589"/>
      <c r="AK125" s="589"/>
      <c r="AL125" s="589"/>
      <c r="AM125" s="589"/>
      <c r="AN125" s="589"/>
      <c r="AO125" s="589"/>
      <c r="AP125" s="589"/>
      <c r="AQ125" s="589"/>
      <c r="AR125" s="589"/>
      <c r="AS125" s="589"/>
      <c r="AT125" s="589"/>
      <c r="AU125" s="589"/>
      <c r="AV125" s="589"/>
      <c r="AW125" s="589"/>
      <c r="AX125" s="589"/>
      <c r="AY125" s="589"/>
      <c r="AZ125" s="589"/>
      <c r="BA125" s="589"/>
      <c r="BB125" s="589"/>
      <c r="BC125" s="589"/>
      <c r="BD125" s="589"/>
      <c r="BE125" s="589"/>
      <c r="BF125" s="589"/>
      <c r="BG125" s="589"/>
      <c r="BH125" s="589"/>
      <c r="BI125" s="589"/>
      <c r="BJ125" s="589"/>
      <c r="BK125" s="589"/>
      <c r="BL125" s="589"/>
    </row>
    <row r="126" spans="1:64" ht="14.25" customHeight="1">
      <c r="A126" s="691" t="s">
        <v>463</v>
      </c>
      <c r="B126" s="589"/>
      <c r="C126" s="589"/>
      <c r="D126" s="589"/>
      <c r="E126" s="589"/>
      <c r="F126" s="591">
        <v>125</v>
      </c>
      <c r="G126" s="691" t="s">
        <v>147</v>
      </c>
      <c r="H126" s="691" t="s">
        <v>187</v>
      </c>
      <c r="I126" s="691" t="s">
        <v>137</v>
      </c>
      <c r="J126" s="691" t="s">
        <v>157</v>
      </c>
      <c r="K126" s="691" t="s">
        <v>197</v>
      </c>
      <c r="L126" s="691" t="s">
        <v>177</v>
      </c>
      <c r="M126" s="691" t="s">
        <v>237</v>
      </c>
      <c r="N126" s="691" t="s">
        <v>227</v>
      </c>
      <c r="O126" s="589"/>
      <c r="P126" s="717" cm="1">
        <f t="array" ref="P126">F126</f>
        <v>125</v>
      </c>
      <c r="Q126" s="620" t="str" cm="1">
        <f t="array" ref="Q126">RIGHT(G126,1)</f>
        <v>C</v>
      </c>
      <c r="R126" s="590" t="str" cm="1">
        <f t="array" ref="R126">RIGHT(H126,1)</f>
        <v>G</v>
      </c>
      <c r="S126" s="590" t="str" cm="1">
        <f t="array" ref="S126">RIGHT(I126,1)</f>
        <v>B</v>
      </c>
      <c r="T126" s="590" t="str" cm="1">
        <f t="array" ref="T126">RIGHT(J126,1)</f>
        <v>D</v>
      </c>
      <c r="U126" s="590" t="str" cm="1">
        <f t="array" ref="U126">RIGHT(K126,1)</f>
        <v>H</v>
      </c>
      <c r="V126" s="590" t="str" cm="1">
        <f t="array" ref="V126">RIGHT(L126,1)</f>
        <v>F</v>
      </c>
      <c r="W126" s="590" t="str" cm="1">
        <f t="array" ref="W126">RIGHT(M126,1)</f>
        <v>L</v>
      </c>
      <c r="X126" s="590" t="str" cm="1">
        <f t="array" ref="X126">RIGHT(N126,1)</f>
        <v>K</v>
      </c>
      <c r="Y126" s="708" cm="1">
        <f t="array" ref="Y126">COUNTIF($AA$2:$AA$9,Q126)+COUNTIF($AA$2:$AA$9,R126)+COUNTIF($AA$2:$AA$9,S126)+COUNTIF($AA$2:$AA$9,T126)+COUNTIF($AA$2:$AA$9,U126)+COUNTIF($AA$2:$AA$9,V126)+COUNTIF($AA$2:$AA$9,W126)+COUNTIF($AA$2:$AA$9,X126)</f>
        <v>4</v>
      </c>
      <c r="Z126" s="589"/>
      <c r="AA126" s="589"/>
      <c r="AB126" s="589"/>
      <c r="AC126" s="589"/>
      <c r="AD126" s="589"/>
      <c r="AE126" s="589"/>
      <c r="AF126" s="589"/>
      <c r="AG126" s="589"/>
      <c r="AH126" s="589"/>
      <c r="AI126" s="589"/>
      <c r="AJ126" s="589"/>
      <c r="AK126" s="589"/>
      <c r="AL126" s="589"/>
      <c r="AM126" s="589"/>
      <c r="AN126" s="589"/>
      <c r="AO126" s="589"/>
      <c r="AP126" s="589"/>
      <c r="AQ126" s="589"/>
      <c r="AR126" s="589"/>
      <c r="AS126" s="589"/>
      <c r="AT126" s="589"/>
      <c r="AU126" s="589"/>
      <c r="AV126" s="589"/>
      <c r="AW126" s="589"/>
      <c r="AX126" s="589"/>
      <c r="AY126" s="589"/>
      <c r="AZ126" s="589"/>
      <c r="BA126" s="589"/>
      <c r="BB126" s="589"/>
      <c r="BC126" s="589"/>
      <c r="BD126" s="589"/>
      <c r="BE126" s="589"/>
      <c r="BF126" s="589"/>
      <c r="BG126" s="589"/>
      <c r="BH126" s="589"/>
      <c r="BI126" s="589"/>
      <c r="BJ126" s="589"/>
      <c r="BK126" s="589"/>
      <c r="BL126" s="589"/>
    </row>
    <row r="127" spans="1:64" ht="14.25" customHeight="1">
      <c r="A127" s="691" t="s">
        <v>464</v>
      </c>
      <c r="B127" s="589"/>
      <c r="C127" s="589"/>
      <c r="D127" s="589"/>
      <c r="E127" s="589"/>
      <c r="F127" s="591">
        <v>126</v>
      </c>
      <c r="G127" s="691" t="s">
        <v>147</v>
      </c>
      <c r="H127" s="691" t="s">
        <v>187</v>
      </c>
      <c r="I127" s="691" t="s">
        <v>137</v>
      </c>
      <c r="J127" s="691" t="s">
        <v>157</v>
      </c>
      <c r="K127" s="691" t="s">
        <v>197</v>
      </c>
      <c r="L127" s="691" t="s">
        <v>177</v>
      </c>
      <c r="M127" s="691" t="s">
        <v>237</v>
      </c>
      <c r="N127" s="691" t="s">
        <v>217</v>
      </c>
      <c r="O127" s="589"/>
      <c r="P127" s="717" cm="1">
        <f t="array" ref="P127">F127</f>
        <v>126</v>
      </c>
      <c r="Q127" s="620" t="str" cm="1">
        <f t="array" ref="Q127">RIGHT(G127,1)</f>
        <v>C</v>
      </c>
      <c r="R127" s="590" t="str" cm="1">
        <f t="array" ref="R127">RIGHT(H127,1)</f>
        <v>G</v>
      </c>
      <c r="S127" s="590" t="str" cm="1">
        <f t="array" ref="S127">RIGHT(I127,1)</f>
        <v>B</v>
      </c>
      <c r="T127" s="590" t="str" cm="1">
        <f t="array" ref="T127">RIGHT(J127,1)</f>
        <v>D</v>
      </c>
      <c r="U127" s="590" t="str" cm="1">
        <f t="array" ref="U127">RIGHT(K127,1)</f>
        <v>H</v>
      </c>
      <c r="V127" s="590" t="str" cm="1">
        <f t="array" ref="V127">RIGHT(L127,1)</f>
        <v>F</v>
      </c>
      <c r="W127" s="590" t="str" cm="1">
        <f t="array" ref="W127">RIGHT(M127,1)</f>
        <v>L</v>
      </c>
      <c r="X127" s="590" t="str" cm="1">
        <f t="array" ref="X127">RIGHT(N127,1)</f>
        <v>J</v>
      </c>
      <c r="Y127" s="708" cm="1">
        <f t="array" ref="Y127">COUNTIF($AA$2:$AA$9,Q127)+COUNTIF($AA$2:$AA$9,R127)+COUNTIF($AA$2:$AA$9,S127)+COUNTIF($AA$2:$AA$9,T127)+COUNTIF($AA$2:$AA$9,U127)+COUNTIF($AA$2:$AA$9,V127)+COUNTIF($AA$2:$AA$9,W127)+COUNTIF($AA$2:$AA$9,X127)</f>
        <v>5</v>
      </c>
      <c r="Z127" s="589"/>
      <c r="AA127" s="589"/>
      <c r="AB127" s="589"/>
      <c r="AC127" s="589"/>
      <c r="AD127" s="589"/>
      <c r="AE127" s="589"/>
      <c r="AF127" s="589"/>
      <c r="AG127" s="589"/>
      <c r="AH127" s="589"/>
      <c r="AI127" s="589"/>
      <c r="AJ127" s="589"/>
      <c r="AK127" s="589"/>
      <c r="AL127" s="589"/>
      <c r="AM127" s="589"/>
      <c r="AN127" s="589"/>
      <c r="AO127" s="589"/>
      <c r="AP127" s="589"/>
      <c r="AQ127" s="589"/>
      <c r="AR127" s="589"/>
      <c r="AS127" s="589"/>
      <c r="AT127" s="589"/>
      <c r="AU127" s="589"/>
      <c r="AV127" s="589"/>
      <c r="AW127" s="589"/>
      <c r="AX127" s="589"/>
      <c r="AY127" s="589"/>
      <c r="AZ127" s="589"/>
      <c r="BA127" s="589"/>
      <c r="BB127" s="589"/>
      <c r="BC127" s="589"/>
      <c r="BD127" s="589"/>
      <c r="BE127" s="589"/>
      <c r="BF127" s="589"/>
      <c r="BG127" s="589"/>
      <c r="BH127" s="589"/>
      <c r="BI127" s="589"/>
      <c r="BJ127" s="589"/>
      <c r="BK127" s="589"/>
      <c r="BL127" s="589"/>
    </row>
    <row r="128" spans="1:64" ht="14.25" customHeight="1">
      <c r="A128" s="691" t="s">
        <v>465</v>
      </c>
      <c r="B128" s="589"/>
      <c r="C128" s="589"/>
      <c r="D128" s="589"/>
      <c r="E128" s="589"/>
      <c r="F128" s="591">
        <v>127</v>
      </c>
      <c r="G128" s="691" t="s">
        <v>197</v>
      </c>
      <c r="H128" s="691" t="s">
        <v>187</v>
      </c>
      <c r="I128" s="691" t="s">
        <v>137</v>
      </c>
      <c r="J128" s="691" t="s">
        <v>147</v>
      </c>
      <c r="K128" s="691" t="s">
        <v>217</v>
      </c>
      <c r="L128" s="691" t="s">
        <v>177</v>
      </c>
      <c r="M128" s="691" t="s">
        <v>157</v>
      </c>
      <c r="N128" s="691" t="s">
        <v>227</v>
      </c>
      <c r="O128" s="589"/>
      <c r="P128" s="717" cm="1">
        <f t="array" ref="P128">F128</f>
        <v>127</v>
      </c>
      <c r="Q128" s="620" t="str" cm="1">
        <f t="array" ref="Q128">RIGHT(G128,1)</f>
        <v>H</v>
      </c>
      <c r="R128" s="590" t="str" cm="1">
        <f t="array" ref="R128">RIGHT(H128,1)</f>
        <v>G</v>
      </c>
      <c r="S128" s="590" t="str" cm="1">
        <f t="array" ref="S128">RIGHT(I128,1)</f>
        <v>B</v>
      </c>
      <c r="T128" s="590" t="str" cm="1">
        <f t="array" ref="T128">RIGHT(J128,1)</f>
        <v>C</v>
      </c>
      <c r="U128" s="590" t="str" cm="1">
        <f t="array" ref="U128">RIGHT(K128,1)</f>
        <v>J</v>
      </c>
      <c r="V128" s="590" t="str" cm="1">
        <f t="array" ref="V128">RIGHT(L128,1)</f>
        <v>F</v>
      </c>
      <c r="W128" s="590" t="str" cm="1">
        <f t="array" ref="W128">RIGHT(M128,1)</f>
        <v>D</v>
      </c>
      <c r="X128" s="590" t="str" cm="1">
        <f t="array" ref="X128">RIGHT(N128,1)</f>
        <v>K</v>
      </c>
      <c r="Y128" s="708" cm="1">
        <f t="array" ref="Y128">COUNTIF($AA$2:$AA$9,Q128)+COUNTIF($AA$2:$AA$9,R128)+COUNTIF($AA$2:$AA$9,S128)+COUNTIF($AA$2:$AA$9,T128)+COUNTIF($AA$2:$AA$9,U128)+COUNTIF($AA$2:$AA$9,V128)+COUNTIF($AA$2:$AA$9,W128)+COUNTIF($AA$2:$AA$9,X128)</f>
        <v>4</v>
      </c>
      <c r="Z128" s="589"/>
      <c r="AA128" s="589"/>
      <c r="AB128" s="589"/>
      <c r="AC128" s="589"/>
      <c r="AD128" s="589"/>
      <c r="AE128" s="589"/>
      <c r="AF128" s="589"/>
      <c r="AG128" s="589"/>
      <c r="AH128" s="589"/>
      <c r="AI128" s="589"/>
      <c r="AJ128" s="589"/>
      <c r="AK128" s="589"/>
      <c r="AL128" s="589"/>
      <c r="AM128" s="589"/>
      <c r="AN128" s="589"/>
      <c r="AO128" s="589"/>
      <c r="AP128" s="589"/>
      <c r="AQ128" s="589"/>
      <c r="AR128" s="589"/>
      <c r="AS128" s="589"/>
      <c r="AT128" s="589"/>
      <c r="AU128" s="589"/>
      <c r="AV128" s="589"/>
      <c r="AW128" s="589"/>
      <c r="AX128" s="589"/>
      <c r="AY128" s="589"/>
      <c r="AZ128" s="589"/>
      <c r="BA128" s="589"/>
      <c r="BB128" s="589"/>
      <c r="BC128" s="589"/>
      <c r="BD128" s="589"/>
      <c r="BE128" s="589"/>
      <c r="BF128" s="589"/>
      <c r="BG128" s="589"/>
      <c r="BH128" s="589"/>
      <c r="BI128" s="589"/>
      <c r="BJ128" s="589"/>
      <c r="BK128" s="589"/>
      <c r="BL128" s="589"/>
    </row>
    <row r="129" spans="1:64" ht="14.25" customHeight="1">
      <c r="A129" s="691" t="s">
        <v>466</v>
      </c>
      <c r="B129" s="589"/>
      <c r="C129" s="589"/>
      <c r="D129" s="589"/>
      <c r="E129" s="589"/>
      <c r="F129" s="591">
        <v>128</v>
      </c>
      <c r="G129" s="691" t="s">
        <v>147</v>
      </c>
      <c r="H129" s="691" t="s">
        <v>187</v>
      </c>
      <c r="I129" s="691" t="s">
        <v>137</v>
      </c>
      <c r="J129" s="691" t="s">
        <v>157</v>
      </c>
      <c r="K129" s="691" t="s">
        <v>197</v>
      </c>
      <c r="L129" s="691" t="s">
        <v>177</v>
      </c>
      <c r="M129" s="691" t="s">
        <v>237</v>
      </c>
      <c r="N129" s="691" t="s">
        <v>207</v>
      </c>
      <c r="O129" s="589"/>
      <c r="P129" s="717" cm="1">
        <f t="array" ref="P129">F129</f>
        <v>128</v>
      </c>
      <c r="Q129" s="620" t="str" cm="1">
        <f t="array" ref="Q129">RIGHT(G129,1)</f>
        <v>C</v>
      </c>
      <c r="R129" s="590" t="str" cm="1">
        <f t="array" ref="R129">RIGHT(H129,1)</f>
        <v>G</v>
      </c>
      <c r="S129" s="590" t="str" cm="1">
        <f t="array" ref="S129">RIGHT(I129,1)</f>
        <v>B</v>
      </c>
      <c r="T129" s="590" t="str" cm="1">
        <f t="array" ref="T129">RIGHT(J129,1)</f>
        <v>D</v>
      </c>
      <c r="U129" s="590" t="str" cm="1">
        <f t="array" ref="U129">RIGHT(K129,1)</f>
        <v>H</v>
      </c>
      <c r="V129" s="590" t="str" cm="1">
        <f t="array" ref="V129">RIGHT(L129,1)</f>
        <v>F</v>
      </c>
      <c r="W129" s="590" t="str" cm="1">
        <f t="array" ref="W129">RIGHT(M129,1)</f>
        <v>L</v>
      </c>
      <c r="X129" s="590" t="str" cm="1">
        <f t="array" ref="X129">RIGHT(N129,1)</f>
        <v>I</v>
      </c>
      <c r="Y129" s="708" cm="1">
        <f t="array" ref="Y129">COUNTIF($AA$2:$AA$9,Q129)+COUNTIF($AA$2:$AA$9,R129)+COUNTIF($AA$2:$AA$9,S129)+COUNTIF($AA$2:$AA$9,T129)+COUNTIF($AA$2:$AA$9,U129)+COUNTIF($AA$2:$AA$9,V129)+COUNTIF($AA$2:$AA$9,W129)+COUNTIF($AA$2:$AA$9,X129)</f>
        <v>5</v>
      </c>
      <c r="Z129" s="589"/>
      <c r="AA129" s="589"/>
      <c r="AB129" s="589"/>
      <c r="AC129" s="589"/>
      <c r="AD129" s="589"/>
      <c r="AE129" s="589"/>
      <c r="AF129" s="589"/>
      <c r="AG129" s="589"/>
      <c r="AH129" s="589"/>
      <c r="AI129" s="589"/>
      <c r="AJ129" s="589"/>
      <c r="AK129" s="589"/>
      <c r="AL129" s="589"/>
      <c r="AM129" s="589"/>
      <c r="AN129" s="589"/>
      <c r="AO129" s="589"/>
      <c r="AP129" s="589"/>
      <c r="AQ129" s="589"/>
      <c r="AR129" s="589"/>
      <c r="AS129" s="589"/>
      <c r="AT129" s="589"/>
      <c r="AU129" s="589"/>
      <c r="AV129" s="589"/>
      <c r="AW129" s="589"/>
      <c r="AX129" s="589"/>
      <c r="AY129" s="589"/>
      <c r="AZ129" s="589"/>
      <c r="BA129" s="589"/>
      <c r="BB129" s="589"/>
      <c r="BC129" s="589"/>
      <c r="BD129" s="589"/>
      <c r="BE129" s="589"/>
      <c r="BF129" s="589"/>
      <c r="BG129" s="589"/>
      <c r="BH129" s="589"/>
      <c r="BI129" s="589"/>
      <c r="BJ129" s="589"/>
      <c r="BK129" s="589"/>
      <c r="BL129" s="589"/>
    </row>
    <row r="130" spans="1:64" ht="14.25" customHeight="1">
      <c r="A130" s="691" t="s">
        <v>467</v>
      </c>
      <c r="B130" s="589"/>
      <c r="C130" s="589"/>
      <c r="D130" s="589"/>
      <c r="E130" s="589"/>
      <c r="F130" s="591">
        <v>129</v>
      </c>
      <c r="G130" s="691" t="s">
        <v>147</v>
      </c>
      <c r="H130" s="691" t="s">
        <v>187</v>
      </c>
      <c r="I130" s="691" t="s">
        <v>137</v>
      </c>
      <c r="J130" s="691" t="s">
        <v>157</v>
      </c>
      <c r="K130" s="691" t="s">
        <v>197</v>
      </c>
      <c r="L130" s="691" t="s">
        <v>177</v>
      </c>
      <c r="M130" s="691" t="s">
        <v>207</v>
      </c>
      <c r="N130" s="691" t="s">
        <v>227</v>
      </c>
      <c r="O130" s="589"/>
      <c r="P130" s="717" cm="1">
        <f t="array" ref="P130">F130</f>
        <v>129</v>
      </c>
      <c r="Q130" s="620" t="str" cm="1">
        <f t="array" ref="Q130">RIGHT(G130,1)</f>
        <v>C</v>
      </c>
      <c r="R130" s="590" t="str" cm="1">
        <f t="array" ref="R130">RIGHT(H130,1)</f>
        <v>G</v>
      </c>
      <c r="S130" s="590" t="str" cm="1">
        <f t="array" ref="S130">RIGHT(I130,1)</f>
        <v>B</v>
      </c>
      <c r="T130" s="590" t="str" cm="1">
        <f t="array" ref="T130">RIGHT(J130,1)</f>
        <v>D</v>
      </c>
      <c r="U130" s="590" t="str" cm="1">
        <f t="array" ref="U130">RIGHT(K130,1)</f>
        <v>H</v>
      </c>
      <c r="V130" s="590" t="str" cm="1">
        <f t="array" ref="V130">RIGHT(L130,1)</f>
        <v>F</v>
      </c>
      <c r="W130" s="590" t="str" cm="1">
        <f t="array" ref="W130">RIGHT(M130,1)</f>
        <v>I</v>
      </c>
      <c r="X130" s="590" t="str" cm="1">
        <f t="array" ref="X130">RIGHT(N130,1)</f>
        <v>K</v>
      </c>
      <c r="Y130" s="708" cm="1">
        <f t="array" ref="Y130">COUNTIF($AA$2:$AA$9,Q130)+COUNTIF($AA$2:$AA$9,R130)+COUNTIF($AA$2:$AA$9,S130)+COUNTIF($AA$2:$AA$9,T130)+COUNTIF($AA$2:$AA$9,U130)+COUNTIF($AA$2:$AA$9,V130)+COUNTIF($AA$2:$AA$9,W130)+COUNTIF($AA$2:$AA$9,X130)</f>
        <v>4</v>
      </c>
      <c r="Z130" s="589"/>
      <c r="AA130" s="589"/>
      <c r="AB130" s="589"/>
      <c r="AC130" s="589"/>
      <c r="AD130" s="589"/>
      <c r="AE130" s="589"/>
      <c r="AF130" s="589"/>
      <c r="AG130" s="589"/>
      <c r="AH130" s="589"/>
      <c r="AI130" s="589"/>
      <c r="AJ130" s="589"/>
      <c r="AK130" s="589"/>
      <c r="AL130" s="589"/>
      <c r="AM130" s="589"/>
      <c r="AN130" s="589"/>
      <c r="AO130" s="589"/>
      <c r="AP130" s="589"/>
      <c r="AQ130" s="589"/>
      <c r="AR130" s="589"/>
      <c r="AS130" s="589"/>
      <c r="AT130" s="589"/>
      <c r="AU130" s="589"/>
      <c r="AV130" s="589"/>
      <c r="AW130" s="589"/>
      <c r="AX130" s="589"/>
      <c r="AY130" s="589"/>
      <c r="AZ130" s="589"/>
      <c r="BA130" s="589"/>
      <c r="BB130" s="589"/>
      <c r="BC130" s="589"/>
      <c r="BD130" s="589"/>
      <c r="BE130" s="589"/>
      <c r="BF130" s="589"/>
      <c r="BG130" s="589"/>
      <c r="BH130" s="589"/>
      <c r="BI130" s="589"/>
      <c r="BJ130" s="589"/>
      <c r="BK130" s="589"/>
      <c r="BL130" s="589"/>
    </row>
    <row r="131" spans="1:64" ht="14.25" customHeight="1">
      <c r="A131" s="691" t="s">
        <v>468</v>
      </c>
      <c r="B131" s="589"/>
      <c r="C131" s="589"/>
      <c r="D131" s="589"/>
      <c r="E131" s="589"/>
      <c r="F131" s="591">
        <v>130</v>
      </c>
      <c r="G131" s="691" t="s">
        <v>197</v>
      </c>
      <c r="H131" s="691" t="s">
        <v>187</v>
      </c>
      <c r="I131" s="691" t="s">
        <v>137</v>
      </c>
      <c r="J131" s="691" t="s">
        <v>147</v>
      </c>
      <c r="K131" s="691" t="s">
        <v>217</v>
      </c>
      <c r="L131" s="691" t="s">
        <v>177</v>
      </c>
      <c r="M131" s="691" t="s">
        <v>157</v>
      </c>
      <c r="N131" s="691" t="s">
        <v>207</v>
      </c>
      <c r="O131" s="589"/>
      <c r="P131" s="717" cm="1">
        <f t="array" ref="P131">F131</f>
        <v>130</v>
      </c>
      <c r="Q131" s="620" t="str" cm="1">
        <f t="array" ref="Q131">RIGHT(G131,1)</f>
        <v>H</v>
      </c>
      <c r="R131" s="590" t="str" cm="1">
        <f t="array" ref="R131">RIGHT(H131,1)</f>
        <v>G</v>
      </c>
      <c r="S131" s="590" t="str" cm="1">
        <f t="array" ref="S131">RIGHT(I131,1)</f>
        <v>B</v>
      </c>
      <c r="T131" s="590" t="str" cm="1">
        <f t="array" ref="T131">RIGHT(J131,1)</f>
        <v>C</v>
      </c>
      <c r="U131" s="590" t="str" cm="1">
        <f t="array" ref="U131">RIGHT(K131,1)</f>
        <v>J</v>
      </c>
      <c r="V131" s="590" t="str" cm="1">
        <f t="array" ref="V131">RIGHT(L131,1)</f>
        <v>F</v>
      </c>
      <c r="W131" s="590" t="str" cm="1">
        <f t="array" ref="W131">RIGHT(M131,1)</f>
        <v>D</v>
      </c>
      <c r="X131" s="590" t="str" cm="1">
        <f t="array" ref="X131">RIGHT(N131,1)</f>
        <v>I</v>
      </c>
      <c r="Y131" s="708" cm="1">
        <f t="array" ref="Y131">COUNTIF($AA$2:$AA$9,Q131)+COUNTIF($AA$2:$AA$9,R131)+COUNTIF($AA$2:$AA$9,S131)+COUNTIF($AA$2:$AA$9,T131)+COUNTIF($AA$2:$AA$9,U131)+COUNTIF($AA$2:$AA$9,V131)+COUNTIF($AA$2:$AA$9,W131)+COUNTIF($AA$2:$AA$9,X131)</f>
        <v>5</v>
      </c>
      <c r="Z131" s="589"/>
      <c r="AA131" s="589"/>
      <c r="AB131" s="589"/>
      <c r="AC131" s="589"/>
      <c r="AD131" s="589"/>
      <c r="AE131" s="589"/>
      <c r="AF131" s="589"/>
      <c r="AG131" s="589"/>
      <c r="AH131" s="589"/>
      <c r="AI131" s="589"/>
      <c r="AJ131" s="589"/>
      <c r="AK131" s="589"/>
      <c r="AL131" s="589"/>
      <c r="AM131" s="589"/>
      <c r="AN131" s="589"/>
      <c r="AO131" s="589"/>
      <c r="AP131" s="589"/>
      <c r="AQ131" s="589"/>
      <c r="AR131" s="589"/>
      <c r="AS131" s="589"/>
      <c r="AT131" s="589"/>
      <c r="AU131" s="589"/>
      <c r="AV131" s="589"/>
      <c r="AW131" s="589"/>
      <c r="AX131" s="589"/>
      <c r="AY131" s="589"/>
      <c r="AZ131" s="589"/>
      <c r="BA131" s="589"/>
      <c r="BB131" s="589"/>
      <c r="BC131" s="589"/>
      <c r="BD131" s="589"/>
      <c r="BE131" s="589"/>
      <c r="BF131" s="589"/>
      <c r="BG131" s="589"/>
      <c r="BH131" s="589"/>
      <c r="BI131" s="589"/>
      <c r="BJ131" s="589"/>
      <c r="BK131" s="589"/>
      <c r="BL131" s="589"/>
    </row>
    <row r="132" spans="1:64" ht="14.25" customHeight="1">
      <c r="A132" s="691" t="s">
        <v>469</v>
      </c>
      <c r="B132" s="589"/>
      <c r="C132" s="589"/>
      <c r="D132" s="589"/>
      <c r="E132" s="589"/>
      <c r="F132" s="591">
        <v>131</v>
      </c>
      <c r="G132" s="691" t="s">
        <v>167</v>
      </c>
      <c r="H132" s="691" t="s">
        <v>217</v>
      </c>
      <c r="I132" s="691" t="s">
        <v>137</v>
      </c>
      <c r="J132" s="691" t="s">
        <v>147</v>
      </c>
      <c r="K132" s="691" t="s">
        <v>207</v>
      </c>
      <c r="L132" s="691" t="s">
        <v>157</v>
      </c>
      <c r="M132" s="691" t="s">
        <v>237</v>
      </c>
      <c r="N132" s="691" t="s">
        <v>227</v>
      </c>
      <c r="O132" s="589"/>
      <c r="P132" s="717" cm="1">
        <f t="array" ref="P132">F132</f>
        <v>131</v>
      </c>
      <c r="Q132" s="620" t="str" cm="1">
        <f t="array" ref="Q132">RIGHT(G132,1)</f>
        <v>E</v>
      </c>
      <c r="R132" s="590" t="str" cm="1">
        <f t="array" ref="R132">RIGHT(H132,1)</f>
        <v>J</v>
      </c>
      <c r="S132" s="590" t="str" cm="1">
        <f t="array" ref="S132">RIGHT(I132,1)</f>
        <v>B</v>
      </c>
      <c r="T132" s="590" t="str" cm="1">
        <f t="array" ref="T132">RIGHT(J132,1)</f>
        <v>C</v>
      </c>
      <c r="U132" s="590" t="str" cm="1">
        <f t="array" ref="U132">RIGHT(K132,1)</f>
        <v>I</v>
      </c>
      <c r="V132" s="590" t="str" cm="1">
        <f t="array" ref="V132">RIGHT(L132,1)</f>
        <v>D</v>
      </c>
      <c r="W132" s="590" t="str" cm="1">
        <f t="array" ref="W132">RIGHT(M132,1)</f>
        <v>L</v>
      </c>
      <c r="X132" s="590" t="str" cm="1">
        <f t="array" ref="X132">RIGHT(N132,1)</f>
        <v>K</v>
      </c>
      <c r="Y132" s="708" cm="1">
        <f t="array" ref="Y132">COUNTIF($AA$2:$AA$9,Q132)+COUNTIF($AA$2:$AA$9,R132)+COUNTIF($AA$2:$AA$9,S132)+COUNTIF($AA$2:$AA$9,T132)+COUNTIF($AA$2:$AA$9,U132)+COUNTIF($AA$2:$AA$9,V132)+COUNTIF($AA$2:$AA$9,W132)+COUNTIF($AA$2:$AA$9,X132)</f>
        <v>6</v>
      </c>
      <c r="Z132" s="589"/>
      <c r="AA132" s="589"/>
      <c r="AB132" s="589"/>
      <c r="AC132" s="589"/>
      <c r="AD132" s="589"/>
      <c r="AE132" s="589"/>
      <c r="AF132" s="589"/>
      <c r="AG132" s="589"/>
      <c r="AH132" s="589"/>
      <c r="AI132" s="589"/>
      <c r="AJ132" s="589"/>
      <c r="AK132" s="589"/>
      <c r="AL132" s="589"/>
      <c r="AM132" s="589"/>
      <c r="AN132" s="589"/>
      <c r="AO132" s="589"/>
      <c r="AP132" s="589"/>
      <c r="AQ132" s="589"/>
      <c r="AR132" s="589"/>
      <c r="AS132" s="589"/>
      <c r="AT132" s="589"/>
      <c r="AU132" s="589"/>
      <c r="AV132" s="589"/>
      <c r="AW132" s="589"/>
      <c r="AX132" s="589"/>
      <c r="AY132" s="589"/>
      <c r="AZ132" s="589"/>
      <c r="BA132" s="589"/>
      <c r="BB132" s="589"/>
      <c r="BC132" s="589"/>
      <c r="BD132" s="589"/>
      <c r="BE132" s="589"/>
      <c r="BF132" s="589"/>
      <c r="BG132" s="589"/>
      <c r="BH132" s="589"/>
      <c r="BI132" s="589"/>
      <c r="BJ132" s="589"/>
      <c r="BK132" s="589"/>
      <c r="BL132" s="589"/>
    </row>
    <row r="133" spans="1:64" ht="14.25" customHeight="1">
      <c r="A133" s="691" t="s">
        <v>470</v>
      </c>
      <c r="B133" s="589"/>
      <c r="C133" s="589"/>
      <c r="D133" s="589"/>
      <c r="E133" s="589"/>
      <c r="F133" s="591">
        <v>132</v>
      </c>
      <c r="G133" s="691" t="s">
        <v>167</v>
      </c>
      <c r="H133" s="691" t="s">
        <v>217</v>
      </c>
      <c r="I133" s="691" t="s">
        <v>137</v>
      </c>
      <c r="J133" s="691" t="s">
        <v>147</v>
      </c>
      <c r="K133" s="691" t="s">
        <v>197</v>
      </c>
      <c r="L133" s="691" t="s">
        <v>157</v>
      </c>
      <c r="M133" s="691" t="s">
        <v>237</v>
      </c>
      <c r="N133" s="691" t="s">
        <v>227</v>
      </c>
      <c r="O133" s="589"/>
      <c r="P133" s="717" cm="1">
        <f t="array" ref="P133">F133</f>
        <v>132</v>
      </c>
      <c r="Q133" s="620" t="str" cm="1">
        <f t="array" ref="Q133">RIGHT(G133,1)</f>
        <v>E</v>
      </c>
      <c r="R133" s="590" t="str" cm="1">
        <f t="array" ref="R133">RIGHT(H133,1)</f>
        <v>J</v>
      </c>
      <c r="S133" s="590" t="str" cm="1">
        <f t="array" ref="S133">RIGHT(I133,1)</f>
        <v>B</v>
      </c>
      <c r="T133" s="590" t="str" cm="1">
        <f t="array" ref="T133">RIGHT(J133,1)</f>
        <v>C</v>
      </c>
      <c r="U133" s="590" t="str" cm="1">
        <f t="array" ref="U133">RIGHT(K133,1)</f>
        <v>H</v>
      </c>
      <c r="V133" s="590" t="str" cm="1">
        <f t="array" ref="V133">RIGHT(L133,1)</f>
        <v>D</v>
      </c>
      <c r="W133" s="590" t="str" cm="1">
        <f t="array" ref="W133">RIGHT(M133,1)</f>
        <v>L</v>
      </c>
      <c r="X133" s="590" t="str" cm="1">
        <f t="array" ref="X133">RIGHT(N133,1)</f>
        <v>K</v>
      </c>
      <c r="Y133" s="708" cm="1">
        <f t="array" ref="Y133">COUNTIF($AA$2:$AA$9,Q133)+COUNTIF($AA$2:$AA$9,R133)+COUNTIF($AA$2:$AA$9,S133)+COUNTIF($AA$2:$AA$9,T133)+COUNTIF($AA$2:$AA$9,U133)+COUNTIF($AA$2:$AA$9,V133)+COUNTIF($AA$2:$AA$9,W133)+COUNTIF($AA$2:$AA$9,X133)</f>
        <v>5</v>
      </c>
      <c r="Z133" s="589"/>
      <c r="AA133" s="589"/>
      <c r="AB133" s="589"/>
      <c r="AC133" s="589"/>
      <c r="AD133" s="589"/>
      <c r="AE133" s="589"/>
      <c r="AF133" s="589"/>
      <c r="AG133" s="589"/>
      <c r="AH133" s="589"/>
      <c r="AI133" s="589"/>
      <c r="AJ133" s="589"/>
      <c r="AK133" s="589"/>
      <c r="AL133" s="589"/>
      <c r="AM133" s="589"/>
      <c r="AN133" s="589"/>
      <c r="AO133" s="589"/>
      <c r="AP133" s="589"/>
      <c r="AQ133" s="589"/>
      <c r="AR133" s="589"/>
      <c r="AS133" s="589"/>
      <c r="AT133" s="589"/>
      <c r="AU133" s="589"/>
      <c r="AV133" s="589"/>
      <c r="AW133" s="589"/>
      <c r="AX133" s="589"/>
      <c r="AY133" s="589"/>
      <c r="AZ133" s="589"/>
      <c r="BA133" s="589"/>
      <c r="BB133" s="589"/>
      <c r="BC133" s="589"/>
      <c r="BD133" s="589"/>
      <c r="BE133" s="589"/>
      <c r="BF133" s="589"/>
      <c r="BG133" s="589"/>
      <c r="BH133" s="589"/>
      <c r="BI133" s="589"/>
      <c r="BJ133" s="589"/>
      <c r="BK133" s="589"/>
      <c r="BL133" s="589"/>
    </row>
    <row r="134" spans="1:64" ht="14.25" customHeight="1">
      <c r="A134" s="691" t="s">
        <v>471</v>
      </c>
      <c r="B134" s="589"/>
      <c r="C134" s="589"/>
      <c r="D134" s="589"/>
      <c r="E134" s="589"/>
      <c r="F134" s="591">
        <v>133</v>
      </c>
      <c r="G134" s="691" t="s">
        <v>167</v>
      </c>
      <c r="H134" s="691" t="s">
        <v>207</v>
      </c>
      <c r="I134" s="691" t="s">
        <v>137</v>
      </c>
      <c r="J134" s="691" t="s">
        <v>147</v>
      </c>
      <c r="K134" s="691" t="s">
        <v>197</v>
      </c>
      <c r="L134" s="691" t="s">
        <v>157</v>
      </c>
      <c r="M134" s="691" t="s">
        <v>237</v>
      </c>
      <c r="N134" s="691" t="s">
        <v>227</v>
      </c>
      <c r="O134" s="589"/>
      <c r="P134" s="717" cm="1">
        <f t="array" ref="P134">F134</f>
        <v>133</v>
      </c>
      <c r="Q134" s="620" t="str" cm="1">
        <f t="array" ref="Q134">RIGHT(G134,1)</f>
        <v>E</v>
      </c>
      <c r="R134" s="590" t="str" cm="1">
        <f t="array" ref="R134">RIGHT(H134,1)</f>
        <v>I</v>
      </c>
      <c r="S134" s="590" t="str" cm="1">
        <f t="array" ref="S134">RIGHT(I134,1)</f>
        <v>B</v>
      </c>
      <c r="T134" s="590" t="str" cm="1">
        <f t="array" ref="T134">RIGHT(J134,1)</f>
        <v>C</v>
      </c>
      <c r="U134" s="590" t="str" cm="1">
        <f t="array" ref="U134">RIGHT(K134,1)</f>
        <v>H</v>
      </c>
      <c r="V134" s="590" t="str" cm="1">
        <f t="array" ref="V134">RIGHT(L134,1)</f>
        <v>D</v>
      </c>
      <c r="W134" s="590" t="str" cm="1">
        <f t="array" ref="W134">RIGHT(M134,1)</f>
        <v>L</v>
      </c>
      <c r="X134" s="590" t="str" cm="1">
        <f t="array" ref="X134">RIGHT(N134,1)</f>
        <v>K</v>
      </c>
      <c r="Y134" s="708" cm="1">
        <f t="array" ref="Y134">COUNTIF($AA$2:$AA$9,Q134)+COUNTIF($AA$2:$AA$9,R134)+COUNTIF($AA$2:$AA$9,S134)+COUNTIF($AA$2:$AA$9,T134)+COUNTIF($AA$2:$AA$9,U134)+COUNTIF($AA$2:$AA$9,V134)+COUNTIF($AA$2:$AA$9,W134)+COUNTIF($AA$2:$AA$9,X134)</f>
        <v>5</v>
      </c>
      <c r="Z134" s="589"/>
      <c r="AA134" s="589"/>
      <c r="AB134" s="589"/>
      <c r="AC134" s="589"/>
      <c r="AD134" s="589"/>
      <c r="AE134" s="589"/>
      <c r="AF134" s="589"/>
      <c r="AG134" s="589"/>
      <c r="AH134" s="589"/>
      <c r="AI134" s="589"/>
      <c r="AJ134" s="589"/>
      <c r="AK134" s="589"/>
      <c r="AL134" s="589"/>
      <c r="AM134" s="589"/>
      <c r="AN134" s="589"/>
      <c r="AO134" s="589"/>
      <c r="AP134" s="589"/>
      <c r="AQ134" s="589"/>
      <c r="AR134" s="589"/>
      <c r="AS134" s="589"/>
      <c r="AT134" s="589"/>
      <c r="AU134" s="589"/>
      <c r="AV134" s="589"/>
      <c r="AW134" s="589"/>
      <c r="AX134" s="589"/>
      <c r="AY134" s="589"/>
      <c r="AZ134" s="589"/>
      <c r="BA134" s="589"/>
      <c r="BB134" s="589"/>
      <c r="BC134" s="589"/>
      <c r="BD134" s="589"/>
      <c r="BE134" s="589"/>
      <c r="BF134" s="589"/>
      <c r="BG134" s="589"/>
      <c r="BH134" s="589"/>
      <c r="BI134" s="589"/>
      <c r="BJ134" s="589"/>
      <c r="BK134" s="589"/>
      <c r="BL134" s="589"/>
    </row>
    <row r="135" spans="1:64" ht="14.25" customHeight="1">
      <c r="A135" s="691" t="s">
        <v>472</v>
      </c>
      <c r="B135" s="589"/>
      <c r="C135" s="589"/>
      <c r="D135" s="589"/>
      <c r="E135" s="589"/>
      <c r="F135" s="591">
        <v>134</v>
      </c>
      <c r="G135" s="691" t="s">
        <v>167</v>
      </c>
      <c r="H135" s="691" t="s">
        <v>217</v>
      </c>
      <c r="I135" s="691" t="s">
        <v>137</v>
      </c>
      <c r="J135" s="691" t="s">
        <v>147</v>
      </c>
      <c r="K135" s="691" t="s">
        <v>197</v>
      </c>
      <c r="L135" s="691" t="s">
        <v>157</v>
      </c>
      <c r="M135" s="691" t="s">
        <v>237</v>
      </c>
      <c r="N135" s="691" t="s">
        <v>207</v>
      </c>
      <c r="O135" s="589"/>
      <c r="P135" s="717" cm="1">
        <f t="array" ref="P135">F135</f>
        <v>134</v>
      </c>
      <c r="Q135" s="620" t="str" cm="1">
        <f t="array" ref="Q135">RIGHT(G135,1)</f>
        <v>E</v>
      </c>
      <c r="R135" s="590" t="str" cm="1">
        <f t="array" ref="R135">RIGHT(H135,1)</f>
        <v>J</v>
      </c>
      <c r="S135" s="590" t="str" cm="1">
        <f t="array" ref="S135">RIGHT(I135,1)</f>
        <v>B</v>
      </c>
      <c r="T135" s="590" t="str" cm="1">
        <f t="array" ref="T135">RIGHT(J135,1)</f>
        <v>C</v>
      </c>
      <c r="U135" s="590" t="str" cm="1">
        <f t="array" ref="U135">RIGHT(K135,1)</f>
        <v>H</v>
      </c>
      <c r="V135" s="590" t="str" cm="1">
        <f t="array" ref="V135">RIGHT(L135,1)</f>
        <v>D</v>
      </c>
      <c r="W135" s="590" t="str" cm="1">
        <f t="array" ref="W135">RIGHT(M135,1)</f>
        <v>L</v>
      </c>
      <c r="X135" s="590" t="str" cm="1">
        <f t="array" ref="X135">RIGHT(N135,1)</f>
        <v>I</v>
      </c>
      <c r="Y135" s="708" cm="1">
        <f t="array" ref="Y135">COUNTIF($AA$2:$AA$9,Q135)+COUNTIF($AA$2:$AA$9,R135)+COUNTIF($AA$2:$AA$9,S135)+COUNTIF($AA$2:$AA$9,T135)+COUNTIF($AA$2:$AA$9,U135)+COUNTIF($AA$2:$AA$9,V135)+COUNTIF($AA$2:$AA$9,W135)+COUNTIF($AA$2:$AA$9,X135)</f>
        <v>6</v>
      </c>
      <c r="Z135" s="589"/>
      <c r="AA135" s="589"/>
      <c r="AB135" s="589"/>
      <c r="AC135" s="589"/>
      <c r="AD135" s="589"/>
      <c r="AE135" s="589"/>
      <c r="AF135" s="589"/>
      <c r="AG135" s="589"/>
      <c r="AH135" s="589"/>
      <c r="AI135" s="589"/>
      <c r="AJ135" s="589"/>
      <c r="AK135" s="589"/>
      <c r="AL135" s="589"/>
      <c r="AM135" s="589"/>
      <c r="AN135" s="589"/>
      <c r="AO135" s="589"/>
      <c r="AP135" s="589"/>
      <c r="AQ135" s="589"/>
      <c r="AR135" s="589"/>
      <c r="AS135" s="589"/>
      <c r="AT135" s="589"/>
      <c r="AU135" s="589"/>
      <c r="AV135" s="589"/>
      <c r="AW135" s="589"/>
      <c r="AX135" s="589"/>
      <c r="AY135" s="589"/>
      <c r="AZ135" s="589"/>
      <c r="BA135" s="589"/>
      <c r="BB135" s="589"/>
      <c r="BC135" s="589"/>
      <c r="BD135" s="589"/>
      <c r="BE135" s="589"/>
      <c r="BF135" s="589"/>
      <c r="BG135" s="589"/>
      <c r="BH135" s="589"/>
      <c r="BI135" s="589"/>
      <c r="BJ135" s="589"/>
      <c r="BK135" s="589"/>
      <c r="BL135" s="589"/>
    </row>
    <row r="136" spans="1:64" ht="14.25" customHeight="1">
      <c r="A136" s="691" t="s">
        <v>473</v>
      </c>
      <c r="B136" s="589"/>
      <c r="C136" s="589"/>
      <c r="D136" s="589"/>
      <c r="E136" s="589"/>
      <c r="F136" s="591">
        <v>135</v>
      </c>
      <c r="G136" s="691" t="s">
        <v>167</v>
      </c>
      <c r="H136" s="691" t="s">
        <v>217</v>
      </c>
      <c r="I136" s="691" t="s">
        <v>137</v>
      </c>
      <c r="J136" s="691" t="s">
        <v>147</v>
      </c>
      <c r="K136" s="691" t="s">
        <v>197</v>
      </c>
      <c r="L136" s="691" t="s">
        <v>157</v>
      </c>
      <c r="M136" s="691" t="s">
        <v>207</v>
      </c>
      <c r="N136" s="691" t="s">
        <v>227</v>
      </c>
      <c r="O136" s="589"/>
      <c r="P136" s="717" cm="1">
        <f t="array" ref="P136">F136</f>
        <v>135</v>
      </c>
      <c r="Q136" s="620" t="str" cm="1">
        <f t="array" ref="Q136">RIGHT(G136,1)</f>
        <v>E</v>
      </c>
      <c r="R136" s="590" t="str" cm="1">
        <f t="array" ref="R136">RIGHT(H136,1)</f>
        <v>J</v>
      </c>
      <c r="S136" s="590" t="str" cm="1">
        <f t="array" ref="S136">RIGHT(I136,1)</f>
        <v>B</v>
      </c>
      <c r="T136" s="590" t="str" cm="1">
        <f t="array" ref="T136">RIGHT(J136,1)</f>
        <v>C</v>
      </c>
      <c r="U136" s="590" t="str" cm="1">
        <f t="array" ref="U136">RIGHT(K136,1)</f>
        <v>H</v>
      </c>
      <c r="V136" s="590" t="str" cm="1">
        <f t="array" ref="V136">RIGHT(L136,1)</f>
        <v>D</v>
      </c>
      <c r="W136" s="590" t="str" cm="1">
        <f t="array" ref="W136">RIGHT(M136,1)</f>
        <v>I</v>
      </c>
      <c r="X136" s="590" t="str" cm="1">
        <f t="array" ref="X136">RIGHT(N136,1)</f>
        <v>K</v>
      </c>
      <c r="Y136" s="708" cm="1">
        <f t="array" ref="Y136">COUNTIF($AA$2:$AA$9,Q136)+COUNTIF($AA$2:$AA$9,R136)+COUNTIF($AA$2:$AA$9,S136)+COUNTIF($AA$2:$AA$9,T136)+COUNTIF($AA$2:$AA$9,U136)+COUNTIF($AA$2:$AA$9,V136)+COUNTIF($AA$2:$AA$9,W136)+COUNTIF($AA$2:$AA$9,X136)</f>
        <v>5</v>
      </c>
      <c r="Z136" s="589"/>
      <c r="AA136" s="589"/>
      <c r="AB136" s="589"/>
      <c r="AC136" s="589"/>
      <c r="AD136" s="589"/>
      <c r="AE136" s="589"/>
      <c r="AF136" s="589"/>
      <c r="AG136" s="589"/>
      <c r="AH136" s="589"/>
      <c r="AI136" s="589"/>
      <c r="AJ136" s="589"/>
      <c r="AK136" s="589"/>
      <c r="AL136" s="589"/>
      <c r="AM136" s="589"/>
      <c r="AN136" s="589"/>
      <c r="AO136" s="589"/>
      <c r="AP136" s="589"/>
      <c r="AQ136" s="589"/>
      <c r="AR136" s="589"/>
      <c r="AS136" s="589"/>
      <c r="AT136" s="589"/>
      <c r="AU136" s="589"/>
      <c r="AV136" s="589"/>
      <c r="AW136" s="589"/>
      <c r="AX136" s="589"/>
      <c r="AY136" s="589"/>
      <c r="AZ136" s="589"/>
      <c r="BA136" s="589"/>
      <c r="BB136" s="589"/>
      <c r="BC136" s="589"/>
      <c r="BD136" s="589"/>
      <c r="BE136" s="589"/>
      <c r="BF136" s="589"/>
      <c r="BG136" s="589"/>
      <c r="BH136" s="589"/>
      <c r="BI136" s="589"/>
      <c r="BJ136" s="589"/>
      <c r="BK136" s="589"/>
      <c r="BL136" s="589"/>
    </row>
    <row r="137" spans="1:64" ht="14.25" customHeight="1">
      <c r="A137" s="691" t="s">
        <v>474</v>
      </c>
      <c r="B137" s="589"/>
      <c r="C137" s="589"/>
      <c r="D137" s="589"/>
      <c r="E137" s="589"/>
      <c r="F137" s="591">
        <v>136</v>
      </c>
      <c r="G137" s="691" t="s">
        <v>167</v>
      </c>
      <c r="H137" s="691" t="s">
        <v>187</v>
      </c>
      <c r="I137" s="691" t="s">
        <v>137</v>
      </c>
      <c r="J137" s="691" t="s">
        <v>147</v>
      </c>
      <c r="K137" s="691" t="s">
        <v>217</v>
      </c>
      <c r="L137" s="691" t="s">
        <v>157</v>
      </c>
      <c r="M137" s="691" t="s">
        <v>237</v>
      </c>
      <c r="N137" s="691" t="s">
        <v>227</v>
      </c>
      <c r="O137" s="589"/>
      <c r="P137" s="717" cm="1">
        <f t="array" ref="P137">F137</f>
        <v>136</v>
      </c>
      <c r="Q137" s="620" t="str" cm="1">
        <f t="array" ref="Q137">RIGHT(G137,1)</f>
        <v>E</v>
      </c>
      <c r="R137" s="590" t="str" cm="1">
        <f t="array" ref="R137">RIGHT(H137,1)</f>
        <v>G</v>
      </c>
      <c r="S137" s="590" t="str" cm="1">
        <f t="array" ref="S137">RIGHT(I137,1)</f>
        <v>B</v>
      </c>
      <c r="T137" s="590" t="str" cm="1">
        <f t="array" ref="T137">RIGHT(J137,1)</f>
        <v>C</v>
      </c>
      <c r="U137" s="590" t="str" cm="1">
        <f t="array" ref="U137">RIGHT(K137,1)</f>
        <v>J</v>
      </c>
      <c r="V137" s="590" t="str" cm="1">
        <f t="array" ref="V137">RIGHT(L137,1)</f>
        <v>D</v>
      </c>
      <c r="W137" s="590" t="str" cm="1">
        <f t="array" ref="W137">RIGHT(M137,1)</f>
        <v>L</v>
      </c>
      <c r="X137" s="590" t="str" cm="1">
        <f t="array" ref="X137">RIGHT(N137,1)</f>
        <v>K</v>
      </c>
      <c r="Y137" s="708" cm="1">
        <f t="array" ref="Y137">COUNTIF($AA$2:$AA$9,Q137)+COUNTIF($AA$2:$AA$9,R137)+COUNTIF($AA$2:$AA$9,S137)+COUNTIF($AA$2:$AA$9,T137)+COUNTIF($AA$2:$AA$9,U137)+COUNTIF($AA$2:$AA$9,V137)+COUNTIF($AA$2:$AA$9,W137)+COUNTIF($AA$2:$AA$9,X137)</f>
        <v>5</v>
      </c>
      <c r="Z137" s="589"/>
      <c r="AA137" s="589"/>
      <c r="AB137" s="589"/>
      <c r="AC137" s="589"/>
      <c r="AD137" s="589"/>
      <c r="AE137" s="589"/>
      <c r="AF137" s="589"/>
      <c r="AG137" s="589"/>
      <c r="AH137" s="589"/>
      <c r="AI137" s="589"/>
      <c r="AJ137" s="589"/>
      <c r="AK137" s="589"/>
      <c r="AL137" s="589"/>
      <c r="AM137" s="589"/>
      <c r="AN137" s="589"/>
      <c r="AO137" s="589"/>
      <c r="AP137" s="589"/>
      <c r="AQ137" s="589"/>
      <c r="AR137" s="589"/>
      <c r="AS137" s="589"/>
      <c r="AT137" s="589"/>
      <c r="AU137" s="589"/>
      <c r="AV137" s="589"/>
      <c r="AW137" s="589"/>
      <c r="AX137" s="589"/>
      <c r="AY137" s="589"/>
      <c r="AZ137" s="589"/>
      <c r="BA137" s="589"/>
      <c r="BB137" s="589"/>
      <c r="BC137" s="589"/>
      <c r="BD137" s="589"/>
      <c r="BE137" s="589"/>
      <c r="BF137" s="589"/>
      <c r="BG137" s="589"/>
      <c r="BH137" s="589"/>
      <c r="BI137" s="589"/>
      <c r="BJ137" s="589"/>
      <c r="BK137" s="589"/>
      <c r="BL137" s="589"/>
    </row>
    <row r="138" spans="1:64" ht="14.25" customHeight="1">
      <c r="A138" s="691" t="s">
        <v>475</v>
      </c>
      <c r="B138" s="589"/>
      <c r="C138" s="589"/>
      <c r="D138" s="589"/>
      <c r="E138" s="589"/>
      <c r="F138" s="591">
        <v>137</v>
      </c>
      <c r="G138" s="691" t="s">
        <v>167</v>
      </c>
      <c r="H138" s="691" t="s">
        <v>187</v>
      </c>
      <c r="I138" s="691" t="s">
        <v>137</v>
      </c>
      <c r="J138" s="691" t="s">
        <v>147</v>
      </c>
      <c r="K138" s="691" t="s">
        <v>207</v>
      </c>
      <c r="L138" s="691" t="s">
        <v>157</v>
      </c>
      <c r="M138" s="691" t="s">
        <v>237</v>
      </c>
      <c r="N138" s="691" t="s">
        <v>227</v>
      </c>
      <c r="O138" s="589"/>
      <c r="P138" s="717" cm="1">
        <f t="array" ref="P138">F138</f>
        <v>137</v>
      </c>
      <c r="Q138" s="620" t="str" cm="1">
        <f t="array" ref="Q138">RIGHT(G138,1)</f>
        <v>E</v>
      </c>
      <c r="R138" s="590" t="str" cm="1">
        <f t="array" ref="R138">RIGHT(H138,1)</f>
        <v>G</v>
      </c>
      <c r="S138" s="590" t="str" cm="1">
        <f t="array" ref="S138">RIGHT(I138,1)</f>
        <v>B</v>
      </c>
      <c r="T138" s="590" t="str" cm="1">
        <f t="array" ref="T138">RIGHT(J138,1)</f>
        <v>C</v>
      </c>
      <c r="U138" s="590" t="str" cm="1">
        <f t="array" ref="U138">RIGHT(K138,1)</f>
        <v>I</v>
      </c>
      <c r="V138" s="590" t="str" cm="1">
        <f t="array" ref="V138">RIGHT(L138,1)</f>
        <v>D</v>
      </c>
      <c r="W138" s="590" t="str" cm="1">
        <f t="array" ref="W138">RIGHT(M138,1)</f>
        <v>L</v>
      </c>
      <c r="X138" s="590" t="str" cm="1">
        <f t="array" ref="X138">RIGHT(N138,1)</f>
        <v>K</v>
      </c>
      <c r="Y138" s="708" cm="1">
        <f t="array" ref="Y138">COUNTIF($AA$2:$AA$9,Q138)+COUNTIF($AA$2:$AA$9,R138)+COUNTIF($AA$2:$AA$9,S138)+COUNTIF($AA$2:$AA$9,T138)+COUNTIF($AA$2:$AA$9,U138)+COUNTIF($AA$2:$AA$9,V138)+COUNTIF($AA$2:$AA$9,W138)+COUNTIF($AA$2:$AA$9,X138)</f>
        <v>5</v>
      </c>
      <c r="Z138" s="589"/>
      <c r="AA138" s="589"/>
      <c r="AB138" s="589"/>
      <c r="AC138" s="589"/>
      <c r="AD138" s="589"/>
      <c r="AE138" s="589"/>
      <c r="AF138" s="589"/>
      <c r="AG138" s="589"/>
      <c r="AH138" s="589"/>
      <c r="AI138" s="589"/>
      <c r="AJ138" s="589"/>
      <c r="AK138" s="589"/>
      <c r="AL138" s="589"/>
      <c r="AM138" s="589"/>
      <c r="AN138" s="589"/>
      <c r="AO138" s="589"/>
      <c r="AP138" s="589"/>
      <c r="AQ138" s="589"/>
      <c r="AR138" s="589"/>
      <c r="AS138" s="589"/>
      <c r="AT138" s="589"/>
      <c r="AU138" s="589"/>
      <c r="AV138" s="589"/>
      <c r="AW138" s="589"/>
      <c r="AX138" s="589"/>
      <c r="AY138" s="589"/>
      <c r="AZ138" s="589"/>
      <c r="BA138" s="589"/>
      <c r="BB138" s="589"/>
      <c r="BC138" s="589"/>
      <c r="BD138" s="589"/>
      <c r="BE138" s="589"/>
      <c r="BF138" s="589"/>
      <c r="BG138" s="589"/>
      <c r="BH138" s="589"/>
      <c r="BI138" s="589"/>
      <c r="BJ138" s="589"/>
      <c r="BK138" s="589"/>
      <c r="BL138" s="589"/>
    </row>
    <row r="139" spans="1:64" ht="14.25" customHeight="1">
      <c r="A139" s="691" t="s">
        <v>476</v>
      </c>
      <c r="B139" s="589"/>
      <c r="C139" s="589"/>
      <c r="D139" s="589"/>
      <c r="E139" s="589"/>
      <c r="F139" s="591">
        <v>138</v>
      </c>
      <c r="G139" s="691" t="s">
        <v>167</v>
      </c>
      <c r="H139" s="691" t="s">
        <v>187</v>
      </c>
      <c r="I139" s="691" t="s">
        <v>137</v>
      </c>
      <c r="J139" s="691" t="s">
        <v>147</v>
      </c>
      <c r="K139" s="691" t="s">
        <v>217</v>
      </c>
      <c r="L139" s="691" t="s">
        <v>157</v>
      </c>
      <c r="M139" s="691" t="s">
        <v>237</v>
      </c>
      <c r="N139" s="691" t="s">
        <v>207</v>
      </c>
      <c r="O139" s="589"/>
      <c r="P139" s="717" cm="1">
        <f t="array" ref="P139">F139</f>
        <v>138</v>
      </c>
      <c r="Q139" s="620" t="str" cm="1">
        <f t="array" ref="Q139">RIGHT(G139,1)</f>
        <v>E</v>
      </c>
      <c r="R139" s="590" t="str" cm="1">
        <f t="array" ref="R139">RIGHT(H139,1)</f>
        <v>G</v>
      </c>
      <c r="S139" s="590" t="str" cm="1">
        <f t="array" ref="S139">RIGHT(I139,1)</f>
        <v>B</v>
      </c>
      <c r="T139" s="590" t="str" cm="1">
        <f t="array" ref="T139">RIGHT(J139,1)</f>
        <v>C</v>
      </c>
      <c r="U139" s="590" t="str" cm="1">
        <f t="array" ref="U139">RIGHT(K139,1)</f>
        <v>J</v>
      </c>
      <c r="V139" s="590" t="str" cm="1">
        <f t="array" ref="V139">RIGHT(L139,1)</f>
        <v>D</v>
      </c>
      <c r="W139" s="590" t="str" cm="1">
        <f t="array" ref="W139">RIGHT(M139,1)</f>
        <v>L</v>
      </c>
      <c r="X139" s="590" t="str" cm="1">
        <f t="array" ref="X139">RIGHT(N139,1)</f>
        <v>I</v>
      </c>
      <c r="Y139" s="708" cm="1">
        <f t="array" ref="Y139">COUNTIF($AA$2:$AA$9,Q139)+COUNTIF($AA$2:$AA$9,R139)+COUNTIF($AA$2:$AA$9,S139)+COUNTIF($AA$2:$AA$9,T139)+COUNTIF($AA$2:$AA$9,U139)+COUNTIF($AA$2:$AA$9,V139)+COUNTIF($AA$2:$AA$9,W139)+COUNTIF($AA$2:$AA$9,X139)</f>
        <v>6</v>
      </c>
      <c r="Z139" s="589"/>
      <c r="AA139" s="589"/>
      <c r="AB139" s="589"/>
      <c r="AC139" s="589"/>
      <c r="AD139" s="589"/>
      <c r="AE139" s="589"/>
      <c r="AF139" s="589"/>
      <c r="AG139" s="589"/>
      <c r="AH139" s="589"/>
      <c r="AI139" s="589"/>
      <c r="AJ139" s="589"/>
      <c r="AK139" s="589"/>
      <c r="AL139" s="589"/>
      <c r="AM139" s="589"/>
      <c r="AN139" s="589"/>
      <c r="AO139" s="589"/>
      <c r="AP139" s="589"/>
      <c r="AQ139" s="589"/>
      <c r="AR139" s="589"/>
      <c r="AS139" s="589"/>
      <c r="AT139" s="589"/>
      <c r="AU139" s="589"/>
      <c r="AV139" s="589"/>
      <c r="AW139" s="589"/>
      <c r="AX139" s="589"/>
      <c r="AY139" s="589"/>
      <c r="AZ139" s="589"/>
      <c r="BA139" s="589"/>
      <c r="BB139" s="589"/>
      <c r="BC139" s="589"/>
      <c r="BD139" s="589"/>
      <c r="BE139" s="589"/>
      <c r="BF139" s="589"/>
      <c r="BG139" s="589"/>
      <c r="BH139" s="589"/>
      <c r="BI139" s="589"/>
      <c r="BJ139" s="589"/>
      <c r="BK139" s="589"/>
      <c r="BL139" s="589"/>
    </row>
    <row r="140" spans="1:64" ht="14.25" customHeight="1">
      <c r="A140" s="691" t="s">
        <v>477</v>
      </c>
      <c r="B140" s="589"/>
      <c r="C140" s="589"/>
      <c r="D140" s="589"/>
      <c r="E140" s="589"/>
      <c r="F140" s="591">
        <v>139</v>
      </c>
      <c r="G140" s="691" t="s">
        <v>167</v>
      </c>
      <c r="H140" s="691" t="s">
        <v>187</v>
      </c>
      <c r="I140" s="691" t="s">
        <v>137</v>
      </c>
      <c r="J140" s="691" t="s">
        <v>147</v>
      </c>
      <c r="K140" s="691" t="s">
        <v>217</v>
      </c>
      <c r="L140" s="691" t="s">
        <v>157</v>
      </c>
      <c r="M140" s="691" t="s">
        <v>207</v>
      </c>
      <c r="N140" s="691" t="s">
        <v>227</v>
      </c>
      <c r="O140" s="589"/>
      <c r="P140" s="717" cm="1">
        <f t="array" ref="P140">F140</f>
        <v>139</v>
      </c>
      <c r="Q140" s="620" t="str" cm="1">
        <f t="array" ref="Q140">RIGHT(G140,1)</f>
        <v>E</v>
      </c>
      <c r="R140" s="590" t="str" cm="1">
        <f t="array" ref="R140">RIGHT(H140,1)</f>
        <v>G</v>
      </c>
      <c r="S140" s="590" t="str" cm="1">
        <f t="array" ref="S140">RIGHT(I140,1)</f>
        <v>B</v>
      </c>
      <c r="T140" s="590" t="str" cm="1">
        <f t="array" ref="T140">RIGHT(J140,1)</f>
        <v>C</v>
      </c>
      <c r="U140" s="590" t="str" cm="1">
        <f t="array" ref="U140">RIGHT(K140,1)</f>
        <v>J</v>
      </c>
      <c r="V140" s="590" t="str" cm="1">
        <f t="array" ref="V140">RIGHT(L140,1)</f>
        <v>D</v>
      </c>
      <c r="W140" s="590" t="str" cm="1">
        <f t="array" ref="W140">RIGHT(M140,1)</f>
        <v>I</v>
      </c>
      <c r="X140" s="590" t="str" cm="1">
        <f t="array" ref="X140">RIGHT(N140,1)</f>
        <v>K</v>
      </c>
      <c r="Y140" s="708" cm="1">
        <f t="array" ref="Y140">COUNTIF($AA$2:$AA$9,Q140)+COUNTIF($AA$2:$AA$9,R140)+COUNTIF($AA$2:$AA$9,S140)+COUNTIF($AA$2:$AA$9,T140)+COUNTIF($AA$2:$AA$9,U140)+COUNTIF($AA$2:$AA$9,V140)+COUNTIF($AA$2:$AA$9,W140)+COUNTIF($AA$2:$AA$9,X140)</f>
        <v>5</v>
      </c>
      <c r="Z140" s="589"/>
      <c r="AA140" s="589"/>
      <c r="AB140" s="589"/>
      <c r="AC140" s="589"/>
      <c r="AD140" s="589"/>
      <c r="AE140" s="589"/>
      <c r="AF140" s="589"/>
      <c r="AG140" s="589"/>
      <c r="AH140" s="589"/>
      <c r="AI140" s="589"/>
      <c r="AJ140" s="589"/>
      <c r="AK140" s="589"/>
      <c r="AL140" s="589"/>
      <c r="AM140" s="589"/>
      <c r="AN140" s="589"/>
      <c r="AO140" s="589"/>
      <c r="AP140" s="589"/>
      <c r="AQ140" s="589"/>
      <c r="AR140" s="589"/>
      <c r="AS140" s="589"/>
      <c r="AT140" s="589"/>
      <c r="AU140" s="589"/>
      <c r="AV140" s="589"/>
      <c r="AW140" s="589"/>
      <c r="AX140" s="589"/>
      <c r="AY140" s="589"/>
      <c r="AZ140" s="589"/>
      <c r="BA140" s="589"/>
      <c r="BB140" s="589"/>
      <c r="BC140" s="589"/>
      <c r="BD140" s="589"/>
      <c r="BE140" s="589"/>
      <c r="BF140" s="589"/>
      <c r="BG140" s="589"/>
      <c r="BH140" s="589"/>
      <c r="BI140" s="589"/>
      <c r="BJ140" s="589"/>
      <c r="BK140" s="589"/>
      <c r="BL140" s="589"/>
    </row>
    <row r="141" spans="1:64" ht="14.25" customHeight="1">
      <c r="A141" s="691" t="s">
        <v>478</v>
      </c>
      <c r="B141" s="589"/>
      <c r="C141" s="589"/>
      <c r="D141" s="589"/>
      <c r="E141" s="589"/>
      <c r="F141" s="591">
        <v>140</v>
      </c>
      <c r="G141" s="691" t="s">
        <v>167</v>
      </c>
      <c r="H141" s="691" t="s">
        <v>187</v>
      </c>
      <c r="I141" s="691" t="s">
        <v>137</v>
      </c>
      <c r="J141" s="691" t="s">
        <v>147</v>
      </c>
      <c r="K141" s="691" t="s">
        <v>197</v>
      </c>
      <c r="L141" s="691" t="s">
        <v>157</v>
      </c>
      <c r="M141" s="691" t="s">
        <v>237</v>
      </c>
      <c r="N141" s="691" t="s">
        <v>227</v>
      </c>
      <c r="O141" s="589"/>
      <c r="P141" s="717" cm="1">
        <f t="array" ref="P141">F141</f>
        <v>140</v>
      </c>
      <c r="Q141" s="620" t="str" cm="1">
        <f t="array" ref="Q141">RIGHT(G141,1)</f>
        <v>E</v>
      </c>
      <c r="R141" s="590" t="str" cm="1">
        <f t="array" ref="R141">RIGHT(H141,1)</f>
        <v>G</v>
      </c>
      <c r="S141" s="590" t="str" cm="1">
        <f t="array" ref="S141">RIGHT(I141,1)</f>
        <v>B</v>
      </c>
      <c r="T141" s="590" t="str" cm="1">
        <f t="array" ref="T141">RIGHT(J141,1)</f>
        <v>C</v>
      </c>
      <c r="U141" s="590" t="str" cm="1">
        <f t="array" ref="U141">RIGHT(K141,1)</f>
        <v>H</v>
      </c>
      <c r="V141" s="590" t="str" cm="1">
        <f t="array" ref="V141">RIGHT(L141,1)</f>
        <v>D</v>
      </c>
      <c r="W141" s="590" t="str" cm="1">
        <f t="array" ref="W141">RIGHT(M141,1)</f>
        <v>L</v>
      </c>
      <c r="X141" s="590" t="str" cm="1">
        <f t="array" ref="X141">RIGHT(N141,1)</f>
        <v>K</v>
      </c>
      <c r="Y141" s="708" cm="1">
        <f t="array" ref="Y141">COUNTIF($AA$2:$AA$9,Q141)+COUNTIF($AA$2:$AA$9,R141)+COUNTIF($AA$2:$AA$9,S141)+COUNTIF($AA$2:$AA$9,T141)+COUNTIF($AA$2:$AA$9,U141)+COUNTIF($AA$2:$AA$9,V141)+COUNTIF($AA$2:$AA$9,W141)+COUNTIF($AA$2:$AA$9,X141)</f>
        <v>4</v>
      </c>
      <c r="Z141" s="589"/>
      <c r="AA141" s="589"/>
      <c r="AB141" s="589"/>
      <c r="AC141" s="589"/>
      <c r="AD141" s="589"/>
      <c r="AE141" s="589"/>
      <c r="AF141" s="589"/>
      <c r="AG141" s="589"/>
      <c r="AH141" s="589"/>
      <c r="AI141" s="589"/>
      <c r="AJ141" s="589"/>
      <c r="AK141" s="589"/>
      <c r="AL141" s="589"/>
      <c r="AM141" s="589"/>
      <c r="AN141" s="589"/>
      <c r="AO141" s="589"/>
      <c r="AP141" s="589"/>
      <c r="AQ141" s="589"/>
      <c r="AR141" s="589"/>
      <c r="AS141" s="589"/>
      <c r="AT141" s="589"/>
      <c r="AU141" s="589"/>
      <c r="AV141" s="589"/>
      <c r="AW141" s="589"/>
      <c r="AX141" s="589"/>
      <c r="AY141" s="589"/>
      <c r="AZ141" s="589"/>
      <c r="BA141" s="589"/>
      <c r="BB141" s="589"/>
      <c r="BC141" s="589"/>
      <c r="BD141" s="589"/>
      <c r="BE141" s="589"/>
      <c r="BF141" s="589"/>
      <c r="BG141" s="589"/>
      <c r="BH141" s="589"/>
      <c r="BI141" s="589"/>
      <c r="BJ141" s="589"/>
      <c r="BK141" s="589"/>
      <c r="BL141" s="589"/>
    </row>
    <row r="142" spans="1:64" ht="14.25" customHeight="1">
      <c r="A142" s="691" t="s">
        <v>479</v>
      </c>
      <c r="B142" s="589"/>
      <c r="C142" s="589"/>
      <c r="D142" s="589"/>
      <c r="E142" s="589"/>
      <c r="F142" s="591">
        <v>141</v>
      </c>
      <c r="G142" s="691" t="s">
        <v>197</v>
      </c>
      <c r="H142" s="691" t="s">
        <v>187</v>
      </c>
      <c r="I142" s="691" t="s">
        <v>137</v>
      </c>
      <c r="J142" s="691" t="s">
        <v>147</v>
      </c>
      <c r="K142" s="691" t="s">
        <v>217</v>
      </c>
      <c r="L142" s="691" t="s">
        <v>157</v>
      </c>
      <c r="M142" s="691" t="s">
        <v>237</v>
      </c>
      <c r="N142" s="691" t="s">
        <v>167</v>
      </c>
      <c r="O142" s="589"/>
      <c r="P142" s="717" cm="1">
        <f t="array" ref="P142">F142</f>
        <v>141</v>
      </c>
      <c r="Q142" s="620" t="str" cm="1">
        <f t="array" ref="Q142">RIGHT(G142,1)</f>
        <v>H</v>
      </c>
      <c r="R142" s="590" t="str" cm="1">
        <f t="array" ref="R142">RIGHT(H142,1)</f>
        <v>G</v>
      </c>
      <c r="S142" s="590" t="str" cm="1">
        <f t="array" ref="S142">RIGHT(I142,1)</f>
        <v>B</v>
      </c>
      <c r="T142" s="590" t="str" cm="1">
        <f t="array" ref="T142">RIGHT(J142,1)</f>
        <v>C</v>
      </c>
      <c r="U142" s="590" t="str" cm="1">
        <f t="array" ref="U142">RIGHT(K142,1)</f>
        <v>J</v>
      </c>
      <c r="V142" s="590" t="str" cm="1">
        <f t="array" ref="V142">RIGHT(L142,1)</f>
        <v>D</v>
      </c>
      <c r="W142" s="590" t="str" cm="1">
        <f t="array" ref="W142">RIGHT(M142,1)</f>
        <v>L</v>
      </c>
      <c r="X142" s="590" t="str" cm="1">
        <f t="array" ref="X142">RIGHT(N142,1)</f>
        <v>E</v>
      </c>
      <c r="Y142" s="708" cm="1">
        <f t="array" ref="Y142">COUNTIF($AA$2:$AA$9,Q142)+COUNTIF($AA$2:$AA$9,R142)+COUNTIF($AA$2:$AA$9,S142)+COUNTIF($AA$2:$AA$9,T142)+COUNTIF($AA$2:$AA$9,U142)+COUNTIF($AA$2:$AA$9,V142)+COUNTIF($AA$2:$AA$9,W142)+COUNTIF($AA$2:$AA$9,X142)</f>
        <v>5</v>
      </c>
      <c r="Z142" s="589"/>
      <c r="AA142" s="589"/>
      <c r="AB142" s="589"/>
      <c r="AC142" s="589"/>
      <c r="AD142" s="589"/>
      <c r="AE142" s="589"/>
      <c r="AF142" s="589"/>
      <c r="AG142" s="589"/>
      <c r="AH142" s="589"/>
      <c r="AI142" s="589"/>
      <c r="AJ142" s="589"/>
      <c r="AK142" s="589"/>
      <c r="AL142" s="589"/>
      <c r="AM142" s="589"/>
      <c r="AN142" s="589"/>
      <c r="AO142" s="589"/>
      <c r="AP142" s="589"/>
      <c r="AQ142" s="589"/>
      <c r="AR142" s="589"/>
      <c r="AS142" s="589"/>
      <c r="AT142" s="589"/>
      <c r="AU142" s="589"/>
      <c r="AV142" s="589"/>
      <c r="AW142" s="589"/>
      <c r="AX142" s="589"/>
      <c r="AY142" s="589"/>
      <c r="AZ142" s="589"/>
      <c r="BA142" s="589"/>
      <c r="BB142" s="589"/>
      <c r="BC142" s="589"/>
      <c r="BD142" s="589"/>
      <c r="BE142" s="589"/>
      <c r="BF142" s="589"/>
      <c r="BG142" s="589"/>
      <c r="BH142" s="589"/>
      <c r="BI142" s="589"/>
      <c r="BJ142" s="589"/>
      <c r="BK142" s="589"/>
      <c r="BL142" s="589"/>
    </row>
    <row r="143" spans="1:64" ht="14.25" customHeight="1">
      <c r="A143" s="691" t="s">
        <v>480</v>
      </c>
      <c r="B143" s="589"/>
      <c r="C143" s="589"/>
      <c r="D143" s="589"/>
      <c r="E143" s="589"/>
      <c r="F143" s="591">
        <v>142</v>
      </c>
      <c r="G143" s="691" t="s">
        <v>197</v>
      </c>
      <c r="H143" s="691" t="s">
        <v>187</v>
      </c>
      <c r="I143" s="691" t="s">
        <v>137</v>
      </c>
      <c r="J143" s="691" t="s">
        <v>147</v>
      </c>
      <c r="K143" s="691" t="s">
        <v>217</v>
      </c>
      <c r="L143" s="691" t="s">
        <v>157</v>
      </c>
      <c r="M143" s="691" t="s">
        <v>167</v>
      </c>
      <c r="N143" s="691" t="s">
        <v>227</v>
      </c>
      <c r="O143" s="589"/>
      <c r="P143" s="717" cm="1">
        <f t="array" ref="P143">F143</f>
        <v>142</v>
      </c>
      <c r="Q143" s="620" t="str" cm="1">
        <f t="array" ref="Q143">RIGHT(G143,1)</f>
        <v>H</v>
      </c>
      <c r="R143" s="590" t="str" cm="1">
        <f t="array" ref="R143">RIGHT(H143,1)</f>
        <v>G</v>
      </c>
      <c r="S143" s="590" t="str" cm="1">
        <f t="array" ref="S143">RIGHT(I143,1)</f>
        <v>B</v>
      </c>
      <c r="T143" s="590" t="str" cm="1">
        <f t="array" ref="T143">RIGHT(J143,1)</f>
        <v>C</v>
      </c>
      <c r="U143" s="590" t="str" cm="1">
        <f t="array" ref="U143">RIGHT(K143,1)</f>
        <v>J</v>
      </c>
      <c r="V143" s="590" t="str" cm="1">
        <f t="array" ref="V143">RIGHT(L143,1)</f>
        <v>D</v>
      </c>
      <c r="W143" s="590" t="str" cm="1">
        <f t="array" ref="W143">RIGHT(M143,1)</f>
        <v>E</v>
      </c>
      <c r="X143" s="590" t="str" cm="1">
        <f t="array" ref="X143">RIGHT(N143,1)</f>
        <v>K</v>
      </c>
      <c r="Y143" s="708" cm="1">
        <f t="array" ref="Y143">COUNTIF($AA$2:$AA$9,Q143)+COUNTIF($AA$2:$AA$9,R143)+COUNTIF($AA$2:$AA$9,S143)+COUNTIF($AA$2:$AA$9,T143)+COUNTIF($AA$2:$AA$9,U143)+COUNTIF($AA$2:$AA$9,V143)+COUNTIF($AA$2:$AA$9,W143)+COUNTIF($AA$2:$AA$9,X143)</f>
        <v>4</v>
      </c>
      <c r="Z143" s="589"/>
      <c r="AA143" s="589"/>
      <c r="AB143" s="589"/>
      <c r="AC143" s="589"/>
      <c r="AD143" s="589"/>
      <c r="AE143" s="589"/>
      <c r="AF143" s="589"/>
      <c r="AG143" s="589"/>
      <c r="AH143" s="589"/>
      <c r="AI143" s="589"/>
      <c r="AJ143" s="589"/>
      <c r="AK143" s="589"/>
      <c r="AL143" s="589"/>
      <c r="AM143" s="589"/>
      <c r="AN143" s="589"/>
      <c r="AO143" s="589"/>
      <c r="AP143" s="589"/>
      <c r="AQ143" s="589"/>
      <c r="AR143" s="589"/>
      <c r="AS143" s="589"/>
      <c r="AT143" s="589"/>
      <c r="AU143" s="589"/>
      <c r="AV143" s="589"/>
      <c r="AW143" s="589"/>
      <c r="AX143" s="589"/>
      <c r="AY143" s="589"/>
      <c r="AZ143" s="589"/>
      <c r="BA143" s="589"/>
      <c r="BB143" s="589"/>
      <c r="BC143" s="589"/>
      <c r="BD143" s="589"/>
      <c r="BE143" s="589"/>
      <c r="BF143" s="589"/>
      <c r="BG143" s="589"/>
      <c r="BH143" s="589"/>
      <c r="BI143" s="589"/>
      <c r="BJ143" s="589"/>
      <c r="BK143" s="589"/>
      <c r="BL143" s="589"/>
    </row>
    <row r="144" spans="1:64" ht="14.25" customHeight="1">
      <c r="A144" s="691" t="s">
        <v>481</v>
      </c>
      <c r="B144" s="589"/>
      <c r="C144" s="589"/>
      <c r="D144" s="589"/>
      <c r="E144" s="589"/>
      <c r="F144" s="591">
        <v>143</v>
      </c>
      <c r="G144" s="691" t="s">
        <v>167</v>
      </c>
      <c r="H144" s="691" t="s">
        <v>187</v>
      </c>
      <c r="I144" s="691" t="s">
        <v>137</v>
      </c>
      <c r="J144" s="691" t="s">
        <v>147</v>
      </c>
      <c r="K144" s="691" t="s">
        <v>197</v>
      </c>
      <c r="L144" s="691" t="s">
        <v>157</v>
      </c>
      <c r="M144" s="691" t="s">
        <v>237</v>
      </c>
      <c r="N144" s="691" t="s">
        <v>207</v>
      </c>
      <c r="O144" s="589"/>
      <c r="P144" s="717" cm="1">
        <f t="array" ref="P144">F144</f>
        <v>143</v>
      </c>
      <c r="Q144" s="620" t="str" cm="1">
        <f t="array" ref="Q144">RIGHT(G144,1)</f>
        <v>E</v>
      </c>
      <c r="R144" s="590" t="str" cm="1">
        <f t="array" ref="R144">RIGHT(H144,1)</f>
        <v>G</v>
      </c>
      <c r="S144" s="590" t="str" cm="1">
        <f t="array" ref="S144">RIGHT(I144,1)</f>
        <v>B</v>
      </c>
      <c r="T144" s="590" t="str" cm="1">
        <f t="array" ref="T144">RIGHT(J144,1)</f>
        <v>C</v>
      </c>
      <c r="U144" s="590" t="str" cm="1">
        <f t="array" ref="U144">RIGHT(K144,1)</f>
        <v>H</v>
      </c>
      <c r="V144" s="590" t="str" cm="1">
        <f t="array" ref="V144">RIGHT(L144,1)</f>
        <v>D</v>
      </c>
      <c r="W144" s="590" t="str" cm="1">
        <f t="array" ref="W144">RIGHT(M144,1)</f>
        <v>L</v>
      </c>
      <c r="X144" s="590" t="str" cm="1">
        <f t="array" ref="X144">RIGHT(N144,1)</f>
        <v>I</v>
      </c>
      <c r="Y144" s="708" cm="1">
        <f t="array" ref="Y144">COUNTIF($AA$2:$AA$9,Q144)+COUNTIF($AA$2:$AA$9,R144)+COUNTIF($AA$2:$AA$9,S144)+COUNTIF($AA$2:$AA$9,T144)+COUNTIF($AA$2:$AA$9,U144)+COUNTIF($AA$2:$AA$9,V144)+COUNTIF($AA$2:$AA$9,W144)+COUNTIF($AA$2:$AA$9,X144)</f>
        <v>5</v>
      </c>
      <c r="Z144" s="589"/>
      <c r="AA144" s="589"/>
      <c r="AB144" s="589"/>
      <c r="AC144" s="589"/>
      <c r="AD144" s="589"/>
      <c r="AE144" s="589"/>
      <c r="AF144" s="589"/>
      <c r="AG144" s="589"/>
      <c r="AH144" s="589"/>
      <c r="AI144" s="589"/>
      <c r="AJ144" s="589"/>
      <c r="AK144" s="589"/>
      <c r="AL144" s="589"/>
      <c r="AM144" s="589"/>
      <c r="AN144" s="589"/>
      <c r="AO144" s="589"/>
      <c r="AP144" s="589"/>
      <c r="AQ144" s="589"/>
      <c r="AR144" s="589"/>
      <c r="AS144" s="589"/>
      <c r="AT144" s="589"/>
      <c r="AU144" s="589"/>
      <c r="AV144" s="589"/>
      <c r="AW144" s="589"/>
      <c r="AX144" s="589"/>
      <c r="AY144" s="589"/>
      <c r="AZ144" s="589"/>
      <c r="BA144" s="589"/>
      <c r="BB144" s="589"/>
      <c r="BC144" s="589"/>
      <c r="BD144" s="589"/>
      <c r="BE144" s="589"/>
      <c r="BF144" s="589"/>
      <c r="BG144" s="589"/>
      <c r="BH144" s="589"/>
      <c r="BI144" s="589"/>
      <c r="BJ144" s="589"/>
      <c r="BK144" s="589"/>
      <c r="BL144" s="589"/>
    </row>
    <row r="145" spans="1:64" ht="14.25" customHeight="1">
      <c r="A145" s="691" t="s">
        <v>482</v>
      </c>
      <c r="B145" s="589"/>
      <c r="C145" s="589"/>
      <c r="D145" s="589"/>
      <c r="E145" s="589"/>
      <c r="F145" s="591">
        <v>144</v>
      </c>
      <c r="G145" s="691" t="s">
        <v>167</v>
      </c>
      <c r="H145" s="691" t="s">
        <v>187</v>
      </c>
      <c r="I145" s="691" t="s">
        <v>137</v>
      </c>
      <c r="J145" s="691" t="s">
        <v>147</v>
      </c>
      <c r="K145" s="691" t="s">
        <v>197</v>
      </c>
      <c r="L145" s="691" t="s">
        <v>157</v>
      </c>
      <c r="M145" s="691" t="s">
        <v>207</v>
      </c>
      <c r="N145" s="691" t="s">
        <v>227</v>
      </c>
      <c r="O145" s="589"/>
      <c r="P145" s="717" cm="1">
        <f t="array" ref="P145">F145</f>
        <v>144</v>
      </c>
      <c r="Q145" s="620" t="str" cm="1">
        <f t="array" ref="Q145">RIGHT(G145,1)</f>
        <v>E</v>
      </c>
      <c r="R145" s="590" t="str" cm="1">
        <f t="array" ref="R145">RIGHT(H145,1)</f>
        <v>G</v>
      </c>
      <c r="S145" s="590" t="str" cm="1">
        <f t="array" ref="S145">RIGHT(I145,1)</f>
        <v>B</v>
      </c>
      <c r="T145" s="590" t="str" cm="1">
        <f t="array" ref="T145">RIGHT(J145,1)</f>
        <v>C</v>
      </c>
      <c r="U145" s="590" t="str" cm="1">
        <f t="array" ref="U145">RIGHT(K145,1)</f>
        <v>H</v>
      </c>
      <c r="V145" s="590" t="str" cm="1">
        <f t="array" ref="V145">RIGHT(L145,1)</f>
        <v>D</v>
      </c>
      <c r="W145" s="590" t="str" cm="1">
        <f t="array" ref="W145">RIGHT(M145,1)</f>
        <v>I</v>
      </c>
      <c r="X145" s="590" t="str" cm="1">
        <f t="array" ref="X145">RIGHT(N145,1)</f>
        <v>K</v>
      </c>
      <c r="Y145" s="708" cm="1">
        <f t="array" ref="Y145">COUNTIF($AA$2:$AA$9,Q145)+COUNTIF($AA$2:$AA$9,R145)+COUNTIF($AA$2:$AA$9,S145)+COUNTIF($AA$2:$AA$9,T145)+COUNTIF($AA$2:$AA$9,U145)+COUNTIF($AA$2:$AA$9,V145)+COUNTIF($AA$2:$AA$9,W145)+COUNTIF($AA$2:$AA$9,X145)</f>
        <v>4</v>
      </c>
      <c r="Z145" s="589"/>
      <c r="AA145" s="589"/>
      <c r="AB145" s="589"/>
      <c r="AC145" s="589"/>
      <c r="AD145" s="589"/>
      <c r="AE145" s="589"/>
      <c r="AF145" s="589"/>
      <c r="AG145" s="589"/>
      <c r="AH145" s="589"/>
      <c r="AI145" s="589"/>
      <c r="AJ145" s="589"/>
      <c r="AK145" s="589"/>
      <c r="AL145" s="589"/>
      <c r="AM145" s="589"/>
      <c r="AN145" s="589"/>
      <c r="AO145" s="589"/>
      <c r="AP145" s="589"/>
      <c r="AQ145" s="589"/>
      <c r="AR145" s="589"/>
      <c r="AS145" s="589"/>
      <c r="AT145" s="589"/>
      <c r="AU145" s="589"/>
      <c r="AV145" s="589"/>
      <c r="AW145" s="589"/>
      <c r="AX145" s="589"/>
      <c r="AY145" s="589"/>
      <c r="AZ145" s="589"/>
      <c r="BA145" s="589"/>
      <c r="BB145" s="589"/>
      <c r="BC145" s="589"/>
      <c r="BD145" s="589"/>
      <c r="BE145" s="589"/>
      <c r="BF145" s="589"/>
      <c r="BG145" s="589"/>
      <c r="BH145" s="589"/>
      <c r="BI145" s="589"/>
      <c r="BJ145" s="589"/>
      <c r="BK145" s="589"/>
      <c r="BL145" s="589"/>
    </row>
    <row r="146" spans="1:64" ht="14.25" customHeight="1">
      <c r="A146" s="691" t="s">
        <v>483</v>
      </c>
      <c r="B146" s="589"/>
      <c r="C146" s="589"/>
      <c r="D146" s="589"/>
      <c r="E146" s="589"/>
      <c r="F146" s="591">
        <v>145</v>
      </c>
      <c r="G146" s="691" t="s">
        <v>197</v>
      </c>
      <c r="H146" s="691" t="s">
        <v>187</v>
      </c>
      <c r="I146" s="691" t="s">
        <v>137</v>
      </c>
      <c r="J146" s="691" t="s">
        <v>147</v>
      </c>
      <c r="K146" s="691" t="s">
        <v>217</v>
      </c>
      <c r="L146" s="691" t="s">
        <v>157</v>
      </c>
      <c r="M146" s="691" t="s">
        <v>167</v>
      </c>
      <c r="N146" s="691" t="s">
        <v>207</v>
      </c>
      <c r="O146" s="589"/>
      <c r="P146" s="717" cm="1">
        <f t="array" ref="P146">F146</f>
        <v>145</v>
      </c>
      <c r="Q146" s="620" t="str" cm="1">
        <f t="array" ref="Q146">RIGHT(G146,1)</f>
        <v>H</v>
      </c>
      <c r="R146" s="590" t="str" cm="1">
        <f t="array" ref="R146">RIGHT(H146,1)</f>
        <v>G</v>
      </c>
      <c r="S146" s="590" t="str" cm="1">
        <f t="array" ref="S146">RIGHT(I146,1)</f>
        <v>B</v>
      </c>
      <c r="T146" s="590" t="str" cm="1">
        <f t="array" ref="T146">RIGHT(J146,1)</f>
        <v>C</v>
      </c>
      <c r="U146" s="590" t="str" cm="1">
        <f t="array" ref="U146">RIGHT(K146,1)</f>
        <v>J</v>
      </c>
      <c r="V146" s="590" t="str" cm="1">
        <f t="array" ref="V146">RIGHT(L146,1)</f>
        <v>D</v>
      </c>
      <c r="W146" s="590" t="str" cm="1">
        <f t="array" ref="W146">RIGHT(M146,1)</f>
        <v>E</v>
      </c>
      <c r="X146" s="590" t="str" cm="1">
        <f t="array" ref="X146">RIGHT(N146,1)</f>
        <v>I</v>
      </c>
      <c r="Y146" s="708" cm="1">
        <f t="array" ref="Y146">COUNTIF($AA$2:$AA$9,Q146)+COUNTIF($AA$2:$AA$9,R146)+COUNTIF($AA$2:$AA$9,S146)+COUNTIF($AA$2:$AA$9,T146)+COUNTIF($AA$2:$AA$9,U146)+COUNTIF($AA$2:$AA$9,V146)+COUNTIF($AA$2:$AA$9,W146)+COUNTIF($AA$2:$AA$9,X146)</f>
        <v>5</v>
      </c>
      <c r="Z146" s="589"/>
      <c r="AA146" s="589"/>
      <c r="AB146" s="589"/>
      <c r="AC146" s="589"/>
      <c r="AD146" s="589"/>
      <c r="AE146" s="589"/>
      <c r="AF146" s="589"/>
      <c r="AG146" s="589"/>
      <c r="AH146" s="589"/>
      <c r="AI146" s="589"/>
      <c r="AJ146" s="589"/>
      <c r="AK146" s="589"/>
      <c r="AL146" s="589"/>
      <c r="AM146" s="589"/>
      <c r="AN146" s="589"/>
      <c r="AO146" s="589"/>
      <c r="AP146" s="589"/>
      <c r="AQ146" s="589"/>
      <c r="AR146" s="589"/>
      <c r="AS146" s="589"/>
      <c r="AT146" s="589"/>
      <c r="AU146" s="589"/>
      <c r="AV146" s="589"/>
      <c r="AW146" s="589"/>
      <c r="AX146" s="589"/>
      <c r="AY146" s="589"/>
      <c r="AZ146" s="589"/>
      <c r="BA146" s="589"/>
      <c r="BB146" s="589"/>
      <c r="BC146" s="589"/>
      <c r="BD146" s="589"/>
      <c r="BE146" s="589"/>
      <c r="BF146" s="589"/>
      <c r="BG146" s="589"/>
      <c r="BH146" s="589"/>
      <c r="BI146" s="589"/>
      <c r="BJ146" s="589"/>
      <c r="BK146" s="589"/>
      <c r="BL146" s="589"/>
    </row>
    <row r="147" spans="1:64" ht="14.25" customHeight="1">
      <c r="A147" s="691" t="s">
        <v>484</v>
      </c>
      <c r="B147" s="589"/>
      <c r="C147" s="589"/>
      <c r="D147" s="589"/>
      <c r="E147" s="589"/>
      <c r="F147" s="591">
        <v>146</v>
      </c>
      <c r="G147" s="691" t="s">
        <v>147</v>
      </c>
      <c r="H147" s="691" t="s">
        <v>217</v>
      </c>
      <c r="I147" s="691" t="s">
        <v>137</v>
      </c>
      <c r="J147" s="691" t="s">
        <v>157</v>
      </c>
      <c r="K147" s="691" t="s">
        <v>167</v>
      </c>
      <c r="L147" s="691" t="s">
        <v>177</v>
      </c>
      <c r="M147" s="691" t="s">
        <v>237</v>
      </c>
      <c r="N147" s="691" t="s">
        <v>227</v>
      </c>
      <c r="O147" s="589"/>
      <c r="P147" s="717" cm="1">
        <f t="array" ref="P147">F147</f>
        <v>146</v>
      </c>
      <c r="Q147" s="620" t="str" cm="1">
        <f t="array" ref="Q147">RIGHT(G147,1)</f>
        <v>C</v>
      </c>
      <c r="R147" s="590" t="str" cm="1">
        <f t="array" ref="R147">RIGHT(H147,1)</f>
        <v>J</v>
      </c>
      <c r="S147" s="590" t="str" cm="1">
        <f t="array" ref="S147">RIGHT(I147,1)</f>
        <v>B</v>
      </c>
      <c r="T147" s="590" t="str" cm="1">
        <f t="array" ref="T147">RIGHT(J147,1)</f>
        <v>D</v>
      </c>
      <c r="U147" s="590" t="str" cm="1">
        <f t="array" ref="U147">RIGHT(K147,1)</f>
        <v>E</v>
      </c>
      <c r="V147" s="590" t="str" cm="1">
        <f t="array" ref="V147">RIGHT(L147,1)</f>
        <v>F</v>
      </c>
      <c r="W147" s="590" t="str" cm="1">
        <f t="array" ref="W147">RIGHT(M147,1)</f>
        <v>L</v>
      </c>
      <c r="X147" s="590" t="str" cm="1">
        <f t="array" ref="X147">RIGHT(N147,1)</f>
        <v>K</v>
      </c>
      <c r="Y147" s="708" cm="1">
        <f t="array" ref="Y147">COUNTIF($AA$2:$AA$9,Q147)+COUNTIF($AA$2:$AA$9,R147)+COUNTIF($AA$2:$AA$9,S147)+COUNTIF($AA$2:$AA$9,T147)+COUNTIF($AA$2:$AA$9,U147)+COUNTIF($AA$2:$AA$9,V147)+COUNTIF($AA$2:$AA$9,W147)+COUNTIF($AA$2:$AA$9,X147)</f>
        <v>6</v>
      </c>
      <c r="Z147" s="589"/>
      <c r="AA147" s="589"/>
      <c r="AB147" s="589"/>
      <c r="AC147" s="589"/>
      <c r="AD147" s="589"/>
      <c r="AE147" s="589"/>
      <c r="AF147" s="589"/>
      <c r="AG147" s="589"/>
      <c r="AH147" s="589"/>
      <c r="AI147" s="589"/>
      <c r="AJ147" s="589"/>
      <c r="AK147" s="589"/>
      <c r="AL147" s="589"/>
      <c r="AM147" s="589"/>
      <c r="AN147" s="589"/>
      <c r="AO147" s="589"/>
      <c r="AP147" s="589"/>
      <c r="AQ147" s="589"/>
      <c r="AR147" s="589"/>
      <c r="AS147" s="589"/>
      <c r="AT147" s="589"/>
      <c r="AU147" s="589"/>
      <c r="AV147" s="589"/>
      <c r="AW147" s="589"/>
      <c r="AX147" s="589"/>
      <c r="AY147" s="589"/>
      <c r="AZ147" s="589"/>
      <c r="BA147" s="589"/>
      <c r="BB147" s="589"/>
      <c r="BC147" s="589"/>
      <c r="BD147" s="589"/>
      <c r="BE147" s="589"/>
      <c r="BF147" s="589"/>
      <c r="BG147" s="589"/>
      <c r="BH147" s="589"/>
      <c r="BI147" s="589"/>
      <c r="BJ147" s="589"/>
      <c r="BK147" s="589"/>
      <c r="BL147" s="589"/>
    </row>
    <row r="148" spans="1:64" ht="14.25" customHeight="1">
      <c r="A148" s="691" t="s">
        <v>485</v>
      </c>
      <c r="B148" s="589"/>
      <c r="C148" s="589"/>
      <c r="D148" s="589"/>
      <c r="E148" s="589"/>
      <c r="F148" s="591">
        <v>147</v>
      </c>
      <c r="G148" s="691" t="s">
        <v>147</v>
      </c>
      <c r="H148" s="691" t="s">
        <v>167</v>
      </c>
      <c r="I148" s="691" t="s">
        <v>137</v>
      </c>
      <c r="J148" s="691" t="s">
        <v>157</v>
      </c>
      <c r="K148" s="691" t="s">
        <v>207</v>
      </c>
      <c r="L148" s="691" t="s">
        <v>177</v>
      </c>
      <c r="M148" s="691" t="s">
        <v>237</v>
      </c>
      <c r="N148" s="691" t="s">
        <v>227</v>
      </c>
      <c r="O148" s="589"/>
      <c r="P148" s="717" cm="1">
        <f t="array" ref="P148">F148</f>
        <v>147</v>
      </c>
      <c r="Q148" s="620" t="str" cm="1">
        <f t="array" ref="Q148">RIGHT(G148,1)</f>
        <v>C</v>
      </c>
      <c r="R148" s="590" t="str" cm="1">
        <f t="array" ref="R148">RIGHT(H148,1)</f>
        <v>E</v>
      </c>
      <c r="S148" s="590" t="str" cm="1">
        <f t="array" ref="S148">RIGHT(I148,1)</f>
        <v>B</v>
      </c>
      <c r="T148" s="590" t="str" cm="1">
        <f t="array" ref="T148">RIGHT(J148,1)</f>
        <v>D</v>
      </c>
      <c r="U148" s="590" t="str" cm="1">
        <f t="array" ref="U148">RIGHT(K148,1)</f>
        <v>I</v>
      </c>
      <c r="V148" s="590" t="str" cm="1">
        <f t="array" ref="V148">RIGHT(L148,1)</f>
        <v>F</v>
      </c>
      <c r="W148" s="590" t="str" cm="1">
        <f t="array" ref="W148">RIGHT(M148,1)</f>
        <v>L</v>
      </c>
      <c r="X148" s="590" t="str" cm="1">
        <f t="array" ref="X148">RIGHT(N148,1)</f>
        <v>K</v>
      </c>
      <c r="Y148" s="708" cm="1">
        <f t="array" ref="Y148">COUNTIF($AA$2:$AA$9,Q148)+COUNTIF($AA$2:$AA$9,R148)+COUNTIF($AA$2:$AA$9,S148)+COUNTIF($AA$2:$AA$9,T148)+COUNTIF($AA$2:$AA$9,U148)+COUNTIF($AA$2:$AA$9,V148)+COUNTIF($AA$2:$AA$9,W148)+COUNTIF($AA$2:$AA$9,X148)</f>
        <v>6</v>
      </c>
      <c r="Z148" s="589"/>
      <c r="AA148" s="589"/>
      <c r="AB148" s="589"/>
      <c r="AC148" s="589"/>
      <c r="AD148" s="589"/>
      <c r="AE148" s="589"/>
      <c r="AF148" s="589"/>
      <c r="AG148" s="589"/>
      <c r="AH148" s="589"/>
      <c r="AI148" s="589"/>
      <c r="AJ148" s="589"/>
      <c r="AK148" s="589"/>
      <c r="AL148" s="589"/>
      <c r="AM148" s="589"/>
      <c r="AN148" s="589"/>
      <c r="AO148" s="589"/>
      <c r="AP148" s="589"/>
      <c r="AQ148" s="589"/>
      <c r="AR148" s="589"/>
      <c r="AS148" s="589"/>
      <c r="AT148" s="589"/>
      <c r="AU148" s="589"/>
      <c r="AV148" s="589"/>
      <c r="AW148" s="589"/>
      <c r="AX148" s="589"/>
      <c r="AY148" s="589"/>
      <c r="AZ148" s="589"/>
      <c r="BA148" s="589"/>
      <c r="BB148" s="589"/>
      <c r="BC148" s="589"/>
      <c r="BD148" s="589"/>
      <c r="BE148" s="589"/>
      <c r="BF148" s="589"/>
      <c r="BG148" s="589"/>
      <c r="BH148" s="589"/>
      <c r="BI148" s="589"/>
      <c r="BJ148" s="589"/>
      <c r="BK148" s="589"/>
      <c r="BL148" s="589"/>
    </row>
    <row r="149" spans="1:64" ht="14.25" customHeight="1">
      <c r="A149" s="691" t="s">
        <v>486</v>
      </c>
      <c r="B149" s="589"/>
      <c r="C149" s="589"/>
      <c r="D149" s="589"/>
      <c r="E149" s="589"/>
      <c r="F149" s="591">
        <v>148</v>
      </c>
      <c r="G149" s="691" t="s">
        <v>147</v>
      </c>
      <c r="H149" s="691" t="s">
        <v>217</v>
      </c>
      <c r="I149" s="691" t="s">
        <v>137</v>
      </c>
      <c r="J149" s="691" t="s">
        <v>157</v>
      </c>
      <c r="K149" s="691" t="s">
        <v>167</v>
      </c>
      <c r="L149" s="691" t="s">
        <v>177</v>
      </c>
      <c r="M149" s="691" t="s">
        <v>237</v>
      </c>
      <c r="N149" s="691" t="s">
        <v>207</v>
      </c>
      <c r="O149" s="589"/>
      <c r="P149" s="717" cm="1">
        <f t="array" ref="P149">F149</f>
        <v>148</v>
      </c>
      <c r="Q149" s="620" t="str" cm="1">
        <f t="array" ref="Q149">RIGHT(G149,1)</f>
        <v>C</v>
      </c>
      <c r="R149" s="590" t="str" cm="1">
        <f t="array" ref="R149">RIGHT(H149,1)</f>
        <v>J</v>
      </c>
      <c r="S149" s="590" t="str" cm="1">
        <f t="array" ref="S149">RIGHT(I149,1)</f>
        <v>B</v>
      </c>
      <c r="T149" s="590" t="str" cm="1">
        <f t="array" ref="T149">RIGHT(J149,1)</f>
        <v>D</v>
      </c>
      <c r="U149" s="590" t="str" cm="1">
        <f t="array" ref="U149">RIGHT(K149,1)</f>
        <v>E</v>
      </c>
      <c r="V149" s="590" t="str" cm="1">
        <f t="array" ref="V149">RIGHT(L149,1)</f>
        <v>F</v>
      </c>
      <c r="W149" s="590" t="str" cm="1">
        <f t="array" ref="W149">RIGHT(M149,1)</f>
        <v>L</v>
      </c>
      <c r="X149" s="590" t="str" cm="1">
        <f t="array" ref="X149">RIGHT(N149,1)</f>
        <v>I</v>
      </c>
      <c r="Y149" s="708" cm="1">
        <f t="array" ref="Y149">COUNTIF($AA$2:$AA$9,Q149)+COUNTIF($AA$2:$AA$9,R149)+COUNTIF($AA$2:$AA$9,S149)+COUNTIF($AA$2:$AA$9,T149)+COUNTIF($AA$2:$AA$9,U149)+COUNTIF($AA$2:$AA$9,V149)+COUNTIF($AA$2:$AA$9,W149)+COUNTIF($AA$2:$AA$9,X149)</f>
        <v>7</v>
      </c>
      <c r="Z149" s="589"/>
      <c r="AA149" s="589"/>
      <c r="AB149" s="589"/>
      <c r="AC149" s="589"/>
      <c r="AD149" s="589"/>
      <c r="AE149" s="589"/>
      <c r="AF149" s="589"/>
      <c r="AG149" s="589"/>
      <c r="AH149" s="589"/>
      <c r="AI149" s="589"/>
      <c r="AJ149" s="589"/>
      <c r="AK149" s="589"/>
      <c r="AL149" s="589"/>
      <c r="AM149" s="589"/>
      <c r="AN149" s="589"/>
      <c r="AO149" s="589"/>
      <c r="AP149" s="589"/>
      <c r="AQ149" s="589"/>
      <c r="AR149" s="589"/>
      <c r="AS149" s="589"/>
      <c r="AT149" s="589"/>
      <c r="AU149" s="589"/>
      <c r="AV149" s="589"/>
      <c r="AW149" s="589"/>
      <c r="AX149" s="589"/>
      <c r="AY149" s="589"/>
      <c r="AZ149" s="589"/>
      <c r="BA149" s="589"/>
      <c r="BB149" s="589"/>
      <c r="BC149" s="589"/>
      <c r="BD149" s="589"/>
      <c r="BE149" s="589"/>
      <c r="BF149" s="589"/>
      <c r="BG149" s="589"/>
      <c r="BH149" s="589"/>
      <c r="BI149" s="589"/>
      <c r="BJ149" s="589"/>
      <c r="BK149" s="589"/>
      <c r="BL149" s="589"/>
    </row>
    <row r="150" spans="1:64" ht="14.25" customHeight="1">
      <c r="A150" s="691" t="s">
        <v>487</v>
      </c>
      <c r="B150" s="589"/>
      <c r="C150" s="589"/>
      <c r="D150" s="589"/>
      <c r="E150" s="589"/>
      <c r="F150" s="591">
        <v>149</v>
      </c>
      <c r="G150" s="691" t="s">
        <v>147</v>
      </c>
      <c r="H150" s="691" t="s">
        <v>217</v>
      </c>
      <c r="I150" s="691" t="s">
        <v>137</v>
      </c>
      <c r="J150" s="691" t="s">
        <v>157</v>
      </c>
      <c r="K150" s="691" t="s">
        <v>167</v>
      </c>
      <c r="L150" s="691" t="s">
        <v>177</v>
      </c>
      <c r="M150" s="691" t="s">
        <v>207</v>
      </c>
      <c r="N150" s="691" t="s">
        <v>227</v>
      </c>
      <c r="O150" s="589"/>
      <c r="P150" s="717" cm="1">
        <f t="array" ref="P150">F150</f>
        <v>149</v>
      </c>
      <c r="Q150" s="620" t="str" cm="1">
        <f t="array" ref="Q150">RIGHT(G150,1)</f>
        <v>C</v>
      </c>
      <c r="R150" s="590" t="str" cm="1">
        <f t="array" ref="R150">RIGHT(H150,1)</f>
        <v>J</v>
      </c>
      <c r="S150" s="590" t="str" cm="1">
        <f t="array" ref="S150">RIGHT(I150,1)</f>
        <v>B</v>
      </c>
      <c r="T150" s="590" t="str" cm="1">
        <f t="array" ref="T150">RIGHT(J150,1)</f>
        <v>D</v>
      </c>
      <c r="U150" s="590" t="str" cm="1">
        <f t="array" ref="U150">RIGHT(K150,1)</f>
        <v>E</v>
      </c>
      <c r="V150" s="590" t="str" cm="1">
        <f t="array" ref="V150">RIGHT(L150,1)</f>
        <v>F</v>
      </c>
      <c r="W150" s="590" t="str" cm="1">
        <f t="array" ref="W150">RIGHT(M150,1)</f>
        <v>I</v>
      </c>
      <c r="X150" s="590" t="str" cm="1">
        <f t="array" ref="X150">RIGHT(N150,1)</f>
        <v>K</v>
      </c>
      <c r="Y150" s="708" cm="1">
        <f t="array" ref="Y150">COUNTIF($AA$2:$AA$9,Q150)+COUNTIF($AA$2:$AA$9,R150)+COUNTIF($AA$2:$AA$9,S150)+COUNTIF($AA$2:$AA$9,T150)+COUNTIF($AA$2:$AA$9,U150)+COUNTIF($AA$2:$AA$9,V150)+COUNTIF($AA$2:$AA$9,W150)+COUNTIF($AA$2:$AA$9,X150)</f>
        <v>6</v>
      </c>
      <c r="Z150" s="589"/>
      <c r="AA150" s="589"/>
      <c r="AB150" s="589"/>
      <c r="AC150" s="589"/>
      <c r="AD150" s="589"/>
      <c r="AE150" s="589"/>
      <c r="AF150" s="589"/>
      <c r="AG150" s="589"/>
      <c r="AH150" s="589"/>
      <c r="AI150" s="589"/>
      <c r="AJ150" s="589"/>
      <c r="AK150" s="589"/>
      <c r="AL150" s="589"/>
      <c r="AM150" s="589"/>
      <c r="AN150" s="589"/>
      <c r="AO150" s="589"/>
      <c r="AP150" s="589"/>
      <c r="AQ150" s="589"/>
      <c r="AR150" s="589"/>
      <c r="AS150" s="589"/>
      <c r="AT150" s="589"/>
      <c r="AU150" s="589"/>
      <c r="AV150" s="589"/>
      <c r="AW150" s="589"/>
      <c r="AX150" s="589"/>
      <c r="AY150" s="589"/>
      <c r="AZ150" s="589"/>
      <c r="BA150" s="589"/>
      <c r="BB150" s="589"/>
      <c r="BC150" s="589"/>
      <c r="BD150" s="589"/>
      <c r="BE150" s="589"/>
      <c r="BF150" s="589"/>
      <c r="BG150" s="589"/>
      <c r="BH150" s="589"/>
      <c r="BI150" s="589"/>
      <c r="BJ150" s="589"/>
      <c r="BK150" s="589"/>
      <c r="BL150" s="589"/>
    </row>
    <row r="151" spans="1:64" ht="14.25" customHeight="1">
      <c r="A151" s="691" t="s">
        <v>488</v>
      </c>
      <c r="B151" s="589"/>
      <c r="C151" s="589"/>
      <c r="D151" s="589"/>
      <c r="E151" s="589"/>
      <c r="F151" s="591">
        <v>150</v>
      </c>
      <c r="G151" s="691" t="s">
        <v>147</v>
      </c>
      <c r="H151" s="691" t="s">
        <v>167</v>
      </c>
      <c r="I151" s="691" t="s">
        <v>137</v>
      </c>
      <c r="J151" s="691" t="s">
        <v>157</v>
      </c>
      <c r="K151" s="691" t="s">
        <v>197</v>
      </c>
      <c r="L151" s="691" t="s">
        <v>177</v>
      </c>
      <c r="M151" s="691" t="s">
        <v>237</v>
      </c>
      <c r="N151" s="691" t="s">
        <v>227</v>
      </c>
      <c r="O151" s="589"/>
      <c r="P151" s="717" cm="1">
        <f t="array" ref="P151">F151</f>
        <v>150</v>
      </c>
      <c r="Q151" s="620" t="str" cm="1">
        <f t="array" ref="Q151">RIGHT(G151,1)</f>
        <v>C</v>
      </c>
      <c r="R151" s="590" t="str" cm="1">
        <f t="array" ref="R151">RIGHT(H151,1)</f>
        <v>E</v>
      </c>
      <c r="S151" s="590" t="str" cm="1">
        <f t="array" ref="S151">RIGHT(I151,1)</f>
        <v>B</v>
      </c>
      <c r="T151" s="590" t="str" cm="1">
        <f t="array" ref="T151">RIGHT(J151,1)</f>
        <v>D</v>
      </c>
      <c r="U151" s="590" t="str" cm="1">
        <f t="array" ref="U151">RIGHT(K151,1)</f>
        <v>H</v>
      </c>
      <c r="V151" s="590" t="str" cm="1">
        <f t="array" ref="V151">RIGHT(L151,1)</f>
        <v>F</v>
      </c>
      <c r="W151" s="590" t="str" cm="1">
        <f t="array" ref="W151">RIGHT(M151,1)</f>
        <v>L</v>
      </c>
      <c r="X151" s="590" t="str" cm="1">
        <f t="array" ref="X151">RIGHT(N151,1)</f>
        <v>K</v>
      </c>
      <c r="Y151" s="708" cm="1">
        <f t="array" ref="Y151">COUNTIF($AA$2:$AA$9,Q151)+COUNTIF($AA$2:$AA$9,R151)+COUNTIF($AA$2:$AA$9,S151)+COUNTIF($AA$2:$AA$9,T151)+COUNTIF($AA$2:$AA$9,U151)+COUNTIF($AA$2:$AA$9,V151)+COUNTIF($AA$2:$AA$9,W151)+COUNTIF($AA$2:$AA$9,X151)</f>
        <v>5</v>
      </c>
      <c r="Z151" s="589"/>
      <c r="AA151" s="589"/>
      <c r="AB151" s="589"/>
      <c r="AC151" s="589"/>
      <c r="AD151" s="589"/>
      <c r="AE151" s="589"/>
      <c r="AF151" s="589"/>
      <c r="AG151" s="589"/>
      <c r="AH151" s="589"/>
      <c r="AI151" s="589"/>
      <c r="AJ151" s="589"/>
      <c r="AK151" s="589"/>
      <c r="AL151" s="589"/>
      <c r="AM151" s="589"/>
      <c r="AN151" s="589"/>
      <c r="AO151" s="589"/>
      <c r="AP151" s="589"/>
      <c r="AQ151" s="589"/>
      <c r="AR151" s="589"/>
      <c r="AS151" s="589"/>
      <c r="AT151" s="589"/>
      <c r="AU151" s="589"/>
      <c r="AV151" s="589"/>
      <c r="AW151" s="589"/>
      <c r="AX151" s="589"/>
      <c r="AY151" s="589"/>
      <c r="AZ151" s="589"/>
      <c r="BA151" s="589"/>
      <c r="BB151" s="589"/>
      <c r="BC151" s="589"/>
      <c r="BD151" s="589"/>
      <c r="BE151" s="589"/>
      <c r="BF151" s="589"/>
      <c r="BG151" s="589"/>
      <c r="BH151" s="589"/>
      <c r="BI151" s="589"/>
      <c r="BJ151" s="589"/>
      <c r="BK151" s="589"/>
      <c r="BL151" s="589"/>
    </row>
    <row r="152" spans="1:64" ht="14.25" customHeight="1">
      <c r="A152" s="691" t="s">
        <v>489</v>
      </c>
      <c r="B152" s="589"/>
      <c r="C152" s="589"/>
      <c r="D152" s="589"/>
      <c r="E152" s="589"/>
      <c r="F152" s="591">
        <v>151</v>
      </c>
      <c r="G152" s="691" t="s">
        <v>147</v>
      </c>
      <c r="H152" s="691" t="s">
        <v>217</v>
      </c>
      <c r="I152" s="691" t="s">
        <v>137</v>
      </c>
      <c r="J152" s="691" t="s">
        <v>157</v>
      </c>
      <c r="K152" s="691" t="s">
        <v>197</v>
      </c>
      <c r="L152" s="691" t="s">
        <v>177</v>
      </c>
      <c r="M152" s="691" t="s">
        <v>237</v>
      </c>
      <c r="N152" s="691" t="s">
        <v>167</v>
      </c>
      <c r="O152" s="589"/>
      <c r="P152" s="717" cm="1">
        <f t="array" ref="P152">F152</f>
        <v>151</v>
      </c>
      <c r="Q152" s="620" t="str" cm="1">
        <f t="array" ref="Q152">RIGHT(G152,1)</f>
        <v>C</v>
      </c>
      <c r="R152" s="590" t="str" cm="1">
        <f t="array" ref="R152">RIGHT(H152,1)</f>
        <v>J</v>
      </c>
      <c r="S152" s="590" t="str" cm="1">
        <f t="array" ref="S152">RIGHT(I152,1)</f>
        <v>B</v>
      </c>
      <c r="T152" s="590" t="str" cm="1">
        <f t="array" ref="T152">RIGHT(J152,1)</f>
        <v>D</v>
      </c>
      <c r="U152" s="590" t="str" cm="1">
        <f t="array" ref="U152">RIGHT(K152,1)</f>
        <v>H</v>
      </c>
      <c r="V152" s="590" t="str" cm="1">
        <f t="array" ref="V152">RIGHT(L152,1)</f>
        <v>F</v>
      </c>
      <c r="W152" s="590" t="str" cm="1">
        <f t="array" ref="W152">RIGHT(M152,1)</f>
        <v>L</v>
      </c>
      <c r="X152" s="590" t="str" cm="1">
        <f t="array" ref="X152">RIGHT(N152,1)</f>
        <v>E</v>
      </c>
      <c r="Y152" s="708" cm="1">
        <f t="array" ref="Y152">COUNTIF($AA$2:$AA$9,Q152)+COUNTIF($AA$2:$AA$9,R152)+COUNTIF($AA$2:$AA$9,S152)+COUNTIF($AA$2:$AA$9,T152)+COUNTIF($AA$2:$AA$9,U152)+COUNTIF($AA$2:$AA$9,V152)+COUNTIF($AA$2:$AA$9,W152)+COUNTIF($AA$2:$AA$9,X152)</f>
        <v>6</v>
      </c>
      <c r="Z152" s="589"/>
      <c r="AA152" s="589"/>
      <c r="AB152" s="589"/>
      <c r="AC152" s="589"/>
      <c r="AD152" s="589"/>
      <c r="AE152" s="589"/>
      <c r="AF152" s="589"/>
      <c r="AG152" s="589"/>
      <c r="AH152" s="589"/>
      <c r="AI152" s="589"/>
      <c r="AJ152" s="589"/>
      <c r="AK152" s="589"/>
      <c r="AL152" s="589"/>
      <c r="AM152" s="589"/>
      <c r="AN152" s="589"/>
      <c r="AO152" s="589"/>
      <c r="AP152" s="589"/>
      <c r="AQ152" s="589"/>
      <c r="AR152" s="589"/>
      <c r="AS152" s="589"/>
      <c r="AT152" s="589"/>
      <c r="AU152" s="589"/>
      <c r="AV152" s="589"/>
      <c r="AW152" s="589"/>
      <c r="AX152" s="589"/>
      <c r="AY152" s="589"/>
      <c r="AZ152" s="589"/>
      <c r="BA152" s="589"/>
      <c r="BB152" s="589"/>
      <c r="BC152" s="589"/>
      <c r="BD152" s="589"/>
      <c r="BE152" s="589"/>
      <c r="BF152" s="589"/>
      <c r="BG152" s="589"/>
      <c r="BH152" s="589"/>
      <c r="BI152" s="589"/>
      <c r="BJ152" s="589"/>
      <c r="BK152" s="589"/>
      <c r="BL152" s="589"/>
    </row>
    <row r="153" spans="1:64" ht="14.25" customHeight="1">
      <c r="A153" s="691" t="s">
        <v>490</v>
      </c>
      <c r="B153" s="589"/>
      <c r="C153" s="589"/>
      <c r="D153" s="589"/>
      <c r="E153" s="589"/>
      <c r="F153" s="591">
        <v>152</v>
      </c>
      <c r="G153" s="691" t="s">
        <v>147</v>
      </c>
      <c r="H153" s="691" t="s">
        <v>217</v>
      </c>
      <c r="I153" s="691" t="s">
        <v>137</v>
      </c>
      <c r="J153" s="691" t="s">
        <v>157</v>
      </c>
      <c r="K153" s="691" t="s">
        <v>197</v>
      </c>
      <c r="L153" s="691" t="s">
        <v>177</v>
      </c>
      <c r="M153" s="691" t="s">
        <v>167</v>
      </c>
      <c r="N153" s="691" t="s">
        <v>227</v>
      </c>
      <c r="O153" s="589"/>
      <c r="P153" s="717" cm="1">
        <f t="array" ref="P153">F153</f>
        <v>152</v>
      </c>
      <c r="Q153" s="620" t="str" cm="1">
        <f t="array" ref="Q153">RIGHT(G153,1)</f>
        <v>C</v>
      </c>
      <c r="R153" s="590" t="str" cm="1">
        <f t="array" ref="R153">RIGHT(H153,1)</f>
        <v>J</v>
      </c>
      <c r="S153" s="590" t="str" cm="1">
        <f t="array" ref="S153">RIGHT(I153,1)</f>
        <v>B</v>
      </c>
      <c r="T153" s="590" t="str" cm="1">
        <f t="array" ref="T153">RIGHT(J153,1)</f>
        <v>D</v>
      </c>
      <c r="U153" s="590" t="str" cm="1">
        <f t="array" ref="U153">RIGHT(K153,1)</f>
        <v>H</v>
      </c>
      <c r="V153" s="590" t="str" cm="1">
        <f t="array" ref="V153">RIGHT(L153,1)</f>
        <v>F</v>
      </c>
      <c r="W153" s="590" t="str" cm="1">
        <f t="array" ref="W153">RIGHT(M153,1)</f>
        <v>E</v>
      </c>
      <c r="X153" s="590" t="str" cm="1">
        <f t="array" ref="X153">RIGHT(N153,1)</f>
        <v>K</v>
      </c>
      <c r="Y153" s="708" cm="1">
        <f t="array" ref="Y153">COUNTIF($AA$2:$AA$9,Q153)+COUNTIF($AA$2:$AA$9,R153)+COUNTIF($AA$2:$AA$9,S153)+COUNTIF($AA$2:$AA$9,T153)+COUNTIF($AA$2:$AA$9,U153)+COUNTIF($AA$2:$AA$9,V153)+COUNTIF($AA$2:$AA$9,W153)+COUNTIF($AA$2:$AA$9,X153)</f>
        <v>5</v>
      </c>
      <c r="Z153" s="589"/>
      <c r="AA153" s="589"/>
      <c r="AB153" s="589"/>
      <c r="AC153" s="589"/>
      <c r="AD153" s="589"/>
      <c r="AE153" s="589"/>
      <c r="AF153" s="589"/>
      <c r="AG153" s="589"/>
      <c r="AH153" s="589"/>
      <c r="AI153" s="589"/>
      <c r="AJ153" s="589"/>
      <c r="AK153" s="589"/>
      <c r="AL153" s="589"/>
      <c r="AM153" s="589"/>
      <c r="AN153" s="589"/>
      <c r="AO153" s="589"/>
      <c r="AP153" s="589"/>
      <c r="AQ153" s="589"/>
      <c r="AR153" s="589"/>
      <c r="AS153" s="589"/>
      <c r="AT153" s="589"/>
      <c r="AU153" s="589"/>
      <c r="AV153" s="589"/>
      <c r="AW153" s="589"/>
      <c r="AX153" s="589"/>
      <c r="AY153" s="589"/>
      <c r="AZ153" s="589"/>
      <c r="BA153" s="589"/>
      <c r="BB153" s="589"/>
      <c r="BC153" s="589"/>
      <c r="BD153" s="589"/>
      <c r="BE153" s="589"/>
      <c r="BF153" s="589"/>
      <c r="BG153" s="589"/>
      <c r="BH153" s="589"/>
      <c r="BI153" s="589"/>
      <c r="BJ153" s="589"/>
      <c r="BK153" s="589"/>
      <c r="BL153" s="589"/>
    </row>
    <row r="154" spans="1:64" ht="14.25" customHeight="1">
      <c r="A154" s="691" t="s">
        <v>491</v>
      </c>
      <c r="B154" s="589"/>
      <c r="C154" s="589"/>
      <c r="D154" s="589"/>
      <c r="E154" s="589"/>
      <c r="F154" s="591">
        <v>153</v>
      </c>
      <c r="G154" s="691" t="s">
        <v>147</v>
      </c>
      <c r="H154" s="691" t="s">
        <v>167</v>
      </c>
      <c r="I154" s="691" t="s">
        <v>137</v>
      </c>
      <c r="J154" s="691" t="s">
        <v>157</v>
      </c>
      <c r="K154" s="691" t="s">
        <v>197</v>
      </c>
      <c r="L154" s="691" t="s">
        <v>177</v>
      </c>
      <c r="M154" s="691" t="s">
        <v>237</v>
      </c>
      <c r="N154" s="691" t="s">
        <v>207</v>
      </c>
      <c r="O154" s="589"/>
      <c r="P154" s="717" cm="1">
        <f t="array" ref="P154">F154</f>
        <v>153</v>
      </c>
      <c r="Q154" s="620" t="str" cm="1">
        <f t="array" ref="Q154">RIGHT(G154,1)</f>
        <v>C</v>
      </c>
      <c r="R154" s="590" t="str" cm="1">
        <f t="array" ref="R154">RIGHT(H154,1)</f>
        <v>E</v>
      </c>
      <c r="S154" s="590" t="str" cm="1">
        <f t="array" ref="S154">RIGHT(I154,1)</f>
        <v>B</v>
      </c>
      <c r="T154" s="590" t="str" cm="1">
        <f t="array" ref="T154">RIGHT(J154,1)</f>
        <v>D</v>
      </c>
      <c r="U154" s="590" t="str" cm="1">
        <f t="array" ref="U154">RIGHT(K154,1)</f>
        <v>H</v>
      </c>
      <c r="V154" s="590" t="str" cm="1">
        <f t="array" ref="V154">RIGHT(L154,1)</f>
        <v>F</v>
      </c>
      <c r="W154" s="590" t="str" cm="1">
        <f t="array" ref="W154">RIGHT(M154,1)</f>
        <v>L</v>
      </c>
      <c r="X154" s="590" t="str" cm="1">
        <f t="array" ref="X154">RIGHT(N154,1)</f>
        <v>I</v>
      </c>
      <c r="Y154" s="708" cm="1">
        <f t="array" ref="Y154">COUNTIF($AA$2:$AA$9,Q154)+COUNTIF($AA$2:$AA$9,R154)+COUNTIF($AA$2:$AA$9,S154)+COUNTIF($AA$2:$AA$9,T154)+COUNTIF($AA$2:$AA$9,U154)+COUNTIF($AA$2:$AA$9,V154)+COUNTIF($AA$2:$AA$9,W154)+COUNTIF($AA$2:$AA$9,X154)</f>
        <v>6</v>
      </c>
      <c r="Z154" s="589"/>
      <c r="AA154" s="589"/>
      <c r="AB154" s="589"/>
      <c r="AC154" s="589"/>
      <c r="AD154" s="589"/>
      <c r="AE154" s="589"/>
      <c r="AF154" s="589"/>
      <c r="AG154" s="589"/>
      <c r="AH154" s="589"/>
      <c r="AI154" s="589"/>
      <c r="AJ154" s="589"/>
      <c r="AK154" s="589"/>
      <c r="AL154" s="589"/>
      <c r="AM154" s="589"/>
      <c r="AN154" s="589"/>
      <c r="AO154" s="589"/>
      <c r="AP154" s="589"/>
      <c r="AQ154" s="589"/>
      <c r="AR154" s="589"/>
      <c r="AS154" s="589"/>
      <c r="AT154" s="589"/>
      <c r="AU154" s="589"/>
      <c r="AV154" s="589"/>
      <c r="AW154" s="589"/>
      <c r="AX154" s="589"/>
      <c r="AY154" s="589"/>
      <c r="AZ154" s="589"/>
      <c r="BA154" s="589"/>
      <c r="BB154" s="589"/>
      <c r="BC154" s="589"/>
      <c r="BD154" s="589"/>
      <c r="BE154" s="589"/>
      <c r="BF154" s="589"/>
      <c r="BG154" s="589"/>
      <c r="BH154" s="589"/>
      <c r="BI154" s="589"/>
      <c r="BJ154" s="589"/>
      <c r="BK154" s="589"/>
      <c r="BL154" s="589"/>
    </row>
    <row r="155" spans="1:64" ht="14.25" customHeight="1">
      <c r="A155" s="691" t="s">
        <v>492</v>
      </c>
      <c r="B155" s="589"/>
      <c r="C155" s="589"/>
      <c r="D155" s="589"/>
      <c r="E155" s="589"/>
      <c r="F155" s="591">
        <v>154</v>
      </c>
      <c r="G155" s="691" t="s">
        <v>147</v>
      </c>
      <c r="H155" s="691" t="s">
        <v>167</v>
      </c>
      <c r="I155" s="691" t="s">
        <v>137</v>
      </c>
      <c r="J155" s="691" t="s">
        <v>157</v>
      </c>
      <c r="K155" s="691" t="s">
        <v>197</v>
      </c>
      <c r="L155" s="691" t="s">
        <v>177</v>
      </c>
      <c r="M155" s="691" t="s">
        <v>207</v>
      </c>
      <c r="N155" s="691" t="s">
        <v>227</v>
      </c>
      <c r="O155" s="589"/>
      <c r="P155" s="717" cm="1">
        <f t="array" ref="P155">F155</f>
        <v>154</v>
      </c>
      <c r="Q155" s="620" t="str" cm="1">
        <f t="array" ref="Q155">RIGHT(G155,1)</f>
        <v>C</v>
      </c>
      <c r="R155" s="590" t="str" cm="1">
        <f t="array" ref="R155">RIGHT(H155,1)</f>
        <v>E</v>
      </c>
      <c r="S155" s="590" t="str" cm="1">
        <f t="array" ref="S155">RIGHT(I155,1)</f>
        <v>B</v>
      </c>
      <c r="T155" s="590" t="str" cm="1">
        <f t="array" ref="T155">RIGHT(J155,1)</f>
        <v>D</v>
      </c>
      <c r="U155" s="590" t="str" cm="1">
        <f t="array" ref="U155">RIGHT(K155,1)</f>
        <v>H</v>
      </c>
      <c r="V155" s="590" t="str" cm="1">
        <f t="array" ref="V155">RIGHT(L155,1)</f>
        <v>F</v>
      </c>
      <c r="W155" s="590" t="str" cm="1">
        <f t="array" ref="W155">RIGHT(M155,1)</f>
        <v>I</v>
      </c>
      <c r="X155" s="590" t="str" cm="1">
        <f t="array" ref="X155">RIGHT(N155,1)</f>
        <v>K</v>
      </c>
      <c r="Y155" s="708" cm="1">
        <f t="array" ref="Y155">COUNTIF($AA$2:$AA$9,Q155)+COUNTIF($AA$2:$AA$9,R155)+COUNTIF($AA$2:$AA$9,S155)+COUNTIF($AA$2:$AA$9,T155)+COUNTIF($AA$2:$AA$9,U155)+COUNTIF($AA$2:$AA$9,V155)+COUNTIF($AA$2:$AA$9,W155)+COUNTIF($AA$2:$AA$9,X155)</f>
        <v>5</v>
      </c>
      <c r="Z155" s="589"/>
      <c r="AA155" s="589"/>
      <c r="AB155" s="589"/>
      <c r="AC155" s="589"/>
      <c r="AD155" s="589"/>
      <c r="AE155" s="589"/>
      <c r="AF155" s="589"/>
      <c r="AG155" s="589"/>
      <c r="AH155" s="589"/>
      <c r="AI155" s="589"/>
      <c r="AJ155" s="589"/>
      <c r="AK155" s="589"/>
      <c r="AL155" s="589"/>
      <c r="AM155" s="589"/>
      <c r="AN155" s="589"/>
      <c r="AO155" s="589"/>
      <c r="AP155" s="589"/>
      <c r="AQ155" s="589"/>
      <c r="AR155" s="589"/>
      <c r="AS155" s="589"/>
      <c r="AT155" s="589"/>
      <c r="AU155" s="589"/>
      <c r="AV155" s="589"/>
      <c r="AW155" s="589"/>
      <c r="AX155" s="589"/>
      <c r="AY155" s="589"/>
      <c r="AZ155" s="589"/>
      <c r="BA155" s="589"/>
      <c r="BB155" s="589"/>
      <c r="BC155" s="589"/>
      <c r="BD155" s="589"/>
      <c r="BE155" s="589"/>
      <c r="BF155" s="589"/>
      <c r="BG155" s="589"/>
      <c r="BH155" s="589"/>
      <c r="BI155" s="589"/>
      <c r="BJ155" s="589"/>
      <c r="BK155" s="589"/>
      <c r="BL155" s="589"/>
    </row>
    <row r="156" spans="1:64" ht="14.25" customHeight="1">
      <c r="A156" s="691" t="s">
        <v>493</v>
      </c>
      <c r="B156" s="589"/>
      <c r="C156" s="589"/>
      <c r="D156" s="589"/>
      <c r="E156" s="589"/>
      <c r="F156" s="591">
        <v>155</v>
      </c>
      <c r="G156" s="691" t="s">
        <v>147</v>
      </c>
      <c r="H156" s="691" t="s">
        <v>217</v>
      </c>
      <c r="I156" s="691" t="s">
        <v>137</v>
      </c>
      <c r="J156" s="691" t="s">
        <v>157</v>
      </c>
      <c r="K156" s="691" t="s">
        <v>197</v>
      </c>
      <c r="L156" s="691" t="s">
        <v>177</v>
      </c>
      <c r="M156" s="691" t="s">
        <v>167</v>
      </c>
      <c r="N156" s="691" t="s">
        <v>207</v>
      </c>
      <c r="O156" s="589"/>
      <c r="P156" s="717" cm="1">
        <f t="array" ref="P156">F156</f>
        <v>155</v>
      </c>
      <c r="Q156" s="620" t="str" cm="1">
        <f t="array" ref="Q156">RIGHT(G156,1)</f>
        <v>C</v>
      </c>
      <c r="R156" s="590" t="str" cm="1">
        <f t="array" ref="R156">RIGHT(H156,1)</f>
        <v>J</v>
      </c>
      <c r="S156" s="590" t="str" cm="1">
        <f t="array" ref="S156">RIGHT(I156,1)</f>
        <v>B</v>
      </c>
      <c r="T156" s="590" t="str" cm="1">
        <f t="array" ref="T156">RIGHT(J156,1)</f>
        <v>D</v>
      </c>
      <c r="U156" s="590" t="str" cm="1">
        <f t="array" ref="U156">RIGHT(K156,1)</f>
        <v>H</v>
      </c>
      <c r="V156" s="590" t="str" cm="1">
        <f t="array" ref="V156">RIGHT(L156,1)</f>
        <v>F</v>
      </c>
      <c r="W156" s="590" t="str" cm="1">
        <f t="array" ref="W156">RIGHT(M156,1)</f>
        <v>E</v>
      </c>
      <c r="X156" s="590" t="str" cm="1">
        <f t="array" ref="X156">RIGHT(N156,1)</f>
        <v>I</v>
      </c>
      <c r="Y156" s="708" cm="1">
        <f t="array" ref="Y156">COUNTIF($AA$2:$AA$9,Q156)+COUNTIF($AA$2:$AA$9,R156)+COUNTIF($AA$2:$AA$9,S156)+COUNTIF($AA$2:$AA$9,T156)+COUNTIF($AA$2:$AA$9,U156)+COUNTIF($AA$2:$AA$9,V156)+COUNTIF($AA$2:$AA$9,W156)+COUNTIF($AA$2:$AA$9,X156)</f>
        <v>6</v>
      </c>
      <c r="Z156" s="589"/>
      <c r="AA156" s="589"/>
      <c r="AB156" s="589"/>
      <c r="AC156" s="589"/>
      <c r="AD156" s="589"/>
      <c r="AE156" s="589"/>
      <c r="AF156" s="589"/>
      <c r="AG156" s="589"/>
      <c r="AH156" s="589"/>
      <c r="AI156" s="589"/>
      <c r="AJ156" s="589"/>
      <c r="AK156" s="589"/>
      <c r="AL156" s="589"/>
      <c r="AM156" s="589"/>
      <c r="AN156" s="589"/>
      <c r="AO156" s="589"/>
      <c r="AP156" s="589"/>
      <c r="AQ156" s="589"/>
      <c r="AR156" s="589"/>
      <c r="AS156" s="589"/>
      <c r="AT156" s="589"/>
      <c r="AU156" s="589"/>
      <c r="AV156" s="589"/>
      <c r="AW156" s="589"/>
      <c r="AX156" s="589"/>
      <c r="AY156" s="589"/>
      <c r="AZ156" s="589"/>
      <c r="BA156" s="589"/>
      <c r="BB156" s="589"/>
      <c r="BC156" s="589"/>
      <c r="BD156" s="589"/>
      <c r="BE156" s="589"/>
      <c r="BF156" s="589"/>
      <c r="BG156" s="589"/>
      <c r="BH156" s="589"/>
      <c r="BI156" s="589"/>
      <c r="BJ156" s="589"/>
      <c r="BK156" s="589"/>
      <c r="BL156" s="589"/>
    </row>
    <row r="157" spans="1:64" ht="14.25" customHeight="1">
      <c r="A157" s="691" t="s">
        <v>494</v>
      </c>
      <c r="B157" s="589"/>
      <c r="C157" s="589"/>
      <c r="D157" s="589"/>
      <c r="E157" s="589"/>
      <c r="F157" s="591">
        <v>156</v>
      </c>
      <c r="G157" s="691" t="s">
        <v>147</v>
      </c>
      <c r="H157" s="691" t="s">
        <v>187</v>
      </c>
      <c r="I157" s="691" t="s">
        <v>137</v>
      </c>
      <c r="J157" s="691" t="s">
        <v>157</v>
      </c>
      <c r="K157" s="691" t="s">
        <v>167</v>
      </c>
      <c r="L157" s="691" t="s">
        <v>177</v>
      </c>
      <c r="M157" s="691" t="s">
        <v>237</v>
      </c>
      <c r="N157" s="691" t="s">
        <v>227</v>
      </c>
      <c r="O157" s="589"/>
      <c r="P157" s="717" cm="1">
        <f t="array" ref="P157">F157</f>
        <v>156</v>
      </c>
      <c r="Q157" s="620" t="str" cm="1">
        <f t="array" ref="Q157">RIGHT(G157,1)</f>
        <v>C</v>
      </c>
      <c r="R157" s="590" t="str" cm="1">
        <f t="array" ref="R157">RIGHT(H157,1)</f>
        <v>G</v>
      </c>
      <c r="S157" s="590" t="str" cm="1">
        <f t="array" ref="S157">RIGHT(I157,1)</f>
        <v>B</v>
      </c>
      <c r="T157" s="590" t="str" cm="1">
        <f t="array" ref="T157">RIGHT(J157,1)</f>
        <v>D</v>
      </c>
      <c r="U157" s="590" t="str" cm="1">
        <f t="array" ref="U157">RIGHT(K157,1)</f>
        <v>E</v>
      </c>
      <c r="V157" s="590" t="str" cm="1">
        <f t="array" ref="V157">RIGHT(L157,1)</f>
        <v>F</v>
      </c>
      <c r="W157" s="590" t="str" cm="1">
        <f t="array" ref="W157">RIGHT(M157,1)</f>
        <v>L</v>
      </c>
      <c r="X157" s="590" t="str" cm="1">
        <f t="array" ref="X157">RIGHT(N157,1)</f>
        <v>K</v>
      </c>
      <c r="Y157" s="708" cm="1">
        <f t="array" ref="Y157">COUNTIF($AA$2:$AA$9,Q157)+COUNTIF($AA$2:$AA$9,R157)+COUNTIF($AA$2:$AA$9,S157)+COUNTIF($AA$2:$AA$9,T157)+COUNTIF($AA$2:$AA$9,U157)+COUNTIF($AA$2:$AA$9,V157)+COUNTIF($AA$2:$AA$9,W157)+COUNTIF($AA$2:$AA$9,X157)</f>
        <v>5</v>
      </c>
      <c r="Z157" s="589"/>
      <c r="AA157" s="589"/>
      <c r="AB157" s="589"/>
      <c r="AC157" s="589"/>
      <c r="AD157" s="589"/>
      <c r="AE157" s="589"/>
      <c r="AF157" s="589"/>
      <c r="AG157" s="589"/>
      <c r="AH157" s="589"/>
      <c r="AI157" s="589"/>
      <c r="AJ157" s="589"/>
      <c r="AK157" s="589"/>
      <c r="AL157" s="589"/>
      <c r="AM157" s="589"/>
      <c r="AN157" s="589"/>
      <c r="AO157" s="589"/>
      <c r="AP157" s="589"/>
      <c r="AQ157" s="589"/>
      <c r="AR157" s="589"/>
      <c r="AS157" s="589"/>
      <c r="AT157" s="589"/>
      <c r="AU157" s="589"/>
      <c r="AV157" s="589"/>
      <c r="AW157" s="589"/>
      <c r="AX157" s="589"/>
      <c r="AY157" s="589"/>
      <c r="AZ157" s="589"/>
      <c r="BA157" s="589"/>
      <c r="BB157" s="589"/>
      <c r="BC157" s="589"/>
      <c r="BD157" s="589"/>
      <c r="BE157" s="589"/>
      <c r="BF157" s="589"/>
      <c r="BG157" s="589"/>
      <c r="BH157" s="589"/>
      <c r="BI157" s="589"/>
      <c r="BJ157" s="589"/>
      <c r="BK157" s="589"/>
      <c r="BL157" s="589"/>
    </row>
    <row r="158" spans="1:64" ht="14.25" customHeight="1">
      <c r="A158" s="691" t="s">
        <v>495</v>
      </c>
      <c r="B158" s="589"/>
      <c r="C158" s="589"/>
      <c r="D158" s="589"/>
      <c r="E158" s="589"/>
      <c r="F158" s="591">
        <v>157</v>
      </c>
      <c r="G158" s="691" t="s">
        <v>147</v>
      </c>
      <c r="H158" s="691" t="s">
        <v>187</v>
      </c>
      <c r="I158" s="691" t="s">
        <v>137</v>
      </c>
      <c r="J158" s="691" t="s">
        <v>157</v>
      </c>
      <c r="K158" s="691" t="s">
        <v>217</v>
      </c>
      <c r="L158" s="691" t="s">
        <v>177</v>
      </c>
      <c r="M158" s="691" t="s">
        <v>237</v>
      </c>
      <c r="N158" s="691" t="s">
        <v>167</v>
      </c>
      <c r="O158" s="589"/>
      <c r="P158" s="717" cm="1">
        <f t="array" ref="P158">F158</f>
        <v>157</v>
      </c>
      <c r="Q158" s="620" t="str" cm="1">
        <f t="array" ref="Q158">RIGHT(G158,1)</f>
        <v>C</v>
      </c>
      <c r="R158" s="590" t="str" cm="1">
        <f t="array" ref="R158">RIGHT(H158,1)</f>
        <v>G</v>
      </c>
      <c r="S158" s="590" t="str" cm="1">
        <f t="array" ref="S158">RIGHT(I158,1)</f>
        <v>B</v>
      </c>
      <c r="T158" s="590" t="str" cm="1">
        <f t="array" ref="T158">RIGHT(J158,1)</f>
        <v>D</v>
      </c>
      <c r="U158" s="590" t="str" cm="1">
        <f t="array" ref="U158">RIGHT(K158,1)</f>
        <v>J</v>
      </c>
      <c r="V158" s="590" t="str" cm="1">
        <f t="array" ref="V158">RIGHT(L158,1)</f>
        <v>F</v>
      </c>
      <c r="W158" s="590" t="str" cm="1">
        <f t="array" ref="W158">RIGHT(M158,1)</f>
        <v>L</v>
      </c>
      <c r="X158" s="590" t="str" cm="1">
        <f t="array" ref="X158">RIGHT(N158,1)</f>
        <v>E</v>
      </c>
      <c r="Y158" s="708" cm="1">
        <f t="array" ref="Y158">COUNTIF($AA$2:$AA$9,Q158)+COUNTIF($AA$2:$AA$9,R158)+COUNTIF($AA$2:$AA$9,S158)+COUNTIF($AA$2:$AA$9,T158)+COUNTIF($AA$2:$AA$9,U158)+COUNTIF($AA$2:$AA$9,V158)+COUNTIF($AA$2:$AA$9,W158)+COUNTIF($AA$2:$AA$9,X158)</f>
        <v>6</v>
      </c>
      <c r="Z158" s="589"/>
      <c r="AA158" s="589"/>
      <c r="AB158" s="589"/>
      <c r="AC158" s="589"/>
      <c r="AD158" s="589"/>
      <c r="AE158" s="589"/>
      <c r="AF158" s="589"/>
      <c r="AG158" s="589"/>
      <c r="AH158" s="589"/>
      <c r="AI158" s="589"/>
      <c r="AJ158" s="589"/>
      <c r="AK158" s="589"/>
      <c r="AL158" s="589"/>
      <c r="AM158" s="589"/>
      <c r="AN158" s="589"/>
      <c r="AO158" s="589"/>
      <c r="AP158" s="589"/>
      <c r="AQ158" s="589"/>
      <c r="AR158" s="589"/>
      <c r="AS158" s="589"/>
      <c r="AT158" s="589"/>
      <c r="AU158" s="589"/>
      <c r="AV158" s="589"/>
      <c r="AW158" s="589"/>
      <c r="AX158" s="589"/>
      <c r="AY158" s="589"/>
      <c r="AZ158" s="589"/>
      <c r="BA158" s="589"/>
      <c r="BB158" s="589"/>
      <c r="BC158" s="589"/>
      <c r="BD158" s="589"/>
      <c r="BE158" s="589"/>
      <c r="BF158" s="589"/>
      <c r="BG158" s="589"/>
      <c r="BH158" s="589"/>
      <c r="BI158" s="589"/>
      <c r="BJ158" s="589"/>
      <c r="BK158" s="589"/>
      <c r="BL158" s="589"/>
    </row>
    <row r="159" spans="1:64" ht="14.25" customHeight="1">
      <c r="A159" s="691" t="s">
        <v>496</v>
      </c>
      <c r="B159" s="589"/>
      <c r="C159" s="589"/>
      <c r="D159" s="589"/>
      <c r="E159" s="589"/>
      <c r="F159" s="591">
        <v>158</v>
      </c>
      <c r="G159" s="691" t="s">
        <v>147</v>
      </c>
      <c r="H159" s="691" t="s">
        <v>187</v>
      </c>
      <c r="I159" s="691" t="s">
        <v>137</v>
      </c>
      <c r="J159" s="691" t="s">
        <v>157</v>
      </c>
      <c r="K159" s="691" t="s">
        <v>217</v>
      </c>
      <c r="L159" s="691" t="s">
        <v>177</v>
      </c>
      <c r="M159" s="691" t="s">
        <v>167</v>
      </c>
      <c r="N159" s="691" t="s">
        <v>227</v>
      </c>
      <c r="O159" s="589"/>
      <c r="P159" s="717" cm="1">
        <f t="array" ref="P159">F159</f>
        <v>158</v>
      </c>
      <c r="Q159" s="620" t="str" cm="1">
        <f t="array" ref="Q159">RIGHT(G159,1)</f>
        <v>C</v>
      </c>
      <c r="R159" s="590" t="str" cm="1">
        <f t="array" ref="R159">RIGHT(H159,1)</f>
        <v>G</v>
      </c>
      <c r="S159" s="590" t="str" cm="1">
        <f t="array" ref="S159">RIGHT(I159,1)</f>
        <v>B</v>
      </c>
      <c r="T159" s="590" t="str" cm="1">
        <f t="array" ref="T159">RIGHT(J159,1)</f>
        <v>D</v>
      </c>
      <c r="U159" s="590" t="str" cm="1">
        <f t="array" ref="U159">RIGHT(K159,1)</f>
        <v>J</v>
      </c>
      <c r="V159" s="590" t="str" cm="1">
        <f t="array" ref="V159">RIGHT(L159,1)</f>
        <v>F</v>
      </c>
      <c r="W159" s="590" t="str" cm="1">
        <f t="array" ref="W159">RIGHT(M159,1)</f>
        <v>E</v>
      </c>
      <c r="X159" s="590" t="str" cm="1">
        <f t="array" ref="X159">RIGHT(N159,1)</f>
        <v>K</v>
      </c>
      <c r="Y159" s="708" cm="1">
        <f t="array" ref="Y159">COUNTIF($AA$2:$AA$9,Q159)+COUNTIF($AA$2:$AA$9,R159)+COUNTIF($AA$2:$AA$9,S159)+COUNTIF($AA$2:$AA$9,T159)+COUNTIF($AA$2:$AA$9,U159)+COUNTIF($AA$2:$AA$9,V159)+COUNTIF($AA$2:$AA$9,W159)+COUNTIF($AA$2:$AA$9,X159)</f>
        <v>5</v>
      </c>
      <c r="Z159" s="589"/>
      <c r="AA159" s="589"/>
      <c r="AB159" s="589"/>
      <c r="AC159" s="589"/>
      <c r="AD159" s="589"/>
      <c r="AE159" s="589"/>
      <c r="AF159" s="589"/>
      <c r="AG159" s="589"/>
      <c r="AH159" s="589"/>
      <c r="AI159" s="589"/>
      <c r="AJ159" s="589"/>
      <c r="AK159" s="589"/>
      <c r="AL159" s="589"/>
      <c r="AM159" s="589"/>
      <c r="AN159" s="589"/>
      <c r="AO159" s="589"/>
      <c r="AP159" s="589"/>
      <c r="AQ159" s="589"/>
      <c r="AR159" s="589"/>
      <c r="AS159" s="589"/>
      <c r="AT159" s="589"/>
      <c r="AU159" s="589"/>
      <c r="AV159" s="589"/>
      <c r="AW159" s="589"/>
      <c r="AX159" s="589"/>
      <c r="AY159" s="589"/>
      <c r="AZ159" s="589"/>
      <c r="BA159" s="589"/>
      <c r="BB159" s="589"/>
      <c r="BC159" s="589"/>
      <c r="BD159" s="589"/>
      <c r="BE159" s="589"/>
      <c r="BF159" s="589"/>
      <c r="BG159" s="589"/>
      <c r="BH159" s="589"/>
      <c r="BI159" s="589"/>
      <c r="BJ159" s="589"/>
      <c r="BK159" s="589"/>
      <c r="BL159" s="589"/>
    </row>
    <row r="160" spans="1:64" ht="14.25" customHeight="1">
      <c r="A160" s="691" t="s">
        <v>497</v>
      </c>
      <c r="B160" s="589"/>
      <c r="C160" s="589"/>
      <c r="D160" s="589"/>
      <c r="E160" s="589"/>
      <c r="F160" s="591">
        <v>159</v>
      </c>
      <c r="G160" s="691" t="s">
        <v>147</v>
      </c>
      <c r="H160" s="691" t="s">
        <v>187</v>
      </c>
      <c r="I160" s="691" t="s">
        <v>137</v>
      </c>
      <c r="J160" s="691" t="s">
        <v>157</v>
      </c>
      <c r="K160" s="691" t="s">
        <v>167</v>
      </c>
      <c r="L160" s="691" t="s">
        <v>177</v>
      </c>
      <c r="M160" s="691" t="s">
        <v>237</v>
      </c>
      <c r="N160" s="691" t="s">
        <v>207</v>
      </c>
      <c r="O160" s="589"/>
      <c r="P160" s="717" cm="1">
        <f t="array" ref="P160">F160</f>
        <v>159</v>
      </c>
      <c r="Q160" s="620" t="str" cm="1">
        <f t="array" ref="Q160">RIGHT(G160,1)</f>
        <v>C</v>
      </c>
      <c r="R160" s="590" t="str" cm="1">
        <f t="array" ref="R160">RIGHT(H160,1)</f>
        <v>G</v>
      </c>
      <c r="S160" s="590" t="str" cm="1">
        <f t="array" ref="S160">RIGHT(I160,1)</f>
        <v>B</v>
      </c>
      <c r="T160" s="590" t="str" cm="1">
        <f t="array" ref="T160">RIGHT(J160,1)</f>
        <v>D</v>
      </c>
      <c r="U160" s="590" t="str" cm="1">
        <f t="array" ref="U160">RIGHT(K160,1)</f>
        <v>E</v>
      </c>
      <c r="V160" s="590" t="str" cm="1">
        <f t="array" ref="V160">RIGHT(L160,1)</f>
        <v>F</v>
      </c>
      <c r="W160" s="590" t="str" cm="1">
        <f t="array" ref="W160">RIGHT(M160,1)</f>
        <v>L</v>
      </c>
      <c r="X160" s="590" t="str" cm="1">
        <f t="array" ref="X160">RIGHT(N160,1)</f>
        <v>I</v>
      </c>
      <c r="Y160" s="708" cm="1">
        <f t="array" ref="Y160">COUNTIF($AA$2:$AA$9,Q160)+COUNTIF($AA$2:$AA$9,R160)+COUNTIF($AA$2:$AA$9,S160)+COUNTIF($AA$2:$AA$9,T160)+COUNTIF($AA$2:$AA$9,U160)+COUNTIF($AA$2:$AA$9,V160)+COUNTIF($AA$2:$AA$9,W160)+COUNTIF($AA$2:$AA$9,X160)</f>
        <v>6</v>
      </c>
      <c r="Z160" s="589"/>
      <c r="AA160" s="589"/>
      <c r="AB160" s="589"/>
      <c r="AC160" s="589"/>
      <c r="AD160" s="589"/>
      <c r="AE160" s="589"/>
      <c r="AF160" s="589"/>
      <c r="AG160" s="589"/>
      <c r="AH160" s="589"/>
      <c r="AI160" s="589"/>
      <c r="AJ160" s="589"/>
      <c r="AK160" s="589"/>
      <c r="AL160" s="589"/>
      <c r="AM160" s="589"/>
      <c r="AN160" s="589"/>
      <c r="AO160" s="589"/>
      <c r="AP160" s="589"/>
      <c r="AQ160" s="589"/>
      <c r="AR160" s="589"/>
      <c r="AS160" s="589"/>
      <c r="AT160" s="589"/>
      <c r="AU160" s="589"/>
      <c r="AV160" s="589"/>
      <c r="AW160" s="589"/>
      <c r="AX160" s="589"/>
      <c r="AY160" s="589"/>
      <c r="AZ160" s="589"/>
      <c r="BA160" s="589"/>
      <c r="BB160" s="589"/>
      <c r="BC160" s="589"/>
      <c r="BD160" s="589"/>
      <c r="BE160" s="589"/>
      <c r="BF160" s="589"/>
      <c r="BG160" s="589"/>
      <c r="BH160" s="589"/>
      <c r="BI160" s="589"/>
      <c r="BJ160" s="589"/>
      <c r="BK160" s="589"/>
      <c r="BL160" s="589"/>
    </row>
    <row r="161" spans="1:64" ht="14.25" customHeight="1">
      <c r="A161" s="691" t="s">
        <v>498</v>
      </c>
      <c r="B161" s="589"/>
      <c r="C161" s="589"/>
      <c r="D161" s="589"/>
      <c r="E161" s="589"/>
      <c r="F161" s="591">
        <v>160</v>
      </c>
      <c r="G161" s="691" t="s">
        <v>147</v>
      </c>
      <c r="H161" s="691" t="s">
        <v>187</v>
      </c>
      <c r="I161" s="691" t="s">
        <v>137</v>
      </c>
      <c r="J161" s="691" t="s">
        <v>157</v>
      </c>
      <c r="K161" s="691" t="s">
        <v>167</v>
      </c>
      <c r="L161" s="691" t="s">
        <v>177</v>
      </c>
      <c r="M161" s="691" t="s">
        <v>207</v>
      </c>
      <c r="N161" s="691" t="s">
        <v>227</v>
      </c>
      <c r="O161" s="589"/>
      <c r="P161" s="717" cm="1">
        <f t="array" ref="P161">F161</f>
        <v>160</v>
      </c>
      <c r="Q161" s="620" t="str" cm="1">
        <f t="array" ref="Q161">RIGHT(G161,1)</f>
        <v>C</v>
      </c>
      <c r="R161" s="590" t="str" cm="1">
        <f t="array" ref="R161">RIGHT(H161,1)</f>
        <v>G</v>
      </c>
      <c r="S161" s="590" t="str" cm="1">
        <f t="array" ref="S161">RIGHT(I161,1)</f>
        <v>B</v>
      </c>
      <c r="T161" s="590" t="str" cm="1">
        <f t="array" ref="T161">RIGHT(J161,1)</f>
        <v>D</v>
      </c>
      <c r="U161" s="590" t="str" cm="1">
        <f t="array" ref="U161">RIGHT(K161,1)</f>
        <v>E</v>
      </c>
      <c r="V161" s="590" t="str" cm="1">
        <f t="array" ref="V161">RIGHT(L161,1)</f>
        <v>F</v>
      </c>
      <c r="W161" s="590" t="str" cm="1">
        <f t="array" ref="W161">RIGHT(M161,1)</f>
        <v>I</v>
      </c>
      <c r="X161" s="590" t="str" cm="1">
        <f t="array" ref="X161">RIGHT(N161,1)</f>
        <v>K</v>
      </c>
      <c r="Y161" s="708" cm="1">
        <f t="array" ref="Y161">COUNTIF($AA$2:$AA$9,Q161)+COUNTIF($AA$2:$AA$9,R161)+COUNTIF($AA$2:$AA$9,S161)+COUNTIF($AA$2:$AA$9,T161)+COUNTIF($AA$2:$AA$9,U161)+COUNTIF($AA$2:$AA$9,V161)+COUNTIF($AA$2:$AA$9,W161)+COUNTIF($AA$2:$AA$9,X161)</f>
        <v>5</v>
      </c>
      <c r="Z161" s="589"/>
      <c r="AA161" s="589"/>
      <c r="AB161" s="589"/>
      <c r="AC161" s="589"/>
      <c r="AD161" s="589"/>
      <c r="AE161" s="589"/>
      <c r="AF161" s="589"/>
      <c r="AG161" s="589"/>
      <c r="AH161" s="589"/>
      <c r="AI161" s="589"/>
      <c r="AJ161" s="589"/>
      <c r="AK161" s="589"/>
      <c r="AL161" s="589"/>
      <c r="AM161" s="589"/>
      <c r="AN161" s="589"/>
      <c r="AO161" s="589"/>
      <c r="AP161" s="589"/>
      <c r="AQ161" s="589"/>
      <c r="AR161" s="589"/>
      <c r="AS161" s="589"/>
      <c r="AT161" s="589"/>
      <c r="AU161" s="589"/>
      <c r="AV161" s="589"/>
      <c r="AW161" s="589"/>
      <c r="AX161" s="589"/>
      <c r="AY161" s="589"/>
      <c r="AZ161" s="589"/>
      <c r="BA161" s="589"/>
      <c r="BB161" s="589"/>
      <c r="BC161" s="589"/>
      <c r="BD161" s="589"/>
      <c r="BE161" s="589"/>
      <c r="BF161" s="589"/>
      <c r="BG161" s="589"/>
      <c r="BH161" s="589"/>
      <c r="BI161" s="589"/>
      <c r="BJ161" s="589"/>
      <c r="BK161" s="589"/>
      <c r="BL161" s="589"/>
    </row>
    <row r="162" spans="1:64" ht="14.25" customHeight="1">
      <c r="A162" s="691" t="s">
        <v>499</v>
      </c>
      <c r="B162" s="589"/>
      <c r="C162" s="589"/>
      <c r="D162" s="589"/>
      <c r="E162" s="589"/>
      <c r="F162" s="591">
        <v>161</v>
      </c>
      <c r="G162" s="691" t="s">
        <v>147</v>
      </c>
      <c r="H162" s="691" t="s">
        <v>187</v>
      </c>
      <c r="I162" s="691" t="s">
        <v>137</v>
      </c>
      <c r="J162" s="691" t="s">
        <v>157</v>
      </c>
      <c r="K162" s="691" t="s">
        <v>217</v>
      </c>
      <c r="L162" s="691" t="s">
        <v>177</v>
      </c>
      <c r="M162" s="691" t="s">
        <v>167</v>
      </c>
      <c r="N162" s="691" t="s">
        <v>207</v>
      </c>
      <c r="O162" s="589"/>
      <c r="P162" s="717" cm="1">
        <f t="array" ref="P162">F162</f>
        <v>161</v>
      </c>
      <c r="Q162" s="620" t="str" cm="1">
        <f t="array" ref="Q162">RIGHT(G162,1)</f>
        <v>C</v>
      </c>
      <c r="R162" s="590" t="str" cm="1">
        <f t="array" ref="R162">RIGHT(H162,1)</f>
        <v>G</v>
      </c>
      <c r="S162" s="590" t="str" cm="1">
        <f t="array" ref="S162">RIGHT(I162,1)</f>
        <v>B</v>
      </c>
      <c r="T162" s="590" t="str" cm="1">
        <f t="array" ref="T162">RIGHT(J162,1)</f>
        <v>D</v>
      </c>
      <c r="U162" s="590" t="str" cm="1">
        <f t="array" ref="U162">RIGHT(K162,1)</f>
        <v>J</v>
      </c>
      <c r="V162" s="590" t="str" cm="1">
        <f t="array" ref="V162">RIGHT(L162,1)</f>
        <v>F</v>
      </c>
      <c r="W162" s="590" t="str" cm="1">
        <f t="array" ref="W162">RIGHT(M162,1)</f>
        <v>E</v>
      </c>
      <c r="X162" s="590" t="str" cm="1">
        <f t="array" ref="X162">RIGHT(N162,1)</f>
        <v>I</v>
      </c>
      <c r="Y162" s="708" cm="1">
        <f t="array" ref="Y162">COUNTIF($AA$2:$AA$9,Q162)+COUNTIF($AA$2:$AA$9,R162)+COUNTIF($AA$2:$AA$9,S162)+COUNTIF($AA$2:$AA$9,T162)+COUNTIF($AA$2:$AA$9,U162)+COUNTIF($AA$2:$AA$9,V162)+COUNTIF($AA$2:$AA$9,W162)+COUNTIF($AA$2:$AA$9,X162)</f>
        <v>6</v>
      </c>
      <c r="Z162" s="589"/>
      <c r="AA162" s="589"/>
      <c r="AB162" s="589"/>
      <c r="AC162" s="589"/>
      <c r="AD162" s="589"/>
      <c r="AE162" s="589"/>
      <c r="AF162" s="589"/>
      <c r="AG162" s="589"/>
      <c r="AH162" s="589"/>
      <c r="AI162" s="589"/>
      <c r="AJ162" s="589"/>
      <c r="AK162" s="589"/>
      <c r="AL162" s="589"/>
      <c r="AM162" s="589"/>
      <c r="AN162" s="589"/>
      <c r="AO162" s="589"/>
      <c r="AP162" s="589"/>
      <c r="AQ162" s="589"/>
      <c r="AR162" s="589"/>
      <c r="AS162" s="589"/>
      <c r="AT162" s="589"/>
      <c r="AU162" s="589"/>
      <c r="AV162" s="589"/>
      <c r="AW162" s="589"/>
      <c r="AX162" s="589"/>
      <c r="AY162" s="589"/>
      <c r="AZ162" s="589"/>
      <c r="BA162" s="589"/>
      <c r="BB162" s="589"/>
      <c r="BC162" s="589"/>
      <c r="BD162" s="589"/>
      <c r="BE162" s="589"/>
      <c r="BF162" s="589"/>
      <c r="BG162" s="589"/>
      <c r="BH162" s="589"/>
      <c r="BI162" s="589"/>
      <c r="BJ162" s="589"/>
      <c r="BK162" s="589"/>
      <c r="BL162" s="589"/>
    </row>
    <row r="163" spans="1:64" ht="14.25" customHeight="1">
      <c r="A163" s="691" t="s">
        <v>500</v>
      </c>
      <c r="B163" s="589"/>
      <c r="C163" s="589"/>
      <c r="D163" s="589"/>
      <c r="E163" s="589"/>
      <c r="F163" s="591">
        <v>162</v>
      </c>
      <c r="G163" s="691" t="s">
        <v>147</v>
      </c>
      <c r="H163" s="691" t="s">
        <v>187</v>
      </c>
      <c r="I163" s="691" t="s">
        <v>137</v>
      </c>
      <c r="J163" s="691" t="s">
        <v>157</v>
      </c>
      <c r="K163" s="691" t="s">
        <v>197</v>
      </c>
      <c r="L163" s="691" t="s">
        <v>177</v>
      </c>
      <c r="M163" s="691" t="s">
        <v>237</v>
      </c>
      <c r="N163" s="691" t="s">
        <v>167</v>
      </c>
      <c r="O163" s="589"/>
      <c r="P163" s="717" cm="1">
        <f t="array" ref="P163">F163</f>
        <v>162</v>
      </c>
      <c r="Q163" s="620" t="str" cm="1">
        <f t="array" ref="Q163">RIGHT(G163,1)</f>
        <v>C</v>
      </c>
      <c r="R163" s="590" t="str" cm="1">
        <f t="array" ref="R163">RIGHT(H163,1)</f>
        <v>G</v>
      </c>
      <c r="S163" s="590" t="str" cm="1">
        <f t="array" ref="S163">RIGHT(I163,1)</f>
        <v>B</v>
      </c>
      <c r="T163" s="590" t="str" cm="1">
        <f t="array" ref="T163">RIGHT(J163,1)</f>
        <v>D</v>
      </c>
      <c r="U163" s="590" t="str" cm="1">
        <f t="array" ref="U163">RIGHT(K163,1)</f>
        <v>H</v>
      </c>
      <c r="V163" s="590" t="str" cm="1">
        <f t="array" ref="V163">RIGHT(L163,1)</f>
        <v>F</v>
      </c>
      <c r="W163" s="590" t="str" cm="1">
        <f t="array" ref="W163">RIGHT(M163,1)</f>
        <v>L</v>
      </c>
      <c r="X163" s="590" t="str" cm="1">
        <f t="array" ref="X163">RIGHT(N163,1)</f>
        <v>E</v>
      </c>
      <c r="Y163" s="708" cm="1">
        <f t="array" ref="Y163">COUNTIF($AA$2:$AA$9,Q163)+COUNTIF($AA$2:$AA$9,R163)+COUNTIF($AA$2:$AA$9,S163)+COUNTIF($AA$2:$AA$9,T163)+COUNTIF($AA$2:$AA$9,U163)+COUNTIF($AA$2:$AA$9,V163)+COUNTIF($AA$2:$AA$9,W163)+COUNTIF($AA$2:$AA$9,X163)</f>
        <v>5</v>
      </c>
      <c r="Z163" s="589"/>
      <c r="AA163" s="589"/>
      <c r="AB163" s="589"/>
      <c r="AC163" s="589"/>
      <c r="AD163" s="589"/>
      <c r="AE163" s="589"/>
      <c r="AF163" s="589"/>
      <c r="AG163" s="589"/>
      <c r="AH163" s="589"/>
      <c r="AI163" s="589"/>
      <c r="AJ163" s="589"/>
      <c r="AK163" s="589"/>
      <c r="AL163" s="589"/>
      <c r="AM163" s="589"/>
      <c r="AN163" s="589"/>
      <c r="AO163" s="589"/>
      <c r="AP163" s="589"/>
      <c r="AQ163" s="589"/>
      <c r="AR163" s="589"/>
      <c r="AS163" s="589"/>
      <c r="AT163" s="589"/>
      <c r="AU163" s="589"/>
      <c r="AV163" s="589"/>
      <c r="AW163" s="589"/>
      <c r="AX163" s="589"/>
      <c r="AY163" s="589"/>
      <c r="AZ163" s="589"/>
      <c r="BA163" s="589"/>
      <c r="BB163" s="589"/>
      <c r="BC163" s="589"/>
      <c r="BD163" s="589"/>
      <c r="BE163" s="589"/>
      <c r="BF163" s="589"/>
      <c r="BG163" s="589"/>
      <c r="BH163" s="589"/>
      <c r="BI163" s="589"/>
      <c r="BJ163" s="589"/>
      <c r="BK163" s="589"/>
      <c r="BL163" s="589"/>
    </row>
    <row r="164" spans="1:64" ht="14.25" customHeight="1">
      <c r="A164" s="691" t="s">
        <v>501</v>
      </c>
      <c r="B164" s="589"/>
      <c r="C164" s="589"/>
      <c r="D164" s="589"/>
      <c r="E164" s="589"/>
      <c r="F164" s="591">
        <v>163</v>
      </c>
      <c r="G164" s="691" t="s">
        <v>147</v>
      </c>
      <c r="H164" s="691" t="s">
        <v>187</v>
      </c>
      <c r="I164" s="691" t="s">
        <v>137</v>
      </c>
      <c r="J164" s="691" t="s">
        <v>157</v>
      </c>
      <c r="K164" s="691" t="s">
        <v>197</v>
      </c>
      <c r="L164" s="691" t="s">
        <v>177</v>
      </c>
      <c r="M164" s="691" t="s">
        <v>167</v>
      </c>
      <c r="N164" s="691" t="s">
        <v>227</v>
      </c>
      <c r="O164" s="589"/>
      <c r="P164" s="717" cm="1">
        <f t="array" ref="P164">F164</f>
        <v>163</v>
      </c>
      <c r="Q164" s="620" t="str" cm="1">
        <f t="array" ref="Q164">RIGHT(G164,1)</f>
        <v>C</v>
      </c>
      <c r="R164" s="590" t="str" cm="1">
        <f t="array" ref="R164">RIGHT(H164,1)</f>
        <v>G</v>
      </c>
      <c r="S164" s="590" t="str" cm="1">
        <f t="array" ref="S164">RIGHT(I164,1)</f>
        <v>B</v>
      </c>
      <c r="T164" s="590" t="str" cm="1">
        <f t="array" ref="T164">RIGHT(J164,1)</f>
        <v>D</v>
      </c>
      <c r="U164" s="590" t="str" cm="1">
        <f t="array" ref="U164">RIGHT(K164,1)</f>
        <v>H</v>
      </c>
      <c r="V164" s="590" t="str" cm="1">
        <f t="array" ref="V164">RIGHT(L164,1)</f>
        <v>F</v>
      </c>
      <c r="W164" s="590" t="str" cm="1">
        <f t="array" ref="W164">RIGHT(M164,1)</f>
        <v>E</v>
      </c>
      <c r="X164" s="590" t="str" cm="1">
        <f t="array" ref="X164">RIGHT(N164,1)</f>
        <v>K</v>
      </c>
      <c r="Y164" s="708" cm="1">
        <f t="array" ref="Y164">COUNTIF($AA$2:$AA$9,Q164)+COUNTIF($AA$2:$AA$9,R164)+COUNTIF($AA$2:$AA$9,S164)+COUNTIF($AA$2:$AA$9,T164)+COUNTIF($AA$2:$AA$9,U164)+COUNTIF($AA$2:$AA$9,V164)+COUNTIF($AA$2:$AA$9,W164)+COUNTIF($AA$2:$AA$9,X164)</f>
        <v>4</v>
      </c>
      <c r="Z164" s="589"/>
      <c r="AA164" s="589"/>
      <c r="AB164" s="589"/>
      <c r="AC164" s="589"/>
      <c r="AD164" s="589"/>
      <c r="AE164" s="589"/>
      <c r="AF164" s="589"/>
      <c r="AG164" s="589"/>
      <c r="AH164" s="589"/>
      <c r="AI164" s="589"/>
      <c r="AJ164" s="589"/>
      <c r="AK164" s="589"/>
      <c r="AL164" s="589"/>
      <c r="AM164" s="589"/>
      <c r="AN164" s="589"/>
      <c r="AO164" s="589"/>
      <c r="AP164" s="589"/>
      <c r="AQ164" s="589"/>
      <c r="AR164" s="589"/>
      <c r="AS164" s="589"/>
      <c r="AT164" s="589"/>
      <c r="AU164" s="589"/>
      <c r="AV164" s="589"/>
      <c r="AW164" s="589"/>
      <c r="AX164" s="589"/>
      <c r="AY164" s="589"/>
      <c r="AZ164" s="589"/>
      <c r="BA164" s="589"/>
      <c r="BB164" s="589"/>
      <c r="BC164" s="589"/>
      <c r="BD164" s="589"/>
      <c r="BE164" s="589"/>
      <c r="BF164" s="589"/>
      <c r="BG164" s="589"/>
      <c r="BH164" s="589"/>
      <c r="BI164" s="589"/>
      <c r="BJ164" s="589"/>
      <c r="BK164" s="589"/>
      <c r="BL164" s="589"/>
    </row>
    <row r="165" spans="1:64" ht="14.25" customHeight="1">
      <c r="A165" s="691" t="s">
        <v>502</v>
      </c>
      <c r="B165" s="589"/>
      <c r="C165" s="589"/>
      <c r="D165" s="589"/>
      <c r="E165" s="589"/>
      <c r="F165" s="591">
        <v>164</v>
      </c>
      <c r="G165" s="691" t="s">
        <v>197</v>
      </c>
      <c r="H165" s="691" t="s">
        <v>187</v>
      </c>
      <c r="I165" s="691" t="s">
        <v>137</v>
      </c>
      <c r="J165" s="691" t="s">
        <v>147</v>
      </c>
      <c r="K165" s="691" t="s">
        <v>217</v>
      </c>
      <c r="L165" s="691" t="s">
        <v>177</v>
      </c>
      <c r="M165" s="691" t="s">
        <v>157</v>
      </c>
      <c r="N165" s="691" t="s">
        <v>167</v>
      </c>
      <c r="O165" s="589"/>
      <c r="P165" s="717" cm="1">
        <f t="array" ref="P165">F165</f>
        <v>164</v>
      </c>
      <c r="Q165" s="620" t="str" cm="1">
        <f t="array" ref="Q165">RIGHT(G165,1)</f>
        <v>H</v>
      </c>
      <c r="R165" s="590" t="str" cm="1">
        <f t="array" ref="R165">RIGHT(H165,1)</f>
        <v>G</v>
      </c>
      <c r="S165" s="590" t="str" cm="1">
        <f t="array" ref="S165">RIGHT(I165,1)</f>
        <v>B</v>
      </c>
      <c r="T165" s="590" t="str" cm="1">
        <f t="array" ref="T165">RIGHT(J165,1)</f>
        <v>C</v>
      </c>
      <c r="U165" s="590" t="str" cm="1">
        <f t="array" ref="U165">RIGHT(K165,1)</f>
        <v>J</v>
      </c>
      <c r="V165" s="590" t="str" cm="1">
        <f t="array" ref="V165">RIGHT(L165,1)</f>
        <v>F</v>
      </c>
      <c r="W165" s="590" t="str" cm="1">
        <f t="array" ref="W165">RIGHT(M165,1)</f>
        <v>D</v>
      </c>
      <c r="X165" s="590" t="str" cm="1">
        <f t="array" ref="X165">RIGHT(N165,1)</f>
        <v>E</v>
      </c>
      <c r="Y165" s="708" cm="1">
        <f t="array" ref="Y165">COUNTIF($AA$2:$AA$9,Q165)+COUNTIF($AA$2:$AA$9,R165)+COUNTIF($AA$2:$AA$9,S165)+COUNTIF($AA$2:$AA$9,T165)+COUNTIF($AA$2:$AA$9,U165)+COUNTIF($AA$2:$AA$9,V165)+COUNTIF($AA$2:$AA$9,W165)+COUNTIF($AA$2:$AA$9,X165)</f>
        <v>5</v>
      </c>
      <c r="Z165" s="589"/>
      <c r="AA165" s="589"/>
      <c r="AB165" s="589"/>
      <c r="AC165" s="589"/>
      <c r="AD165" s="589"/>
      <c r="AE165" s="589"/>
      <c r="AF165" s="589"/>
      <c r="AG165" s="589"/>
      <c r="AH165" s="589"/>
      <c r="AI165" s="589"/>
      <c r="AJ165" s="589"/>
      <c r="AK165" s="589"/>
      <c r="AL165" s="589"/>
      <c r="AM165" s="589"/>
      <c r="AN165" s="589"/>
      <c r="AO165" s="589"/>
      <c r="AP165" s="589"/>
      <c r="AQ165" s="589"/>
      <c r="AR165" s="589"/>
      <c r="AS165" s="589"/>
      <c r="AT165" s="589"/>
      <c r="AU165" s="589"/>
      <c r="AV165" s="589"/>
      <c r="AW165" s="589"/>
      <c r="AX165" s="589"/>
      <c r="AY165" s="589"/>
      <c r="AZ165" s="589"/>
      <c r="BA165" s="589"/>
      <c r="BB165" s="589"/>
      <c r="BC165" s="589"/>
      <c r="BD165" s="589"/>
      <c r="BE165" s="589"/>
      <c r="BF165" s="589"/>
      <c r="BG165" s="589"/>
      <c r="BH165" s="589"/>
      <c r="BI165" s="589"/>
      <c r="BJ165" s="589"/>
      <c r="BK165" s="589"/>
      <c r="BL165" s="589"/>
    </row>
    <row r="166" spans="1:64" ht="14.25" customHeight="1">
      <c r="A166" s="691" t="s">
        <v>503</v>
      </c>
      <c r="B166" s="589"/>
      <c r="C166" s="589"/>
      <c r="D166" s="589"/>
      <c r="E166" s="589"/>
      <c r="F166" s="591">
        <v>165</v>
      </c>
      <c r="G166" s="691" t="s">
        <v>147</v>
      </c>
      <c r="H166" s="691" t="s">
        <v>187</v>
      </c>
      <c r="I166" s="691" t="s">
        <v>137</v>
      </c>
      <c r="J166" s="691" t="s">
        <v>157</v>
      </c>
      <c r="K166" s="691" t="s">
        <v>197</v>
      </c>
      <c r="L166" s="691" t="s">
        <v>177</v>
      </c>
      <c r="M166" s="691" t="s">
        <v>167</v>
      </c>
      <c r="N166" s="691" t="s">
        <v>207</v>
      </c>
      <c r="O166" s="589"/>
      <c r="P166" s="717" cm="1">
        <f t="array" ref="P166">F166</f>
        <v>165</v>
      </c>
      <c r="Q166" s="620" t="str" cm="1">
        <f t="array" ref="Q166">RIGHT(G166,1)</f>
        <v>C</v>
      </c>
      <c r="R166" s="590" t="str" cm="1">
        <f t="array" ref="R166">RIGHT(H166,1)</f>
        <v>G</v>
      </c>
      <c r="S166" s="590" t="str" cm="1">
        <f t="array" ref="S166">RIGHT(I166,1)</f>
        <v>B</v>
      </c>
      <c r="T166" s="590" t="str" cm="1">
        <f t="array" ref="T166">RIGHT(J166,1)</f>
        <v>D</v>
      </c>
      <c r="U166" s="590" t="str" cm="1">
        <f t="array" ref="U166">RIGHT(K166,1)</f>
        <v>H</v>
      </c>
      <c r="V166" s="590" t="str" cm="1">
        <f t="array" ref="V166">RIGHT(L166,1)</f>
        <v>F</v>
      </c>
      <c r="W166" s="590" t="str" cm="1">
        <f t="array" ref="W166">RIGHT(M166,1)</f>
        <v>E</v>
      </c>
      <c r="X166" s="590" t="str" cm="1">
        <f t="array" ref="X166">RIGHT(N166,1)</f>
        <v>I</v>
      </c>
      <c r="Y166" s="708" cm="1">
        <f t="array" ref="Y166">COUNTIF($AA$2:$AA$9,Q166)+COUNTIF($AA$2:$AA$9,R166)+COUNTIF($AA$2:$AA$9,S166)+COUNTIF($AA$2:$AA$9,T166)+COUNTIF($AA$2:$AA$9,U166)+COUNTIF($AA$2:$AA$9,V166)+COUNTIF($AA$2:$AA$9,W166)+COUNTIF($AA$2:$AA$9,X166)</f>
        <v>5</v>
      </c>
      <c r="Z166" s="589"/>
      <c r="AA166" s="589"/>
      <c r="AB166" s="589"/>
      <c r="AC166" s="589"/>
      <c r="AD166" s="589"/>
      <c r="AE166" s="589"/>
      <c r="AF166" s="589"/>
      <c r="AG166" s="589"/>
      <c r="AH166" s="589"/>
      <c r="AI166" s="589"/>
      <c r="AJ166" s="589"/>
      <c r="AK166" s="589"/>
      <c r="AL166" s="589"/>
      <c r="AM166" s="589"/>
      <c r="AN166" s="589"/>
      <c r="AO166" s="589"/>
      <c r="AP166" s="589"/>
      <c r="AQ166" s="589"/>
      <c r="AR166" s="589"/>
      <c r="AS166" s="589"/>
      <c r="AT166" s="589"/>
      <c r="AU166" s="589"/>
      <c r="AV166" s="589"/>
      <c r="AW166" s="589"/>
      <c r="AX166" s="589"/>
      <c r="AY166" s="589"/>
      <c r="AZ166" s="589"/>
      <c r="BA166" s="589"/>
      <c r="BB166" s="589"/>
      <c r="BC166" s="589"/>
      <c r="BD166" s="589"/>
      <c r="BE166" s="589"/>
      <c r="BF166" s="589"/>
      <c r="BG166" s="589"/>
      <c r="BH166" s="589"/>
      <c r="BI166" s="589"/>
      <c r="BJ166" s="589"/>
      <c r="BK166" s="589"/>
      <c r="BL166" s="589"/>
    </row>
    <row r="167" spans="1:64" ht="14.25" customHeight="1">
      <c r="A167" s="691" t="s">
        <v>504</v>
      </c>
      <c r="B167" s="589"/>
      <c r="C167" s="589"/>
      <c r="D167" s="589"/>
      <c r="E167" s="589"/>
      <c r="F167" s="591">
        <v>166</v>
      </c>
      <c r="G167" s="691" t="s">
        <v>197</v>
      </c>
      <c r="H167" s="691" t="s">
        <v>217</v>
      </c>
      <c r="I167" s="691" t="s">
        <v>207</v>
      </c>
      <c r="J167" s="691" t="s">
        <v>177</v>
      </c>
      <c r="K167" s="691" t="s">
        <v>125</v>
      </c>
      <c r="L167" s="691" t="s">
        <v>187</v>
      </c>
      <c r="M167" s="691" t="s">
        <v>237</v>
      </c>
      <c r="N167" s="691" t="s">
        <v>227</v>
      </c>
      <c r="O167" s="589"/>
      <c r="P167" s="717" cm="1">
        <f t="array" ref="P167">F167</f>
        <v>166</v>
      </c>
      <c r="Q167" s="620" t="str" cm="1">
        <f t="array" ref="Q167">RIGHT(G167,1)</f>
        <v>H</v>
      </c>
      <c r="R167" s="590" t="str" cm="1">
        <f t="array" ref="R167">RIGHT(H167,1)</f>
        <v>J</v>
      </c>
      <c r="S167" s="590" t="str" cm="1">
        <f t="array" ref="S167">RIGHT(I167,1)</f>
        <v>I</v>
      </c>
      <c r="T167" s="590" t="str" cm="1">
        <f t="array" ref="T167">RIGHT(J167,1)</f>
        <v>F</v>
      </c>
      <c r="U167" s="590" t="str" cm="1">
        <f t="array" ref="U167">RIGHT(K167,1)</f>
        <v>A</v>
      </c>
      <c r="V167" s="590" t="str" cm="1">
        <f t="array" ref="V167">RIGHT(L167,1)</f>
        <v>G</v>
      </c>
      <c r="W167" s="590" t="str" cm="1">
        <f t="array" ref="W167">RIGHT(M167,1)</f>
        <v>L</v>
      </c>
      <c r="X167" s="590" t="str" cm="1">
        <f t="array" ref="X167">RIGHT(N167,1)</f>
        <v>K</v>
      </c>
      <c r="Y167" s="708" cm="1">
        <f t="array" ref="Y167">COUNTIF($AA$2:$AA$9,Q167)+COUNTIF($AA$2:$AA$9,R167)+COUNTIF($AA$2:$AA$9,S167)+COUNTIF($AA$2:$AA$9,T167)+COUNTIF($AA$2:$AA$9,U167)+COUNTIF($AA$2:$AA$9,V167)+COUNTIF($AA$2:$AA$9,W167)+COUNTIF($AA$2:$AA$9,X167)</f>
        <v>5</v>
      </c>
      <c r="Z167" s="589"/>
      <c r="AA167" s="589"/>
      <c r="AB167" s="589"/>
      <c r="AC167" s="589"/>
      <c r="AD167" s="589"/>
      <c r="AE167" s="589"/>
      <c r="AF167" s="589"/>
      <c r="AG167" s="589"/>
      <c r="AH167" s="589"/>
      <c r="AI167" s="589"/>
      <c r="AJ167" s="589"/>
      <c r="AK167" s="589"/>
      <c r="AL167" s="589"/>
      <c r="AM167" s="589"/>
      <c r="AN167" s="589"/>
      <c r="AO167" s="589"/>
      <c r="AP167" s="589"/>
      <c r="AQ167" s="589"/>
      <c r="AR167" s="589"/>
      <c r="AS167" s="589"/>
      <c r="AT167" s="589"/>
      <c r="AU167" s="589"/>
      <c r="AV167" s="589"/>
      <c r="AW167" s="589"/>
      <c r="AX167" s="589"/>
      <c r="AY167" s="589"/>
      <c r="AZ167" s="589"/>
      <c r="BA167" s="589"/>
      <c r="BB167" s="589"/>
      <c r="BC167" s="589"/>
      <c r="BD167" s="589"/>
      <c r="BE167" s="589"/>
      <c r="BF167" s="589"/>
      <c r="BG167" s="589"/>
      <c r="BH167" s="589"/>
      <c r="BI167" s="589"/>
      <c r="BJ167" s="589"/>
      <c r="BK167" s="589"/>
      <c r="BL167" s="589"/>
    </row>
    <row r="168" spans="1:64" ht="14.25" customHeight="1">
      <c r="A168" s="691" t="s">
        <v>505</v>
      </c>
      <c r="B168" s="589"/>
      <c r="C168" s="589"/>
      <c r="D168" s="589"/>
      <c r="E168" s="589"/>
      <c r="F168" s="591">
        <v>167</v>
      </c>
      <c r="G168" s="691" t="s">
        <v>167</v>
      </c>
      <c r="H168" s="691" t="s">
        <v>217</v>
      </c>
      <c r="I168" s="691" t="s">
        <v>207</v>
      </c>
      <c r="J168" s="691" t="s">
        <v>125</v>
      </c>
      <c r="K168" s="691" t="s">
        <v>197</v>
      </c>
      <c r="L168" s="691" t="s">
        <v>187</v>
      </c>
      <c r="M168" s="691" t="s">
        <v>237</v>
      </c>
      <c r="N168" s="691" t="s">
        <v>227</v>
      </c>
      <c r="O168" s="589"/>
      <c r="P168" s="717" cm="1">
        <f t="array" ref="P168">F168</f>
        <v>167</v>
      </c>
      <c r="Q168" s="620" t="str" cm="1">
        <f t="array" ref="Q168">RIGHT(G168,1)</f>
        <v>E</v>
      </c>
      <c r="R168" s="590" t="str" cm="1">
        <f t="array" ref="R168">RIGHT(H168,1)</f>
        <v>J</v>
      </c>
      <c r="S168" s="590" t="str" cm="1">
        <f t="array" ref="S168">RIGHT(I168,1)</f>
        <v>I</v>
      </c>
      <c r="T168" s="590" t="str" cm="1">
        <f t="array" ref="T168">RIGHT(J168,1)</f>
        <v>A</v>
      </c>
      <c r="U168" s="590" t="str" cm="1">
        <f t="array" ref="U168">RIGHT(K168,1)</f>
        <v>H</v>
      </c>
      <c r="V168" s="590" t="str" cm="1">
        <f t="array" ref="V168">RIGHT(L168,1)</f>
        <v>G</v>
      </c>
      <c r="W168" s="590" t="str" cm="1">
        <f t="array" ref="W168">RIGHT(M168,1)</f>
        <v>L</v>
      </c>
      <c r="X168" s="590" t="str" cm="1">
        <f t="array" ref="X168">RIGHT(N168,1)</f>
        <v>K</v>
      </c>
      <c r="Y168" s="708" cm="1">
        <f t="array" ref="Y168">COUNTIF($AA$2:$AA$9,Q168)+COUNTIF($AA$2:$AA$9,R168)+COUNTIF($AA$2:$AA$9,S168)+COUNTIF($AA$2:$AA$9,T168)+COUNTIF($AA$2:$AA$9,U168)+COUNTIF($AA$2:$AA$9,V168)+COUNTIF($AA$2:$AA$9,W168)+COUNTIF($AA$2:$AA$9,X168)</f>
        <v>5</v>
      </c>
      <c r="Z168" s="589"/>
      <c r="AA168" s="589"/>
      <c r="AB168" s="589"/>
      <c r="AC168" s="589"/>
      <c r="AD168" s="589"/>
      <c r="AE168" s="589"/>
      <c r="AF168" s="589"/>
      <c r="AG168" s="589"/>
      <c r="AH168" s="589"/>
      <c r="AI168" s="589"/>
      <c r="AJ168" s="589"/>
      <c r="AK168" s="589"/>
      <c r="AL168" s="589"/>
      <c r="AM168" s="589"/>
      <c r="AN168" s="589"/>
      <c r="AO168" s="589"/>
      <c r="AP168" s="589"/>
      <c r="AQ168" s="589"/>
      <c r="AR168" s="589"/>
      <c r="AS168" s="589"/>
      <c r="AT168" s="589"/>
      <c r="AU168" s="589"/>
      <c r="AV168" s="589"/>
      <c r="AW168" s="589"/>
      <c r="AX168" s="589"/>
      <c r="AY168" s="589"/>
      <c r="AZ168" s="589"/>
      <c r="BA168" s="589"/>
      <c r="BB168" s="589"/>
      <c r="BC168" s="589"/>
      <c r="BD168" s="589"/>
      <c r="BE168" s="589"/>
      <c r="BF168" s="589"/>
      <c r="BG168" s="589"/>
      <c r="BH168" s="589"/>
      <c r="BI168" s="589"/>
      <c r="BJ168" s="589"/>
      <c r="BK168" s="589"/>
      <c r="BL168" s="589"/>
    </row>
    <row r="169" spans="1:64" ht="14.25" customHeight="1">
      <c r="A169" s="691" t="s">
        <v>506</v>
      </c>
      <c r="B169" s="589"/>
      <c r="C169" s="589"/>
      <c r="D169" s="589"/>
      <c r="E169" s="589"/>
      <c r="F169" s="591">
        <v>168</v>
      </c>
      <c r="G169" s="691" t="s">
        <v>167</v>
      </c>
      <c r="H169" s="691" t="s">
        <v>217</v>
      </c>
      <c r="I169" s="691" t="s">
        <v>207</v>
      </c>
      <c r="J169" s="691" t="s">
        <v>177</v>
      </c>
      <c r="K169" s="691" t="s">
        <v>125</v>
      </c>
      <c r="L169" s="691" t="s">
        <v>197</v>
      </c>
      <c r="M169" s="691" t="s">
        <v>237</v>
      </c>
      <c r="N169" s="691" t="s">
        <v>227</v>
      </c>
      <c r="O169" s="589"/>
      <c r="P169" s="717" cm="1">
        <f t="array" ref="P169">F169</f>
        <v>168</v>
      </c>
      <c r="Q169" s="620" t="str" cm="1">
        <f t="array" ref="Q169">RIGHT(G169,1)</f>
        <v>E</v>
      </c>
      <c r="R169" s="590" t="str" cm="1">
        <f t="array" ref="R169">RIGHT(H169,1)</f>
        <v>J</v>
      </c>
      <c r="S169" s="590" t="str" cm="1">
        <f t="array" ref="S169">RIGHT(I169,1)</f>
        <v>I</v>
      </c>
      <c r="T169" s="590" t="str" cm="1">
        <f t="array" ref="T169">RIGHT(J169,1)</f>
        <v>F</v>
      </c>
      <c r="U169" s="590" t="str" cm="1">
        <f t="array" ref="U169">RIGHT(K169,1)</f>
        <v>A</v>
      </c>
      <c r="V169" s="590" t="str" cm="1">
        <f t="array" ref="V169">RIGHT(L169,1)</f>
        <v>H</v>
      </c>
      <c r="W169" s="590" t="str" cm="1">
        <f t="array" ref="W169">RIGHT(M169,1)</f>
        <v>L</v>
      </c>
      <c r="X169" s="590" t="str" cm="1">
        <f t="array" ref="X169">RIGHT(N169,1)</f>
        <v>K</v>
      </c>
      <c r="Y169" s="708" cm="1">
        <f t="array" ref="Y169">COUNTIF($AA$2:$AA$9,Q169)+COUNTIF($AA$2:$AA$9,R169)+COUNTIF($AA$2:$AA$9,S169)+COUNTIF($AA$2:$AA$9,T169)+COUNTIF($AA$2:$AA$9,U169)+COUNTIF($AA$2:$AA$9,V169)+COUNTIF($AA$2:$AA$9,W169)+COUNTIF($AA$2:$AA$9,X169)</f>
        <v>6</v>
      </c>
      <c r="Z169" s="589"/>
      <c r="AA169" s="589"/>
      <c r="AB169" s="589"/>
      <c r="AC169" s="589"/>
      <c r="AD169" s="589"/>
      <c r="AE169" s="589"/>
      <c r="AF169" s="589"/>
      <c r="AG169" s="589"/>
      <c r="AH169" s="589"/>
      <c r="AI169" s="589"/>
      <c r="AJ169" s="589"/>
      <c r="AK169" s="589"/>
      <c r="AL169" s="589"/>
      <c r="AM169" s="589"/>
      <c r="AN169" s="589"/>
      <c r="AO169" s="589"/>
      <c r="AP169" s="589"/>
      <c r="AQ169" s="589"/>
      <c r="AR169" s="589"/>
      <c r="AS169" s="589"/>
      <c r="AT169" s="589"/>
      <c r="AU169" s="589"/>
      <c r="AV169" s="589"/>
      <c r="AW169" s="589"/>
      <c r="AX169" s="589"/>
      <c r="AY169" s="589"/>
      <c r="AZ169" s="589"/>
      <c r="BA169" s="589"/>
      <c r="BB169" s="589"/>
      <c r="BC169" s="589"/>
      <c r="BD169" s="589"/>
      <c r="BE169" s="589"/>
      <c r="BF169" s="589"/>
      <c r="BG169" s="589"/>
      <c r="BH169" s="589"/>
      <c r="BI169" s="589"/>
      <c r="BJ169" s="589"/>
      <c r="BK169" s="589"/>
      <c r="BL169" s="589"/>
    </row>
    <row r="170" spans="1:64" ht="14.25" customHeight="1">
      <c r="A170" s="691" t="s">
        <v>507</v>
      </c>
      <c r="B170" s="589"/>
      <c r="C170" s="589"/>
      <c r="D170" s="589"/>
      <c r="E170" s="589"/>
      <c r="F170" s="591">
        <v>169</v>
      </c>
      <c r="G170" s="691" t="s">
        <v>167</v>
      </c>
      <c r="H170" s="691" t="s">
        <v>217</v>
      </c>
      <c r="I170" s="691" t="s">
        <v>207</v>
      </c>
      <c r="J170" s="691" t="s">
        <v>177</v>
      </c>
      <c r="K170" s="691" t="s">
        <v>125</v>
      </c>
      <c r="L170" s="691" t="s">
        <v>187</v>
      </c>
      <c r="M170" s="691" t="s">
        <v>237</v>
      </c>
      <c r="N170" s="691" t="s">
        <v>227</v>
      </c>
      <c r="O170" s="589"/>
      <c r="P170" s="717" cm="1">
        <f t="array" ref="P170">F170</f>
        <v>169</v>
      </c>
      <c r="Q170" s="620" t="str" cm="1">
        <f t="array" ref="Q170">RIGHT(G170,1)</f>
        <v>E</v>
      </c>
      <c r="R170" s="590" t="str" cm="1">
        <f t="array" ref="R170">RIGHT(H170,1)</f>
        <v>J</v>
      </c>
      <c r="S170" s="590" t="str" cm="1">
        <f t="array" ref="S170">RIGHT(I170,1)</f>
        <v>I</v>
      </c>
      <c r="T170" s="590" t="str" cm="1">
        <f t="array" ref="T170">RIGHT(J170,1)</f>
        <v>F</v>
      </c>
      <c r="U170" s="590" t="str" cm="1">
        <f t="array" ref="U170">RIGHT(K170,1)</f>
        <v>A</v>
      </c>
      <c r="V170" s="590" t="str" cm="1">
        <f t="array" ref="V170">RIGHT(L170,1)</f>
        <v>G</v>
      </c>
      <c r="W170" s="590" t="str" cm="1">
        <f t="array" ref="W170">RIGHT(M170,1)</f>
        <v>L</v>
      </c>
      <c r="X170" s="590" t="str" cm="1">
        <f t="array" ref="X170">RIGHT(N170,1)</f>
        <v>K</v>
      </c>
      <c r="Y170" s="708" cm="1">
        <f t="array" ref="Y170">COUNTIF($AA$2:$AA$9,Q170)+COUNTIF($AA$2:$AA$9,R170)+COUNTIF($AA$2:$AA$9,S170)+COUNTIF($AA$2:$AA$9,T170)+COUNTIF($AA$2:$AA$9,U170)+COUNTIF($AA$2:$AA$9,V170)+COUNTIF($AA$2:$AA$9,W170)+COUNTIF($AA$2:$AA$9,X170)</f>
        <v>6</v>
      </c>
      <c r="Z170" s="589"/>
      <c r="AA170" s="589"/>
      <c r="AB170" s="589"/>
      <c r="AC170" s="589"/>
      <c r="AD170" s="589"/>
      <c r="AE170" s="589"/>
      <c r="AF170" s="589"/>
      <c r="AG170" s="589"/>
      <c r="AH170" s="589"/>
      <c r="AI170" s="589"/>
      <c r="AJ170" s="589"/>
      <c r="AK170" s="589"/>
      <c r="AL170" s="589"/>
      <c r="AM170" s="589"/>
      <c r="AN170" s="589"/>
      <c r="AO170" s="589"/>
      <c r="AP170" s="589"/>
      <c r="AQ170" s="589"/>
      <c r="AR170" s="589"/>
      <c r="AS170" s="589"/>
      <c r="AT170" s="589"/>
      <c r="AU170" s="589"/>
      <c r="AV170" s="589"/>
      <c r="AW170" s="589"/>
      <c r="AX170" s="589"/>
      <c r="AY170" s="589"/>
      <c r="AZ170" s="589"/>
      <c r="BA170" s="589"/>
      <c r="BB170" s="589"/>
      <c r="BC170" s="589"/>
      <c r="BD170" s="589"/>
      <c r="BE170" s="589"/>
      <c r="BF170" s="589"/>
      <c r="BG170" s="589"/>
      <c r="BH170" s="589"/>
      <c r="BI170" s="589"/>
      <c r="BJ170" s="589"/>
      <c r="BK170" s="589"/>
      <c r="BL170" s="589"/>
    </row>
    <row r="171" spans="1:64" ht="14.25" customHeight="1">
      <c r="A171" s="691" t="s">
        <v>508</v>
      </c>
      <c r="B171" s="589"/>
      <c r="C171" s="589"/>
      <c r="D171" s="589"/>
      <c r="E171" s="589"/>
      <c r="F171" s="591">
        <v>170</v>
      </c>
      <c r="G171" s="691" t="s">
        <v>167</v>
      </c>
      <c r="H171" s="691" t="s">
        <v>187</v>
      </c>
      <c r="I171" s="691" t="s">
        <v>217</v>
      </c>
      <c r="J171" s="691" t="s">
        <v>177</v>
      </c>
      <c r="K171" s="691" t="s">
        <v>125</v>
      </c>
      <c r="L171" s="691" t="s">
        <v>197</v>
      </c>
      <c r="M171" s="691" t="s">
        <v>237</v>
      </c>
      <c r="N171" s="691" t="s">
        <v>227</v>
      </c>
      <c r="O171" s="589"/>
      <c r="P171" s="717" cm="1">
        <f t="array" ref="P171">F171</f>
        <v>170</v>
      </c>
      <c r="Q171" s="620" t="str" cm="1">
        <f t="array" ref="Q171">RIGHT(G171,1)</f>
        <v>E</v>
      </c>
      <c r="R171" s="590" t="str" cm="1">
        <f t="array" ref="R171">RIGHT(H171,1)</f>
        <v>G</v>
      </c>
      <c r="S171" s="590" t="str" cm="1">
        <f t="array" ref="S171">RIGHT(I171,1)</f>
        <v>J</v>
      </c>
      <c r="T171" s="590" t="str" cm="1">
        <f t="array" ref="T171">RIGHT(J171,1)</f>
        <v>F</v>
      </c>
      <c r="U171" s="590" t="str" cm="1">
        <f t="array" ref="U171">RIGHT(K171,1)</f>
        <v>A</v>
      </c>
      <c r="V171" s="590" t="str" cm="1">
        <f t="array" ref="V171">RIGHT(L171,1)</f>
        <v>H</v>
      </c>
      <c r="W171" s="590" t="str" cm="1">
        <f t="array" ref="W171">RIGHT(M171,1)</f>
        <v>L</v>
      </c>
      <c r="X171" s="590" t="str" cm="1">
        <f t="array" ref="X171">RIGHT(N171,1)</f>
        <v>K</v>
      </c>
      <c r="Y171" s="708" cm="1">
        <f t="array" ref="Y171">COUNTIF($AA$2:$AA$9,Q171)+COUNTIF($AA$2:$AA$9,R171)+COUNTIF($AA$2:$AA$9,S171)+COUNTIF($AA$2:$AA$9,T171)+COUNTIF($AA$2:$AA$9,U171)+COUNTIF($AA$2:$AA$9,V171)+COUNTIF($AA$2:$AA$9,W171)+COUNTIF($AA$2:$AA$9,X171)</f>
        <v>5</v>
      </c>
      <c r="Z171" s="589"/>
      <c r="AA171" s="589"/>
      <c r="AB171" s="589"/>
      <c r="AC171" s="589"/>
      <c r="AD171" s="589"/>
      <c r="AE171" s="589"/>
      <c r="AF171" s="589"/>
      <c r="AG171" s="589"/>
      <c r="AH171" s="589"/>
      <c r="AI171" s="589"/>
      <c r="AJ171" s="589"/>
      <c r="AK171" s="589"/>
      <c r="AL171" s="589"/>
      <c r="AM171" s="589"/>
      <c r="AN171" s="589"/>
      <c r="AO171" s="589"/>
      <c r="AP171" s="589"/>
      <c r="AQ171" s="589"/>
      <c r="AR171" s="589"/>
      <c r="AS171" s="589"/>
      <c r="AT171" s="589"/>
      <c r="AU171" s="589"/>
      <c r="AV171" s="589"/>
      <c r="AW171" s="589"/>
      <c r="AX171" s="589"/>
      <c r="AY171" s="589"/>
      <c r="AZ171" s="589"/>
      <c r="BA171" s="589"/>
      <c r="BB171" s="589"/>
      <c r="BC171" s="589"/>
      <c r="BD171" s="589"/>
      <c r="BE171" s="589"/>
      <c r="BF171" s="589"/>
      <c r="BG171" s="589"/>
      <c r="BH171" s="589"/>
      <c r="BI171" s="589"/>
      <c r="BJ171" s="589"/>
      <c r="BK171" s="589"/>
      <c r="BL171" s="589"/>
    </row>
    <row r="172" spans="1:64" ht="14.25" customHeight="1">
      <c r="A172" s="691" t="s">
        <v>509</v>
      </c>
      <c r="B172" s="589"/>
      <c r="C172" s="589"/>
      <c r="D172" s="589"/>
      <c r="E172" s="589"/>
      <c r="F172" s="591">
        <v>171</v>
      </c>
      <c r="G172" s="691" t="s">
        <v>167</v>
      </c>
      <c r="H172" s="691" t="s">
        <v>187</v>
      </c>
      <c r="I172" s="691" t="s">
        <v>207</v>
      </c>
      <c r="J172" s="691" t="s">
        <v>177</v>
      </c>
      <c r="K172" s="691" t="s">
        <v>125</v>
      </c>
      <c r="L172" s="691" t="s">
        <v>197</v>
      </c>
      <c r="M172" s="691" t="s">
        <v>237</v>
      </c>
      <c r="N172" s="691" t="s">
        <v>227</v>
      </c>
      <c r="O172" s="589"/>
      <c r="P172" s="717" cm="1">
        <f t="array" ref="P172">F172</f>
        <v>171</v>
      </c>
      <c r="Q172" s="620" t="str" cm="1">
        <f t="array" ref="Q172">RIGHT(G172,1)</f>
        <v>E</v>
      </c>
      <c r="R172" s="590" t="str" cm="1">
        <f t="array" ref="R172">RIGHT(H172,1)</f>
        <v>G</v>
      </c>
      <c r="S172" s="590" t="str" cm="1">
        <f t="array" ref="S172">RIGHT(I172,1)</f>
        <v>I</v>
      </c>
      <c r="T172" s="590" t="str" cm="1">
        <f t="array" ref="T172">RIGHT(J172,1)</f>
        <v>F</v>
      </c>
      <c r="U172" s="590" t="str" cm="1">
        <f t="array" ref="U172">RIGHT(K172,1)</f>
        <v>A</v>
      </c>
      <c r="V172" s="590" t="str" cm="1">
        <f t="array" ref="V172">RIGHT(L172,1)</f>
        <v>H</v>
      </c>
      <c r="W172" s="590" t="str" cm="1">
        <f t="array" ref="W172">RIGHT(M172,1)</f>
        <v>L</v>
      </c>
      <c r="X172" s="590" t="str" cm="1">
        <f t="array" ref="X172">RIGHT(N172,1)</f>
        <v>K</v>
      </c>
      <c r="Y172" s="708" cm="1">
        <f t="array" ref="Y172">COUNTIF($AA$2:$AA$9,Q172)+COUNTIF($AA$2:$AA$9,R172)+COUNTIF($AA$2:$AA$9,S172)+COUNTIF($AA$2:$AA$9,T172)+COUNTIF($AA$2:$AA$9,U172)+COUNTIF($AA$2:$AA$9,V172)+COUNTIF($AA$2:$AA$9,W172)+COUNTIF($AA$2:$AA$9,X172)</f>
        <v>5</v>
      </c>
      <c r="Z172" s="589"/>
      <c r="AA172" s="589"/>
      <c r="AB172" s="589"/>
      <c r="AC172" s="589"/>
      <c r="AD172" s="589"/>
      <c r="AE172" s="589"/>
      <c r="AF172" s="589"/>
      <c r="AG172" s="589"/>
      <c r="AH172" s="589"/>
      <c r="AI172" s="589"/>
      <c r="AJ172" s="589"/>
      <c r="AK172" s="589"/>
      <c r="AL172" s="589"/>
      <c r="AM172" s="589"/>
      <c r="AN172" s="589"/>
      <c r="AO172" s="589"/>
      <c r="AP172" s="589"/>
      <c r="AQ172" s="589"/>
      <c r="AR172" s="589"/>
      <c r="AS172" s="589"/>
      <c r="AT172" s="589"/>
      <c r="AU172" s="589"/>
      <c r="AV172" s="589"/>
      <c r="AW172" s="589"/>
      <c r="AX172" s="589"/>
      <c r="AY172" s="589"/>
      <c r="AZ172" s="589"/>
      <c r="BA172" s="589"/>
      <c r="BB172" s="589"/>
      <c r="BC172" s="589"/>
      <c r="BD172" s="589"/>
      <c r="BE172" s="589"/>
      <c r="BF172" s="589"/>
      <c r="BG172" s="589"/>
      <c r="BH172" s="589"/>
      <c r="BI172" s="589"/>
      <c r="BJ172" s="589"/>
      <c r="BK172" s="589"/>
      <c r="BL172" s="589"/>
    </row>
    <row r="173" spans="1:64" ht="14.25" customHeight="1">
      <c r="A173" s="691" t="s">
        <v>510</v>
      </c>
      <c r="B173" s="589"/>
      <c r="C173" s="589"/>
      <c r="D173" s="589"/>
      <c r="E173" s="589"/>
      <c r="F173" s="591">
        <v>172</v>
      </c>
      <c r="G173" s="691" t="s">
        <v>167</v>
      </c>
      <c r="H173" s="691" t="s">
        <v>187</v>
      </c>
      <c r="I173" s="691" t="s">
        <v>217</v>
      </c>
      <c r="J173" s="691" t="s">
        <v>177</v>
      </c>
      <c r="K173" s="691" t="s">
        <v>125</v>
      </c>
      <c r="L173" s="691" t="s">
        <v>197</v>
      </c>
      <c r="M173" s="691" t="s">
        <v>237</v>
      </c>
      <c r="N173" s="691" t="s">
        <v>207</v>
      </c>
      <c r="O173" s="589"/>
      <c r="P173" s="717" cm="1">
        <f t="array" ref="P173">F173</f>
        <v>172</v>
      </c>
      <c r="Q173" s="620" t="str" cm="1">
        <f t="array" ref="Q173">RIGHT(G173,1)</f>
        <v>E</v>
      </c>
      <c r="R173" s="590" t="str" cm="1">
        <f t="array" ref="R173">RIGHT(H173,1)</f>
        <v>G</v>
      </c>
      <c r="S173" s="590" t="str" cm="1">
        <f t="array" ref="S173">RIGHT(I173,1)</f>
        <v>J</v>
      </c>
      <c r="T173" s="590" t="str" cm="1">
        <f t="array" ref="T173">RIGHT(J173,1)</f>
        <v>F</v>
      </c>
      <c r="U173" s="590" t="str" cm="1">
        <f t="array" ref="U173">RIGHT(K173,1)</f>
        <v>A</v>
      </c>
      <c r="V173" s="590" t="str" cm="1">
        <f t="array" ref="V173">RIGHT(L173,1)</f>
        <v>H</v>
      </c>
      <c r="W173" s="590" t="str" cm="1">
        <f t="array" ref="W173">RIGHT(M173,1)</f>
        <v>L</v>
      </c>
      <c r="X173" s="590" t="str" cm="1">
        <f t="array" ref="X173">RIGHT(N173,1)</f>
        <v>I</v>
      </c>
      <c r="Y173" s="708" cm="1">
        <f t="array" ref="Y173">COUNTIF($AA$2:$AA$9,Q173)+COUNTIF($AA$2:$AA$9,R173)+COUNTIF($AA$2:$AA$9,S173)+COUNTIF($AA$2:$AA$9,T173)+COUNTIF($AA$2:$AA$9,U173)+COUNTIF($AA$2:$AA$9,V173)+COUNTIF($AA$2:$AA$9,W173)+COUNTIF($AA$2:$AA$9,X173)</f>
        <v>6</v>
      </c>
      <c r="Z173" s="589"/>
      <c r="AA173" s="589"/>
      <c r="AB173" s="589"/>
      <c r="AC173" s="589"/>
      <c r="AD173" s="589"/>
      <c r="AE173" s="589"/>
      <c r="AF173" s="589"/>
      <c r="AG173" s="589"/>
      <c r="AH173" s="589"/>
      <c r="AI173" s="589"/>
      <c r="AJ173" s="589"/>
      <c r="AK173" s="589"/>
      <c r="AL173" s="589"/>
      <c r="AM173" s="589"/>
      <c r="AN173" s="589"/>
      <c r="AO173" s="589"/>
      <c r="AP173" s="589"/>
      <c r="AQ173" s="589"/>
      <c r="AR173" s="589"/>
      <c r="AS173" s="589"/>
      <c r="AT173" s="589"/>
      <c r="AU173" s="589"/>
      <c r="AV173" s="589"/>
      <c r="AW173" s="589"/>
      <c r="AX173" s="589"/>
      <c r="AY173" s="589"/>
      <c r="AZ173" s="589"/>
      <c r="BA173" s="589"/>
      <c r="BB173" s="589"/>
      <c r="BC173" s="589"/>
      <c r="BD173" s="589"/>
      <c r="BE173" s="589"/>
      <c r="BF173" s="589"/>
      <c r="BG173" s="589"/>
      <c r="BH173" s="589"/>
      <c r="BI173" s="589"/>
      <c r="BJ173" s="589"/>
      <c r="BK173" s="589"/>
      <c r="BL173" s="589"/>
    </row>
    <row r="174" spans="1:64" ht="14.25" customHeight="1">
      <c r="A174" s="691" t="s">
        <v>511</v>
      </c>
      <c r="B174" s="589"/>
      <c r="C174" s="589"/>
      <c r="D174" s="589"/>
      <c r="E174" s="589"/>
      <c r="F174" s="591">
        <v>173</v>
      </c>
      <c r="G174" s="691" t="s">
        <v>167</v>
      </c>
      <c r="H174" s="691" t="s">
        <v>187</v>
      </c>
      <c r="I174" s="691" t="s">
        <v>217</v>
      </c>
      <c r="J174" s="691" t="s">
        <v>177</v>
      </c>
      <c r="K174" s="691" t="s">
        <v>125</v>
      </c>
      <c r="L174" s="691" t="s">
        <v>197</v>
      </c>
      <c r="M174" s="691" t="s">
        <v>207</v>
      </c>
      <c r="N174" s="691" t="s">
        <v>227</v>
      </c>
      <c r="O174" s="589"/>
      <c r="P174" s="717" cm="1">
        <f t="array" ref="P174">F174</f>
        <v>173</v>
      </c>
      <c r="Q174" s="620" t="str" cm="1">
        <f t="array" ref="Q174">RIGHT(G174,1)</f>
        <v>E</v>
      </c>
      <c r="R174" s="590" t="str" cm="1">
        <f t="array" ref="R174">RIGHT(H174,1)</f>
        <v>G</v>
      </c>
      <c r="S174" s="590" t="str" cm="1">
        <f t="array" ref="S174">RIGHT(I174,1)</f>
        <v>J</v>
      </c>
      <c r="T174" s="590" t="str" cm="1">
        <f t="array" ref="T174">RIGHT(J174,1)</f>
        <v>F</v>
      </c>
      <c r="U174" s="590" t="str" cm="1">
        <f t="array" ref="U174">RIGHT(K174,1)</f>
        <v>A</v>
      </c>
      <c r="V174" s="590" t="str" cm="1">
        <f t="array" ref="V174">RIGHT(L174,1)</f>
        <v>H</v>
      </c>
      <c r="W174" s="590" t="str" cm="1">
        <f t="array" ref="W174">RIGHT(M174,1)</f>
        <v>I</v>
      </c>
      <c r="X174" s="590" t="str" cm="1">
        <f t="array" ref="X174">RIGHT(N174,1)</f>
        <v>K</v>
      </c>
      <c r="Y174" s="708" cm="1">
        <f t="array" ref="Y174">COUNTIF($AA$2:$AA$9,Q174)+COUNTIF($AA$2:$AA$9,R174)+COUNTIF($AA$2:$AA$9,S174)+COUNTIF($AA$2:$AA$9,T174)+COUNTIF($AA$2:$AA$9,U174)+COUNTIF($AA$2:$AA$9,V174)+COUNTIF($AA$2:$AA$9,W174)+COUNTIF($AA$2:$AA$9,X174)</f>
        <v>5</v>
      </c>
      <c r="Z174" s="589"/>
      <c r="AA174" s="589"/>
      <c r="AB174" s="589"/>
      <c r="AC174" s="589"/>
      <c r="AD174" s="589"/>
      <c r="AE174" s="589"/>
      <c r="AF174" s="589"/>
      <c r="AG174" s="589"/>
      <c r="AH174" s="589"/>
      <c r="AI174" s="589"/>
      <c r="AJ174" s="589"/>
      <c r="AK174" s="589"/>
      <c r="AL174" s="589"/>
      <c r="AM174" s="589"/>
      <c r="AN174" s="589"/>
      <c r="AO174" s="589"/>
      <c r="AP174" s="589"/>
      <c r="AQ174" s="589"/>
      <c r="AR174" s="589"/>
      <c r="AS174" s="589"/>
      <c r="AT174" s="589"/>
      <c r="AU174" s="589"/>
      <c r="AV174" s="589"/>
      <c r="AW174" s="589"/>
      <c r="AX174" s="589"/>
      <c r="AY174" s="589"/>
      <c r="AZ174" s="589"/>
      <c r="BA174" s="589"/>
      <c r="BB174" s="589"/>
      <c r="BC174" s="589"/>
      <c r="BD174" s="589"/>
      <c r="BE174" s="589"/>
      <c r="BF174" s="589"/>
      <c r="BG174" s="589"/>
      <c r="BH174" s="589"/>
      <c r="BI174" s="589"/>
      <c r="BJ174" s="589"/>
      <c r="BK174" s="589"/>
      <c r="BL174" s="589"/>
    </row>
    <row r="175" spans="1:64" ht="14.25" customHeight="1">
      <c r="A175" s="691" t="s">
        <v>512</v>
      </c>
      <c r="B175" s="589"/>
      <c r="C175" s="589"/>
      <c r="D175" s="589"/>
      <c r="E175" s="589"/>
      <c r="F175" s="591">
        <v>174</v>
      </c>
      <c r="G175" s="691" t="s">
        <v>197</v>
      </c>
      <c r="H175" s="691" t="s">
        <v>217</v>
      </c>
      <c r="I175" s="691" t="s">
        <v>207</v>
      </c>
      <c r="J175" s="691" t="s">
        <v>157</v>
      </c>
      <c r="K175" s="691" t="s">
        <v>125</v>
      </c>
      <c r="L175" s="691" t="s">
        <v>187</v>
      </c>
      <c r="M175" s="691" t="s">
        <v>237</v>
      </c>
      <c r="N175" s="691" t="s">
        <v>227</v>
      </c>
      <c r="O175" s="589"/>
      <c r="P175" s="717" cm="1">
        <f t="array" ref="P175">F175</f>
        <v>174</v>
      </c>
      <c r="Q175" s="620" t="str" cm="1">
        <f t="array" ref="Q175">RIGHT(G175,1)</f>
        <v>H</v>
      </c>
      <c r="R175" s="590" t="str" cm="1">
        <f t="array" ref="R175">RIGHT(H175,1)</f>
        <v>J</v>
      </c>
      <c r="S175" s="590" t="str" cm="1">
        <f t="array" ref="S175">RIGHT(I175,1)</f>
        <v>I</v>
      </c>
      <c r="T175" s="590" t="str" cm="1">
        <f t="array" ref="T175">RIGHT(J175,1)</f>
        <v>D</v>
      </c>
      <c r="U175" s="590" t="str" cm="1">
        <f t="array" ref="U175">RIGHT(K175,1)</f>
        <v>A</v>
      </c>
      <c r="V175" s="590" t="str" cm="1">
        <f t="array" ref="V175">RIGHT(L175,1)</f>
        <v>G</v>
      </c>
      <c r="W175" s="590" t="str" cm="1">
        <f t="array" ref="W175">RIGHT(M175,1)</f>
        <v>L</v>
      </c>
      <c r="X175" s="590" t="str" cm="1">
        <f t="array" ref="X175">RIGHT(N175,1)</f>
        <v>K</v>
      </c>
      <c r="Y175" s="708" cm="1">
        <f t="array" ref="Y175">COUNTIF($AA$2:$AA$9,Q175)+COUNTIF($AA$2:$AA$9,R175)+COUNTIF($AA$2:$AA$9,S175)+COUNTIF($AA$2:$AA$9,T175)+COUNTIF($AA$2:$AA$9,U175)+COUNTIF($AA$2:$AA$9,V175)+COUNTIF($AA$2:$AA$9,W175)+COUNTIF($AA$2:$AA$9,X175)</f>
        <v>5</v>
      </c>
      <c r="Z175" s="589"/>
      <c r="AA175" s="589"/>
      <c r="AB175" s="589"/>
      <c r="AC175" s="589"/>
      <c r="AD175" s="589"/>
      <c r="AE175" s="589"/>
      <c r="AF175" s="589"/>
      <c r="AG175" s="589"/>
      <c r="AH175" s="589"/>
      <c r="AI175" s="589"/>
      <c r="AJ175" s="589"/>
      <c r="AK175" s="589"/>
      <c r="AL175" s="589"/>
      <c r="AM175" s="589"/>
      <c r="AN175" s="589"/>
      <c r="AO175" s="589"/>
      <c r="AP175" s="589"/>
      <c r="AQ175" s="589"/>
      <c r="AR175" s="589"/>
      <c r="AS175" s="589"/>
      <c r="AT175" s="589"/>
      <c r="AU175" s="589"/>
      <c r="AV175" s="589"/>
      <c r="AW175" s="589"/>
      <c r="AX175" s="589"/>
      <c r="AY175" s="589"/>
      <c r="AZ175" s="589"/>
      <c r="BA175" s="589"/>
      <c r="BB175" s="589"/>
      <c r="BC175" s="589"/>
      <c r="BD175" s="589"/>
      <c r="BE175" s="589"/>
      <c r="BF175" s="589"/>
      <c r="BG175" s="589"/>
      <c r="BH175" s="589"/>
      <c r="BI175" s="589"/>
      <c r="BJ175" s="589"/>
      <c r="BK175" s="589"/>
      <c r="BL175" s="589"/>
    </row>
    <row r="176" spans="1:64" ht="14.25" customHeight="1">
      <c r="A176" s="691" t="s">
        <v>513</v>
      </c>
      <c r="B176" s="589"/>
      <c r="C176" s="589"/>
      <c r="D176" s="589"/>
      <c r="E176" s="589"/>
      <c r="F176" s="591">
        <v>175</v>
      </c>
      <c r="G176" s="691" t="s">
        <v>197</v>
      </c>
      <c r="H176" s="691" t="s">
        <v>217</v>
      </c>
      <c r="I176" s="691" t="s">
        <v>207</v>
      </c>
      <c r="J176" s="691" t="s">
        <v>157</v>
      </c>
      <c r="K176" s="691" t="s">
        <v>125</v>
      </c>
      <c r="L176" s="691" t="s">
        <v>177</v>
      </c>
      <c r="M176" s="691" t="s">
        <v>237</v>
      </c>
      <c r="N176" s="691" t="s">
        <v>227</v>
      </c>
      <c r="O176" s="589"/>
      <c r="P176" s="717" cm="1">
        <f t="array" ref="P176">F176</f>
        <v>175</v>
      </c>
      <c r="Q176" s="620" t="str" cm="1">
        <f t="array" ref="Q176">RIGHT(G176,1)</f>
        <v>H</v>
      </c>
      <c r="R176" s="590" t="str" cm="1">
        <f t="array" ref="R176">RIGHT(H176,1)</f>
        <v>J</v>
      </c>
      <c r="S176" s="590" t="str" cm="1">
        <f t="array" ref="S176">RIGHT(I176,1)</f>
        <v>I</v>
      </c>
      <c r="T176" s="590" t="str" cm="1">
        <f t="array" ref="T176">RIGHT(J176,1)</f>
        <v>D</v>
      </c>
      <c r="U176" s="590" t="str" cm="1">
        <f t="array" ref="U176">RIGHT(K176,1)</f>
        <v>A</v>
      </c>
      <c r="V176" s="590" t="str" cm="1">
        <f t="array" ref="V176">RIGHT(L176,1)</f>
        <v>F</v>
      </c>
      <c r="W176" s="590" t="str" cm="1">
        <f t="array" ref="W176">RIGHT(M176,1)</f>
        <v>L</v>
      </c>
      <c r="X176" s="590" t="str" cm="1">
        <f t="array" ref="X176">RIGHT(N176,1)</f>
        <v>K</v>
      </c>
      <c r="Y176" s="708" cm="1">
        <f t="array" ref="Y176">COUNTIF($AA$2:$AA$9,Q176)+COUNTIF($AA$2:$AA$9,R176)+COUNTIF($AA$2:$AA$9,S176)+COUNTIF($AA$2:$AA$9,T176)+COUNTIF($AA$2:$AA$9,U176)+COUNTIF($AA$2:$AA$9,V176)+COUNTIF($AA$2:$AA$9,W176)+COUNTIF($AA$2:$AA$9,X176)</f>
        <v>6</v>
      </c>
      <c r="Z176" s="589"/>
      <c r="AA176" s="589"/>
      <c r="AB176" s="589"/>
      <c r="AC176" s="589"/>
      <c r="AD176" s="589"/>
      <c r="AE176" s="589"/>
      <c r="AF176" s="589"/>
      <c r="AG176" s="589"/>
      <c r="AH176" s="589"/>
      <c r="AI176" s="589"/>
      <c r="AJ176" s="589"/>
      <c r="AK176" s="589"/>
      <c r="AL176" s="589"/>
      <c r="AM176" s="589"/>
      <c r="AN176" s="589"/>
      <c r="AO176" s="589"/>
      <c r="AP176" s="589"/>
      <c r="AQ176" s="589"/>
      <c r="AR176" s="589"/>
      <c r="AS176" s="589"/>
      <c r="AT176" s="589"/>
      <c r="AU176" s="589"/>
      <c r="AV176" s="589"/>
      <c r="AW176" s="589"/>
      <c r="AX176" s="589"/>
      <c r="AY176" s="589"/>
      <c r="AZ176" s="589"/>
      <c r="BA176" s="589"/>
      <c r="BB176" s="589"/>
      <c r="BC176" s="589"/>
      <c r="BD176" s="589"/>
      <c r="BE176" s="589"/>
      <c r="BF176" s="589"/>
      <c r="BG176" s="589"/>
      <c r="BH176" s="589"/>
      <c r="BI176" s="589"/>
      <c r="BJ176" s="589"/>
      <c r="BK176" s="589"/>
      <c r="BL176" s="589"/>
    </row>
    <row r="177" spans="1:64" ht="14.25" customHeight="1">
      <c r="A177" s="691" t="s">
        <v>514</v>
      </c>
      <c r="B177" s="589"/>
      <c r="C177" s="589"/>
      <c r="D177" s="589"/>
      <c r="E177" s="589"/>
      <c r="F177" s="591">
        <v>176</v>
      </c>
      <c r="G177" s="691" t="s">
        <v>207</v>
      </c>
      <c r="H177" s="691" t="s">
        <v>187</v>
      </c>
      <c r="I177" s="691" t="s">
        <v>217</v>
      </c>
      <c r="J177" s="691" t="s">
        <v>157</v>
      </c>
      <c r="K177" s="691" t="s">
        <v>125</v>
      </c>
      <c r="L177" s="691" t="s">
        <v>177</v>
      </c>
      <c r="M177" s="691" t="s">
        <v>237</v>
      </c>
      <c r="N177" s="691" t="s">
        <v>227</v>
      </c>
      <c r="O177" s="589"/>
      <c r="P177" s="717" cm="1">
        <f t="array" ref="P177">F177</f>
        <v>176</v>
      </c>
      <c r="Q177" s="620" t="str" cm="1">
        <f t="array" ref="Q177">RIGHT(G177,1)</f>
        <v>I</v>
      </c>
      <c r="R177" s="590" t="str" cm="1">
        <f t="array" ref="R177">RIGHT(H177,1)</f>
        <v>G</v>
      </c>
      <c r="S177" s="590" t="str" cm="1">
        <f t="array" ref="S177">RIGHT(I177,1)</f>
        <v>J</v>
      </c>
      <c r="T177" s="590" t="str" cm="1">
        <f t="array" ref="T177">RIGHT(J177,1)</f>
        <v>D</v>
      </c>
      <c r="U177" s="590" t="str" cm="1">
        <f t="array" ref="U177">RIGHT(K177,1)</f>
        <v>A</v>
      </c>
      <c r="V177" s="590" t="str" cm="1">
        <f t="array" ref="V177">RIGHT(L177,1)</f>
        <v>F</v>
      </c>
      <c r="W177" s="590" t="str" cm="1">
        <f t="array" ref="W177">RIGHT(M177,1)</f>
        <v>L</v>
      </c>
      <c r="X177" s="590" t="str" cm="1">
        <f t="array" ref="X177">RIGHT(N177,1)</f>
        <v>K</v>
      </c>
      <c r="Y177" s="708" cm="1">
        <f t="array" ref="Y177">COUNTIF($AA$2:$AA$9,Q177)+COUNTIF($AA$2:$AA$9,R177)+COUNTIF($AA$2:$AA$9,S177)+COUNTIF($AA$2:$AA$9,T177)+COUNTIF($AA$2:$AA$9,U177)+COUNTIF($AA$2:$AA$9,V177)+COUNTIF($AA$2:$AA$9,W177)+COUNTIF($AA$2:$AA$9,X177)</f>
        <v>6</v>
      </c>
      <c r="Z177" s="589"/>
      <c r="AA177" s="589"/>
      <c r="AB177" s="589"/>
      <c r="AC177" s="589"/>
      <c r="AD177" s="589"/>
      <c r="AE177" s="589"/>
      <c r="AF177" s="589"/>
      <c r="AG177" s="589"/>
      <c r="AH177" s="589"/>
      <c r="AI177" s="589"/>
      <c r="AJ177" s="589"/>
      <c r="AK177" s="589"/>
      <c r="AL177" s="589"/>
      <c r="AM177" s="589"/>
      <c r="AN177" s="589"/>
      <c r="AO177" s="589"/>
      <c r="AP177" s="589"/>
      <c r="AQ177" s="589"/>
      <c r="AR177" s="589"/>
      <c r="AS177" s="589"/>
      <c r="AT177" s="589"/>
      <c r="AU177" s="589"/>
      <c r="AV177" s="589"/>
      <c r="AW177" s="589"/>
      <c r="AX177" s="589"/>
      <c r="AY177" s="589"/>
      <c r="AZ177" s="589"/>
      <c r="BA177" s="589"/>
      <c r="BB177" s="589"/>
      <c r="BC177" s="589"/>
      <c r="BD177" s="589"/>
      <c r="BE177" s="589"/>
      <c r="BF177" s="589"/>
      <c r="BG177" s="589"/>
      <c r="BH177" s="589"/>
      <c r="BI177" s="589"/>
      <c r="BJ177" s="589"/>
      <c r="BK177" s="589"/>
      <c r="BL177" s="589"/>
    </row>
    <row r="178" spans="1:64" ht="14.25" customHeight="1">
      <c r="A178" s="691" t="s">
        <v>515</v>
      </c>
      <c r="B178" s="589"/>
      <c r="C178" s="589"/>
      <c r="D178" s="589"/>
      <c r="E178" s="589"/>
      <c r="F178" s="591">
        <v>177</v>
      </c>
      <c r="G178" s="691" t="s">
        <v>197</v>
      </c>
      <c r="H178" s="691" t="s">
        <v>187</v>
      </c>
      <c r="I178" s="691" t="s">
        <v>217</v>
      </c>
      <c r="J178" s="691" t="s">
        <v>157</v>
      </c>
      <c r="K178" s="691" t="s">
        <v>125</v>
      </c>
      <c r="L178" s="691" t="s">
        <v>177</v>
      </c>
      <c r="M178" s="691" t="s">
        <v>237</v>
      </c>
      <c r="N178" s="691" t="s">
        <v>227</v>
      </c>
      <c r="O178" s="589"/>
      <c r="P178" s="717" cm="1">
        <f t="array" ref="P178">F178</f>
        <v>177</v>
      </c>
      <c r="Q178" s="620" t="str" cm="1">
        <f t="array" ref="Q178">RIGHT(G178,1)</f>
        <v>H</v>
      </c>
      <c r="R178" s="590" t="str" cm="1">
        <f t="array" ref="R178">RIGHT(H178,1)</f>
        <v>G</v>
      </c>
      <c r="S178" s="590" t="str" cm="1">
        <f t="array" ref="S178">RIGHT(I178,1)</f>
        <v>J</v>
      </c>
      <c r="T178" s="590" t="str" cm="1">
        <f t="array" ref="T178">RIGHT(J178,1)</f>
        <v>D</v>
      </c>
      <c r="U178" s="590" t="str" cm="1">
        <f t="array" ref="U178">RIGHT(K178,1)</f>
        <v>A</v>
      </c>
      <c r="V178" s="590" t="str" cm="1">
        <f t="array" ref="V178">RIGHT(L178,1)</f>
        <v>F</v>
      </c>
      <c r="W178" s="590" t="str" cm="1">
        <f t="array" ref="W178">RIGHT(M178,1)</f>
        <v>L</v>
      </c>
      <c r="X178" s="590" t="str" cm="1">
        <f t="array" ref="X178">RIGHT(N178,1)</f>
        <v>K</v>
      </c>
      <c r="Y178" s="708" cm="1">
        <f t="array" ref="Y178">COUNTIF($AA$2:$AA$9,Q178)+COUNTIF($AA$2:$AA$9,R178)+COUNTIF($AA$2:$AA$9,S178)+COUNTIF($AA$2:$AA$9,T178)+COUNTIF($AA$2:$AA$9,U178)+COUNTIF($AA$2:$AA$9,V178)+COUNTIF($AA$2:$AA$9,W178)+COUNTIF($AA$2:$AA$9,X178)</f>
        <v>5</v>
      </c>
      <c r="Z178" s="589"/>
      <c r="AA178" s="589"/>
      <c r="AB178" s="589"/>
      <c r="AC178" s="589"/>
      <c r="AD178" s="589"/>
      <c r="AE178" s="589"/>
      <c r="AF178" s="589"/>
      <c r="AG178" s="589"/>
      <c r="AH178" s="589"/>
      <c r="AI178" s="589"/>
      <c r="AJ178" s="589"/>
      <c r="AK178" s="589"/>
      <c r="AL178" s="589"/>
      <c r="AM178" s="589"/>
      <c r="AN178" s="589"/>
      <c r="AO178" s="589"/>
      <c r="AP178" s="589"/>
      <c r="AQ178" s="589"/>
      <c r="AR178" s="589"/>
      <c r="AS178" s="589"/>
      <c r="AT178" s="589"/>
      <c r="AU178" s="589"/>
      <c r="AV178" s="589"/>
      <c r="AW178" s="589"/>
      <c r="AX178" s="589"/>
      <c r="AY178" s="589"/>
      <c r="AZ178" s="589"/>
      <c r="BA178" s="589"/>
      <c r="BB178" s="589"/>
      <c r="BC178" s="589"/>
      <c r="BD178" s="589"/>
      <c r="BE178" s="589"/>
      <c r="BF178" s="589"/>
      <c r="BG178" s="589"/>
      <c r="BH178" s="589"/>
      <c r="BI178" s="589"/>
      <c r="BJ178" s="589"/>
      <c r="BK178" s="589"/>
      <c r="BL178" s="589"/>
    </row>
    <row r="179" spans="1:64" ht="14.25" customHeight="1">
      <c r="A179" s="691" t="s">
        <v>516</v>
      </c>
      <c r="B179" s="589"/>
      <c r="C179" s="589"/>
      <c r="D179" s="589"/>
      <c r="E179" s="589"/>
      <c r="F179" s="591">
        <v>178</v>
      </c>
      <c r="G179" s="691" t="s">
        <v>197</v>
      </c>
      <c r="H179" s="691" t="s">
        <v>187</v>
      </c>
      <c r="I179" s="691" t="s">
        <v>207</v>
      </c>
      <c r="J179" s="691" t="s">
        <v>157</v>
      </c>
      <c r="K179" s="691" t="s">
        <v>125</v>
      </c>
      <c r="L179" s="691" t="s">
        <v>177</v>
      </c>
      <c r="M179" s="691" t="s">
        <v>237</v>
      </c>
      <c r="N179" s="691" t="s">
        <v>227</v>
      </c>
      <c r="O179" s="589"/>
      <c r="P179" s="717" cm="1">
        <f t="array" ref="P179">F179</f>
        <v>178</v>
      </c>
      <c r="Q179" s="620" t="str" cm="1">
        <f t="array" ref="Q179">RIGHT(G179,1)</f>
        <v>H</v>
      </c>
      <c r="R179" s="590" t="str" cm="1">
        <f t="array" ref="R179">RIGHT(H179,1)</f>
        <v>G</v>
      </c>
      <c r="S179" s="590" t="str" cm="1">
        <f t="array" ref="S179">RIGHT(I179,1)</f>
        <v>I</v>
      </c>
      <c r="T179" s="590" t="str" cm="1">
        <f t="array" ref="T179">RIGHT(J179,1)</f>
        <v>D</v>
      </c>
      <c r="U179" s="590" t="str" cm="1">
        <f t="array" ref="U179">RIGHT(K179,1)</f>
        <v>A</v>
      </c>
      <c r="V179" s="590" t="str" cm="1">
        <f t="array" ref="V179">RIGHT(L179,1)</f>
        <v>F</v>
      </c>
      <c r="W179" s="590" t="str" cm="1">
        <f t="array" ref="W179">RIGHT(M179,1)</f>
        <v>L</v>
      </c>
      <c r="X179" s="590" t="str" cm="1">
        <f t="array" ref="X179">RIGHT(N179,1)</f>
        <v>K</v>
      </c>
      <c r="Y179" s="708" cm="1">
        <f t="array" ref="Y179">COUNTIF($AA$2:$AA$9,Q179)+COUNTIF($AA$2:$AA$9,R179)+COUNTIF($AA$2:$AA$9,S179)+COUNTIF($AA$2:$AA$9,T179)+COUNTIF($AA$2:$AA$9,U179)+COUNTIF($AA$2:$AA$9,V179)+COUNTIF($AA$2:$AA$9,W179)+COUNTIF($AA$2:$AA$9,X179)</f>
        <v>5</v>
      </c>
      <c r="Z179" s="589"/>
      <c r="AA179" s="589"/>
      <c r="AB179" s="589"/>
      <c r="AC179" s="589"/>
      <c r="AD179" s="589"/>
      <c r="AE179" s="589"/>
      <c r="AF179" s="589"/>
      <c r="AG179" s="589"/>
      <c r="AH179" s="589"/>
      <c r="AI179" s="589"/>
      <c r="AJ179" s="589"/>
      <c r="AK179" s="589"/>
      <c r="AL179" s="589"/>
      <c r="AM179" s="589"/>
      <c r="AN179" s="589"/>
      <c r="AO179" s="589"/>
      <c r="AP179" s="589"/>
      <c r="AQ179" s="589"/>
      <c r="AR179" s="589"/>
      <c r="AS179" s="589"/>
      <c r="AT179" s="589"/>
      <c r="AU179" s="589"/>
      <c r="AV179" s="589"/>
      <c r="AW179" s="589"/>
      <c r="AX179" s="589"/>
      <c r="AY179" s="589"/>
      <c r="AZ179" s="589"/>
      <c r="BA179" s="589"/>
      <c r="BB179" s="589"/>
      <c r="BC179" s="589"/>
      <c r="BD179" s="589"/>
      <c r="BE179" s="589"/>
      <c r="BF179" s="589"/>
      <c r="BG179" s="589"/>
      <c r="BH179" s="589"/>
      <c r="BI179" s="589"/>
      <c r="BJ179" s="589"/>
      <c r="BK179" s="589"/>
      <c r="BL179" s="589"/>
    </row>
    <row r="180" spans="1:64" ht="14.25" customHeight="1">
      <c r="A180" s="691" t="s">
        <v>517</v>
      </c>
      <c r="B180" s="589"/>
      <c r="C180" s="589"/>
      <c r="D180" s="589"/>
      <c r="E180" s="589"/>
      <c r="F180" s="591">
        <v>179</v>
      </c>
      <c r="G180" s="691" t="s">
        <v>197</v>
      </c>
      <c r="H180" s="691" t="s">
        <v>187</v>
      </c>
      <c r="I180" s="691" t="s">
        <v>217</v>
      </c>
      <c r="J180" s="691" t="s">
        <v>157</v>
      </c>
      <c r="K180" s="691" t="s">
        <v>125</v>
      </c>
      <c r="L180" s="691" t="s">
        <v>177</v>
      </c>
      <c r="M180" s="691" t="s">
        <v>237</v>
      </c>
      <c r="N180" s="691" t="s">
        <v>207</v>
      </c>
      <c r="O180" s="589"/>
      <c r="P180" s="717" cm="1">
        <f t="array" ref="P180">F180</f>
        <v>179</v>
      </c>
      <c r="Q180" s="620" t="str" cm="1">
        <f t="array" ref="Q180">RIGHT(G180,1)</f>
        <v>H</v>
      </c>
      <c r="R180" s="590" t="str" cm="1">
        <f t="array" ref="R180">RIGHT(H180,1)</f>
        <v>G</v>
      </c>
      <c r="S180" s="590" t="str" cm="1">
        <f t="array" ref="S180">RIGHT(I180,1)</f>
        <v>J</v>
      </c>
      <c r="T180" s="590" t="str" cm="1">
        <f t="array" ref="T180">RIGHT(J180,1)</f>
        <v>D</v>
      </c>
      <c r="U180" s="590" t="str" cm="1">
        <f t="array" ref="U180">RIGHT(K180,1)</f>
        <v>A</v>
      </c>
      <c r="V180" s="590" t="str" cm="1">
        <f t="array" ref="V180">RIGHT(L180,1)</f>
        <v>F</v>
      </c>
      <c r="W180" s="590" t="str" cm="1">
        <f t="array" ref="W180">RIGHT(M180,1)</f>
        <v>L</v>
      </c>
      <c r="X180" s="590" t="str" cm="1">
        <f t="array" ref="X180">RIGHT(N180,1)</f>
        <v>I</v>
      </c>
      <c r="Y180" s="708" cm="1">
        <f t="array" ref="Y180">COUNTIF($AA$2:$AA$9,Q180)+COUNTIF($AA$2:$AA$9,R180)+COUNTIF($AA$2:$AA$9,S180)+COUNTIF($AA$2:$AA$9,T180)+COUNTIF($AA$2:$AA$9,U180)+COUNTIF($AA$2:$AA$9,V180)+COUNTIF($AA$2:$AA$9,W180)+COUNTIF($AA$2:$AA$9,X180)</f>
        <v>6</v>
      </c>
      <c r="Z180" s="589"/>
      <c r="AA180" s="589"/>
      <c r="AB180" s="589"/>
      <c r="AC180" s="589"/>
      <c r="AD180" s="589"/>
      <c r="AE180" s="589"/>
      <c r="AF180" s="589"/>
      <c r="AG180" s="589"/>
      <c r="AH180" s="589"/>
      <c r="AI180" s="589"/>
      <c r="AJ180" s="589"/>
      <c r="AK180" s="589"/>
      <c r="AL180" s="589"/>
      <c r="AM180" s="589"/>
      <c r="AN180" s="589"/>
      <c r="AO180" s="589"/>
      <c r="AP180" s="589"/>
      <c r="AQ180" s="589"/>
      <c r="AR180" s="589"/>
      <c r="AS180" s="589"/>
      <c r="AT180" s="589"/>
      <c r="AU180" s="589"/>
      <c r="AV180" s="589"/>
      <c r="AW180" s="589"/>
      <c r="AX180" s="589"/>
      <c r="AY180" s="589"/>
      <c r="AZ180" s="589"/>
      <c r="BA180" s="589"/>
      <c r="BB180" s="589"/>
      <c r="BC180" s="589"/>
      <c r="BD180" s="589"/>
      <c r="BE180" s="589"/>
      <c r="BF180" s="589"/>
      <c r="BG180" s="589"/>
      <c r="BH180" s="589"/>
      <c r="BI180" s="589"/>
      <c r="BJ180" s="589"/>
      <c r="BK180" s="589"/>
      <c r="BL180" s="589"/>
    </row>
    <row r="181" spans="1:64" ht="14.25" customHeight="1">
      <c r="A181" s="691" t="s">
        <v>518</v>
      </c>
      <c r="B181" s="589"/>
      <c r="C181" s="589"/>
      <c r="D181" s="589"/>
      <c r="E181" s="589"/>
      <c r="F181" s="591">
        <v>180</v>
      </c>
      <c r="G181" s="691" t="s">
        <v>197</v>
      </c>
      <c r="H181" s="691" t="s">
        <v>187</v>
      </c>
      <c r="I181" s="691" t="s">
        <v>217</v>
      </c>
      <c r="J181" s="691" t="s">
        <v>157</v>
      </c>
      <c r="K181" s="691" t="s">
        <v>125</v>
      </c>
      <c r="L181" s="691" t="s">
        <v>177</v>
      </c>
      <c r="M181" s="691" t="s">
        <v>207</v>
      </c>
      <c r="N181" s="691" t="s">
        <v>227</v>
      </c>
      <c r="O181" s="589"/>
      <c r="P181" s="717" cm="1">
        <f t="array" ref="P181">F181</f>
        <v>180</v>
      </c>
      <c r="Q181" s="620" t="str" cm="1">
        <f t="array" ref="Q181">RIGHT(G181,1)</f>
        <v>H</v>
      </c>
      <c r="R181" s="590" t="str" cm="1">
        <f t="array" ref="R181">RIGHT(H181,1)</f>
        <v>G</v>
      </c>
      <c r="S181" s="590" t="str" cm="1">
        <f t="array" ref="S181">RIGHT(I181,1)</f>
        <v>J</v>
      </c>
      <c r="T181" s="590" t="str" cm="1">
        <f t="array" ref="T181">RIGHT(J181,1)</f>
        <v>D</v>
      </c>
      <c r="U181" s="590" t="str" cm="1">
        <f t="array" ref="U181">RIGHT(K181,1)</f>
        <v>A</v>
      </c>
      <c r="V181" s="590" t="str" cm="1">
        <f t="array" ref="V181">RIGHT(L181,1)</f>
        <v>F</v>
      </c>
      <c r="W181" s="590" t="str" cm="1">
        <f t="array" ref="W181">RIGHT(M181,1)</f>
        <v>I</v>
      </c>
      <c r="X181" s="590" t="str" cm="1">
        <f t="array" ref="X181">RIGHT(N181,1)</f>
        <v>K</v>
      </c>
      <c r="Y181" s="708" cm="1">
        <f t="array" ref="Y181">COUNTIF($AA$2:$AA$9,Q181)+COUNTIF($AA$2:$AA$9,R181)+COUNTIF($AA$2:$AA$9,S181)+COUNTIF($AA$2:$AA$9,T181)+COUNTIF($AA$2:$AA$9,U181)+COUNTIF($AA$2:$AA$9,V181)+COUNTIF($AA$2:$AA$9,W181)+COUNTIF($AA$2:$AA$9,X181)</f>
        <v>5</v>
      </c>
      <c r="Z181" s="589"/>
      <c r="AA181" s="589"/>
      <c r="AB181" s="589"/>
      <c r="AC181" s="589"/>
      <c r="AD181" s="589"/>
      <c r="AE181" s="589"/>
      <c r="AF181" s="589"/>
      <c r="AG181" s="589"/>
      <c r="AH181" s="589"/>
      <c r="AI181" s="589"/>
      <c r="AJ181" s="589"/>
      <c r="AK181" s="589"/>
      <c r="AL181" s="589"/>
      <c r="AM181" s="589"/>
      <c r="AN181" s="589"/>
      <c r="AO181" s="589"/>
      <c r="AP181" s="589"/>
      <c r="AQ181" s="589"/>
      <c r="AR181" s="589"/>
      <c r="AS181" s="589"/>
      <c r="AT181" s="589"/>
      <c r="AU181" s="589"/>
      <c r="AV181" s="589"/>
      <c r="AW181" s="589"/>
      <c r="AX181" s="589"/>
      <c r="AY181" s="589"/>
      <c r="AZ181" s="589"/>
      <c r="BA181" s="589"/>
      <c r="BB181" s="589"/>
      <c r="BC181" s="589"/>
      <c r="BD181" s="589"/>
      <c r="BE181" s="589"/>
      <c r="BF181" s="589"/>
      <c r="BG181" s="589"/>
      <c r="BH181" s="589"/>
      <c r="BI181" s="589"/>
      <c r="BJ181" s="589"/>
      <c r="BK181" s="589"/>
      <c r="BL181" s="589"/>
    </row>
    <row r="182" spans="1:64" ht="14.25" customHeight="1">
      <c r="A182" s="691" t="s">
        <v>519</v>
      </c>
      <c r="B182" s="589"/>
      <c r="C182" s="589"/>
      <c r="D182" s="589"/>
      <c r="E182" s="589"/>
      <c r="F182" s="591">
        <v>181</v>
      </c>
      <c r="G182" s="691" t="s">
        <v>167</v>
      </c>
      <c r="H182" s="691" t="s">
        <v>217</v>
      </c>
      <c r="I182" s="691" t="s">
        <v>207</v>
      </c>
      <c r="J182" s="691" t="s">
        <v>157</v>
      </c>
      <c r="K182" s="691" t="s">
        <v>125</v>
      </c>
      <c r="L182" s="691" t="s">
        <v>197</v>
      </c>
      <c r="M182" s="691" t="s">
        <v>237</v>
      </c>
      <c r="N182" s="691" t="s">
        <v>227</v>
      </c>
      <c r="O182" s="589"/>
      <c r="P182" s="717" cm="1">
        <f t="array" ref="P182">F182</f>
        <v>181</v>
      </c>
      <c r="Q182" s="620" t="str" cm="1">
        <f t="array" ref="Q182">RIGHT(G182,1)</f>
        <v>E</v>
      </c>
      <c r="R182" s="590" t="str" cm="1">
        <f t="array" ref="R182">RIGHT(H182,1)</f>
        <v>J</v>
      </c>
      <c r="S182" s="590" t="str" cm="1">
        <f t="array" ref="S182">RIGHT(I182,1)</f>
        <v>I</v>
      </c>
      <c r="T182" s="590" t="str" cm="1">
        <f t="array" ref="T182">RIGHT(J182,1)</f>
        <v>D</v>
      </c>
      <c r="U182" s="590" t="str" cm="1">
        <f t="array" ref="U182">RIGHT(K182,1)</f>
        <v>A</v>
      </c>
      <c r="V182" s="590" t="str" cm="1">
        <f t="array" ref="V182">RIGHT(L182,1)</f>
        <v>H</v>
      </c>
      <c r="W182" s="590" t="str" cm="1">
        <f t="array" ref="W182">RIGHT(M182,1)</f>
        <v>L</v>
      </c>
      <c r="X182" s="590" t="str" cm="1">
        <f t="array" ref="X182">RIGHT(N182,1)</f>
        <v>K</v>
      </c>
      <c r="Y182" s="708" cm="1">
        <f t="array" ref="Y182">COUNTIF($AA$2:$AA$9,Q182)+COUNTIF($AA$2:$AA$9,R182)+COUNTIF($AA$2:$AA$9,S182)+COUNTIF($AA$2:$AA$9,T182)+COUNTIF($AA$2:$AA$9,U182)+COUNTIF($AA$2:$AA$9,V182)+COUNTIF($AA$2:$AA$9,W182)+COUNTIF($AA$2:$AA$9,X182)</f>
        <v>6</v>
      </c>
      <c r="Z182" s="589"/>
      <c r="AA182" s="589"/>
      <c r="AB182" s="589"/>
      <c r="AC182" s="589"/>
      <c r="AD182" s="589"/>
      <c r="AE182" s="589"/>
      <c r="AF182" s="589"/>
      <c r="AG182" s="589"/>
      <c r="AH182" s="589"/>
      <c r="AI182" s="589"/>
      <c r="AJ182" s="589"/>
      <c r="AK182" s="589"/>
      <c r="AL182" s="589"/>
      <c r="AM182" s="589"/>
      <c r="AN182" s="589"/>
      <c r="AO182" s="589"/>
      <c r="AP182" s="589"/>
      <c r="AQ182" s="589"/>
      <c r="AR182" s="589"/>
      <c r="AS182" s="589"/>
      <c r="AT182" s="589"/>
      <c r="AU182" s="589"/>
      <c r="AV182" s="589"/>
      <c r="AW182" s="589"/>
      <c r="AX182" s="589"/>
      <c r="AY182" s="589"/>
      <c r="AZ182" s="589"/>
      <c r="BA182" s="589"/>
      <c r="BB182" s="589"/>
      <c r="BC182" s="589"/>
      <c r="BD182" s="589"/>
      <c r="BE182" s="589"/>
      <c r="BF182" s="589"/>
      <c r="BG182" s="589"/>
      <c r="BH182" s="589"/>
      <c r="BI182" s="589"/>
      <c r="BJ182" s="589"/>
      <c r="BK182" s="589"/>
      <c r="BL182" s="589"/>
    </row>
    <row r="183" spans="1:64" ht="14.25" customHeight="1">
      <c r="A183" s="691" t="s">
        <v>520</v>
      </c>
      <c r="B183" s="589"/>
      <c r="C183" s="589"/>
      <c r="D183" s="589"/>
      <c r="E183" s="589"/>
      <c r="F183" s="591">
        <v>182</v>
      </c>
      <c r="G183" s="691" t="s">
        <v>167</v>
      </c>
      <c r="H183" s="691" t="s">
        <v>217</v>
      </c>
      <c r="I183" s="691" t="s">
        <v>207</v>
      </c>
      <c r="J183" s="691" t="s">
        <v>157</v>
      </c>
      <c r="K183" s="691" t="s">
        <v>125</v>
      </c>
      <c r="L183" s="691" t="s">
        <v>187</v>
      </c>
      <c r="M183" s="691" t="s">
        <v>237</v>
      </c>
      <c r="N183" s="691" t="s">
        <v>227</v>
      </c>
      <c r="O183" s="589"/>
      <c r="P183" s="717" cm="1">
        <f t="array" ref="P183">F183</f>
        <v>182</v>
      </c>
      <c r="Q183" s="620" t="str" cm="1">
        <f t="array" ref="Q183">RIGHT(G183,1)</f>
        <v>E</v>
      </c>
      <c r="R183" s="590" t="str" cm="1">
        <f t="array" ref="R183">RIGHT(H183,1)</f>
        <v>J</v>
      </c>
      <c r="S183" s="590" t="str" cm="1">
        <f t="array" ref="S183">RIGHT(I183,1)</f>
        <v>I</v>
      </c>
      <c r="T183" s="590" t="str" cm="1">
        <f t="array" ref="T183">RIGHT(J183,1)</f>
        <v>D</v>
      </c>
      <c r="U183" s="590" t="str" cm="1">
        <f t="array" ref="U183">RIGHT(K183,1)</f>
        <v>A</v>
      </c>
      <c r="V183" s="590" t="str" cm="1">
        <f t="array" ref="V183">RIGHT(L183,1)</f>
        <v>G</v>
      </c>
      <c r="W183" s="590" t="str" cm="1">
        <f t="array" ref="W183">RIGHT(M183,1)</f>
        <v>L</v>
      </c>
      <c r="X183" s="590" t="str" cm="1">
        <f t="array" ref="X183">RIGHT(N183,1)</f>
        <v>K</v>
      </c>
      <c r="Y183" s="708" cm="1">
        <f t="array" ref="Y183">COUNTIF($AA$2:$AA$9,Q183)+COUNTIF($AA$2:$AA$9,R183)+COUNTIF($AA$2:$AA$9,S183)+COUNTIF($AA$2:$AA$9,T183)+COUNTIF($AA$2:$AA$9,U183)+COUNTIF($AA$2:$AA$9,V183)+COUNTIF($AA$2:$AA$9,W183)+COUNTIF($AA$2:$AA$9,X183)</f>
        <v>6</v>
      </c>
      <c r="Z183" s="589"/>
      <c r="AA183" s="589"/>
      <c r="AB183" s="589"/>
      <c r="AC183" s="589"/>
      <c r="AD183" s="589"/>
      <c r="AE183" s="589"/>
      <c r="AF183" s="589"/>
      <c r="AG183" s="589"/>
      <c r="AH183" s="589"/>
      <c r="AI183" s="589"/>
      <c r="AJ183" s="589"/>
      <c r="AK183" s="589"/>
      <c r="AL183" s="589"/>
      <c r="AM183" s="589"/>
      <c r="AN183" s="589"/>
      <c r="AO183" s="589"/>
      <c r="AP183" s="589"/>
      <c r="AQ183" s="589"/>
      <c r="AR183" s="589"/>
      <c r="AS183" s="589"/>
      <c r="AT183" s="589"/>
      <c r="AU183" s="589"/>
      <c r="AV183" s="589"/>
      <c r="AW183" s="589"/>
      <c r="AX183" s="589"/>
      <c r="AY183" s="589"/>
      <c r="AZ183" s="589"/>
      <c r="BA183" s="589"/>
      <c r="BB183" s="589"/>
      <c r="BC183" s="589"/>
      <c r="BD183" s="589"/>
      <c r="BE183" s="589"/>
      <c r="BF183" s="589"/>
      <c r="BG183" s="589"/>
      <c r="BH183" s="589"/>
      <c r="BI183" s="589"/>
      <c r="BJ183" s="589"/>
      <c r="BK183" s="589"/>
      <c r="BL183" s="589"/>
    </row>
    <row r="184" spans="1:64" ht="14.25" customHeight="1">
      <c r="A184" s="691" t="s">
        <v>521</v>
      </c>
      <c r="B184" s="589"/>
      <c r="C184" s="589"/>
      <c r="D184" s="589"/>
      <c r="E184" s="589"/>
      <c r="F184" s="591">
        <v>183</v>
      </c>
      <c r="G184" s="691" t="s">
        <v>167</v>
      </c>
      <c r="H184" s="691" t="s">
        <v>187</v>
      </c>
      <c r="I184" s="691" t="s">
        <v>217</v>
      </c>
      <c r="J184" s="691" t="s">
        <v>157</v>
      </c>
      <c r="K184" s="691" t="s">
        <v>125</v>
      </c>
      <c r="L184" s="691" t="s">
        <v>197</v>
      </c>
      <c r="M184" s="691" t="s">
        <v>237</v>
      </c>
      <c r="N184" s="691" t="s">
        <v>227</v>
      </c>
      <c r="O184" s="589"/>
      <c r="P184" s="717" cm="1">
        <f t="array" ref="P184">F184</f>
        <v>183</v>
      </c>
      <c r="Q184" s="620" t="str" cm="1">
        <f t="array" ref="Q184">RIGHT(G184,1)</f>
        <v>E</v>
      </c>
      <c r="R184" s="590" t="str" cm="1">
        <f t="array" ref="R184">RIGHT(H184,1)</f>
        <v>G</v>
      </c>
      <c r="S184" s="590" t="str" cm="1">
        <f t="array" ref="S184">RIGHT(I184,1)</f>
        <v>J</v>
      </c>
      <c r="T184" s="590" t="str" cm="1">
        <f t="array" ref="T184">RIGHT(J184,1)</f>
        <v>D</v>
      </c>
      <c r="U184" s="590" t="str" cm="1">
        <f t="array" ref="U184">RIGHT(K184,1)</f>
        <v>A</v>
      </c>
      <c r="V184" s="590" t="str" cm="1">
        <f t="array" ref="V184">RIGHT(L184,1)</f>
        <v>H</v>
      </c>
      <c r="W184" s="590" t="str" cm="1">
        <f t="array" ref="W184">RIGHT(M184,1)</f>
        <v>L</v>
      </c>
      <c r="X184" s="590" t="str" cm="1">
        <f t="array" ref="X184">RIGHT(N184,1)</f>
        <v>K</v>
      </c>
      <c r="Y184" s="708" cm="1">
        <f t="array" ref="Y184">COUNTIF($AA$2:$AA$9,Q184)+COUNTIF($AA$2:$AA$9,R184)+COUNTIF($AA$2:$AA$9,S184)+COUNTIF($AA$2:$AA$9,T184)+COUNTIF($AA$2:$AA$9,U184)+COUNTIF($AA$2:$AA$9,V184)+COUNTIF($AA$2:$AA$9,W184)+COUNTIF($AA$2:$AA$9,X184)</f>
        <v>5</v>
      </c>
      <c r="Z184" s="589"/>
      <c r="AA184" s="589"/>
      <c r="AB184" s="589"/>
      <c r="AC184" s="589"/>
      <c r="AD184" s="589"/>
      <c r="AE184" s="589"/>
      <c r="AF184" s="589"/>
      <c r="AG184" s="589"/>
      <c r="AH184" s="589"/>
      <c r="AI184" s="589"/>
      <c r="AJ184" s="589"/>
      <c r="AK184" s="589"/>
      <c r="AL184" s="589"/>
      <c r="AM184" s="589"/>
      <c r="AN184" s="589"/>
      <c r="AO184" s="589"/>
      <c r="AP184" s="589"/>
      <c r="AQ184" s="589"/>
      <c r="AR184" s="589"/>
      <c r="AS184" s="589"/>
      <c r="AT184" s="589"/>
      <c r="AU184" s="589"/>
      <c r="AV184" s="589"/>
      <c r="AW184" s="589"/>
      <c r="AX184" s="589"/>
      <c r="AY184" s="589"/>
      <c r="AZ184" s="589"/>
      <c r="BA184" s="589"/>
      <c r="BB184" s="589"/>
      <c r="BC184" s="589"/>
      <c r="BD184" s="589"/>
      <c r="BE184" s="589"/>
      <c r="BF184" s="589"/>
      <c r="BG184" s="589"/>
      <c r="BH184" s="589"/>
      <c r="BI184" s="589"/>
      <c r="BJ184" s="589"/>
      <c r="BK184" s="589"/>
      <c r="BL184" s="589"/>
    </row>
    <row r="185" spans="1:64" ht="14.25" customHeight="1">
      <c r="A185" s="691" t="s">
        <v>522</v>
      </c>
      <c r="B185" s="589"/>
      <c r="C185" s="589"/>
      <c r="D185" s="589"/>
      <c r="E185" s="589"/>
      <c r="F185" s="591">
        <v>184</v>
      </c>
      <c r="G185" s="691" t="s">
        <v>167</v>
      </c>
      <c r="H185" s="691" t="s">
        <v>187</v>
      </c>
      <c r="I185" s="691" t="s">
        <v>207</v>
      </c>
      <c r="J185" s="691" t="s">
        <v>157</v>
      </c>
      <c r="K185" s="691" t="s">
        <v>125</v>
      </c>
      <c r="L185" s="691" t="s">
        <v>197</v>
      </c>
      <c r="M185" s="691" t="s">
        <v>237</v>
      </c>
      <c r="N185" s="691" t="s">
        <v>227</v>
      </c>
      <c r="O185" s="589"/>
      <c r="P185" s="717" cm="1">
        <f t="array" ref="P185">F185</f>
        <v>184</v>
      </c>
      <c r="Q185" s="620" t="str" cm="1">
        <f t="array" ref="Q185">RIGHT(G185,1)</f>
        <v>E</v>
      </c>
      <c r="R185" s="590" t="str" cm="1">
        <f t="array" ref="R185">RIGHT(H185,1)</f>
        <v>G</v>
      </c>
      <c r="S185" s="590" t="str" cm="1">
        <f t="array" ref="S185">RIGHT(I185,1)</f>
        <v>I</v>
      </c>
      <c r="T185" s="590" t="str" cm="1">
        <f t="array" ref="T185">RIGHT(J185,1)</f>
        <v>D</v>
      </c>
      <c r="U185" s="590" t="str" cm="1">
        <f t="array" ref="U185">RIGHT(K185,1)</f>
        <v>A</v>
      </c>
      <c r="V185" s="590" t="str" cm="1">
        <f t="array" ref="V185">RIGHT(L185,1)</f>
        <v>H</v>
      </c>
      <c r="W185" s="590" t="str" cm="1">
        <f t="array" ref="W185">RIGHT(M185,1)</f>
        <v>L</v>
      </c>
      <c r="X185" s="590" t="str" cm="1">
        <f t="array" ref="X185">RIGHT(N185,1)</f>
        <v>K</v>
      </c>
      <c r="Y185" s="708" cm="1">
        <f t="array" ref="Y185">COUNTIF($AA$2:$AA$9,Q185)+COUNTIF($AA$2:$AA$9,R185)+COUNTIF($AA$2:$AA$9,S185)+COUNTIF($AA$2:$AA$9,T185)+COUNTIF($AA$2:$AA$9,U185)+COUNTIF($AA$2:$AA$9,V185)+COUNTIF($AA$2:$AA$9,W185)+COUNTIF($AA$2:$AA$9,X185)</f>
        <v>5</v>
      </c>
      <c r="Z185" s="589"/>
      <c r="AA185" s="589"/>
      <c r="AB185" s="589"/>
      <c r="AC185" s="589"/>
      <c r="AD185" s="589"/>
      <c r="AE185" s="589"/>
      <c r="AF185" s="589"/>
      <c r="AG185" s="589"/>
      <c r="AH185" s="589"/>
      <c r="AI185" s="589"/>
      <c r="AJ185" s="589"/>
      <c r="AK185" s="589"/>
      <c r="AL185" s="589"/>
      <c r="AM185" s="589"/>
      <c r="AN185" s="589"/>
      <c r="AO185" s="589"/>
      <c r="AP185" s="589"/>
      <c r="AQ185" s="589"/>
      <c r="AR185" s="589"/>
      <c r="AS185" s="589"/>
      <c r="AT185" s="589"/>
      <c r="AU185" s="589"/>
      <c r="AV185" s="589"/>
      <c r="AW185" s="589"/>
      <c r="AX185" s="589"/>
      <c r="AY185" s="589"/>
      <c r="AZ185" s="589"/>
      <c r="BA185" s="589"/>
      <c r="BB185" s="589"/>
      <c r="BC185" s="589"/>
      <c r="BD185" s="589"/>
      <c r="BE185" s="589"/>
      <c r="BF185" s="589"/>
      <c r="BG185" s="589"/>
      <c r="BH185" s="589"/>
      <c r="BI185" s="589"/>
      <c r="BJ185" s="589"/>
      <c r="BK185" s="589"/>
      <c r="BL185" s="589"/>
    </row>
    <row r="186" spans="1:64" ht="14.25" customHeight="1">
      <c r="A186" s="691" t="s">
        <v>523</v>
      </c>
      <c r="B186" s="589"/>
      <c r="C186" s="589"/>
      <c r="D186" s="589"/>
      <c r="E186" s="589"/>
      <c r="F186" s="591">
        <v>185</v>
      </c>
      <c r="G186" s="691" t="s">
        <v>167</v>
      </c>
      <c r="H186" s="691" t="s">
        <v>187</v>
      </c>
      <c r="I186" s="691" t="s">
        <v>217</v>
      </c>
      <c r="J186" s="691" t="s">
        <v>157</v>
      </c>
      <c r="K186" s="691" t="s">
        <v>125</v>
      </c>
      <c r="L186" s="691" t="s">
        <v>197</v>
      </c>
      <c r="M186" s="691" t="s">
        <v>237</v>
      </c>
      <c r="N186" s="691" t="s">
        <v>207</v>
      </c>
      <c r="O186" s="589"/>
      <c r="P186" s="717" cm="1">
        <f t="array" ref="P186">F186</f>
        <v>185</v>
      </c>
      <c r="Q186" s="620" t="str" cm="1">
        <f t="array" ref="Q186">RIGHT(G186,1)</f>
        <v>E</v>
      </c>
      <c r="R186" s="590" t="str" cm="1">
        <f t="array" ref="R186">RIGHT(H186,1)</f>
        <v>G</v>
      </c>
      <c r="S186" s="590" t="str" cm="1">
        <f t="array" ref="S186">RIGHT(I186,1)</f>
        <v>J</v>
      </c>
      <c r="T186" s="590" t="str" cm="1">
        <f t="array" ref="T186">RIGHT(J186,1)</f>
        <v>D</v>
      </c>
      <c r="U186" s="590" t="str" cm="1">
        <f t="array" ref="U186">RIGHT(K186,1)</f>
        <v>A</v>
      </c>
      <c r="V186" s="590" t="str" cm="1">
        <f t="array" ref="V186">RIGHT(L186,1)</f>
        <v>H</v>
      </c>
      <c r="W186" s="590" t="str" cm="1">
        <f t="array" ref="W186">RIGHT(M186,1)</f>
        <v>L</v>
      </c>
      <c r="X186" s="590" t="str" cm="1">
        <f t="array" ref="X186">RIGHT(N186,1)</f>
        <v>I</v>
      </c>
      <c r="Y186" s="708" cm="1">
        <f t="array" ref="Y186">COUNTIF($AA$2:$AA$9,Q186)+COUNTIF($AA$2:$AA$9,R186)+COUNTIF($AA$2:$AA$9,S186)+COUNTIF($AA$2:$AA$9,T186)+COUNTIF($AA$2:$AA$9,U186)+COUNTIF($AA$2:$AA$9,V186)+COUNTIF($AA$2:$AA$9,W186)+COUNTIF($AA$2:$AA$9,X186)</f>
        <v>6</v>
      </c>
      <c r="Z186" s="589"/>
      <c r="AA186" s="589"/>
      <c r="AB186" s="589"/>
      <c r="AC186" s="589"/>
      <c r="AD186" s="589"/>
      <c r="AE186" s="589"/>
      <c r="AF186" s="589"/>
      <c r="AG186" s="589"/>
      <c r="AH186" s="589"/>
      <c r="AI186" s="589"/>
      <c r="AJ186" s="589"/>
      <c r="AK186" s="589"/>
      <c r="AL186" s="589"/>
      <c r="AM186" s="589"/>
      <c r="AN186" s="589"/>
      <c r="AO186" s="589"/>
      <c r="AP186" s="589"/>
      <c r="AQ186" s="589"/>
      <c r="AR186" s="589"/>
      <c r="AS186" s="589"/>
      <c r="AT186" s="589"/>
      <c r="AU186" s="589"/>
      <c r="AV186" s="589"/>
      <c r="AW186" s="589"/>
      <c r="AX186" s="589"/>
      <c r="AY186" s="589"/>
      <c r="AZ186" s="589"/>
      <c r="BA186" s="589"/>
      <c r="BB186" s="589"/>
      <c r="BC186" s="589"/>
      <c r="BD186" s="589"/>
      <c r="BE186" s="589"/>
      <c r="BF186" s="589"/>
      <c r="BG186" s="589"/>
      <c r="BH186" s="589"/>
      <c r="BI186" s="589"/>
      <c r="BJ186" s="589"/>
      <c r="BK186" s="589"/>
      <c r="BL186" s="589"/>
    </row>
    <row r="187" spans="1:64" ht="14.25" customHeight="1">
      <c r="A187" s="691" t="s">
        <v>524</v>
      </c>
      <c r="B187" s="589"/>
      <c r="C187" s="589"/>
      <c r="D187" s="589"/>
      <c r="E187" s="589"/>
      <c r="F187" s="591">
        <v>186</v>
      </c>
      <c r="G187" s="691" t="s">
        <v>167</v>
      </c>
      <c r="H187" s="691" t="s">
        <v>187</v>
      </c>
      <c r="I187" s="691" t="s">
        <v>217</v>
      </c>
      <c r="J187" s="691" t="s">
        <v>157</v>
      </c>
      <c r="K187" s="691" t="s">
        <v>125</v>
      </c>
      <c r="L187" s="691" t="s">
        <v>197</v>
      </c>
      <c r="M187" s="691" t="s">
        <v>207</v>
      </c>
      <c r="N187" s="691" t="s">
        <v>227</v>
      </c>
      <c r="O187" s="589"/>
      <c r="P187" s="717" cm="1">
        <f t="array" ref="P187">F187</f>
        <v>186</v>
      </c>
      <c r="Q187" s="620" t="str" cm="1">
        <f t="array" ref="Q187">RIGHT(G187,1)</f>
        <v>E</v>
      </c>
      <c r="R187" s="590" t="str" cm="1">
        <f t="array" ref="R187">RIGHT(H187,1)</f>
        <v>G</v>
      </c>
      <c r="S187" s="590" t="str" cm="1">
        <f t="array" ref="S187">RIGHT(I187,1)</f>
        <v>J</v>
      </c>
      <c r="T187" s="590" t="str" cm="1">
        <f t="array" ref="T187">RIGHT(J187,1)</f>
        <v>D</v>
      </c>
      <c r="U187" s="590" t="str" cm="1">
        <f t="array" ref="U187">RIGHT(K187,1)</f>
        <v>A</v>
      </c>
      <c r="V187" s="590" t="str" cm="1">
        <f t="array" ref="V187">RIGHT(L187,1)</f>
        <v>H</v>
      </c>
      <c r="W187" s="590" t="str" cm="1">
        <f t="array" ref="W187">RIGHT(M187,1)</f>
        <v>I</v>
      </c>
      <c r="X187" s="590" t="str" cm="1">
        <f t="array" ref="X187">RIGHT(N187,1)</f>
        <v>K</v>
      </c>
      <c r="Y187" s="708" cm="1">
        <f t="array" ref="Y187">COUNTIF($AA$2:$AA$9,Q187)+COUNTIF($AA$2:$AA$9,R187)+COUNTIF($AA$2:$AA$9,S187)+COUNTIF($AA$2:$AA$9,T187)+COUNTIF($AA$2:$AA$9,U187)+COUNTIF($AA$2:$AA$9,V187)+COUNTIF($AA$2:$AA$9,W187)+COUNTIF($AA$2:$AA$9,X187)</f>
        <v>5</v>
      </c>
      <c r="Z187" s="589"/>
      <c r="AA187" s="589"/>
      <c r="AB187" s="589"/>
      <c r="AC187" s="589"/>
      <c r="AD187" s="589"/>
      <c r="AE187" s="589"/>
      <c r="AF187" s="589"/>
      <c r="AG187" s="589"/>
      <c r="AH187" s="589"/>
      <c r="AI187" s="589"/>
      <c r="AJ187" s="589"/>
      <c r="AK187" s="589"/>
      <c r="AL187" s="589"/>
      <c r="AM187" s="589"/>
      <c r="AN187" s="589"/>
      <c r="AO187" s="589"/>
      <c r="AP187" s="589"/>
      <c r="AQ187" s="589"/>
      <c r="AR187" s="589"/>
      <c r="AS187" s="589"/>
      <c r="AT187" s="589"/>
      <c r="AU187" s="589"/>
      <c r="AV187" s="589"/>
      <c r="AW187" s="589"/>
      <c r="AX187" s="589"/>
      <c r="AY187" s="589"/>
      <c r="AZ187" s="589"/>
      <c r="BA187" s="589"/>
      <c r="BB187" s="589"/>
      <c r="BC187" s="589"/>
      <c r="BD187" s="589"/>
      <c r="BE187" s="589"/>
      <c r="BF187" s="589"/>
      <c r="BG187" s="589"/>
      <c r="BH187" s="589"/>
      <c r="BI187" s="589"/>
      <c r="BJ187" s="589"/>
      <c r="BK187" s="589"/>
      <c r="BL187" s="589"/>
    </row>
    <row r="188" spans="1:64" ht="14.25" customHeight="1">
      <c r="A188" s="691" t="s">
        <v>525</v>
      </c>
      <c r="B188" s="589"/>
      <c r="C188" s="589"/>
      <c r="D188" s="589"/>
      <c r="E188" s="589"/>
      <c r="F188" s="591">
        <v>187</v>
      </c>
      <c r="G188" s="691" t="s">
        <v>167</v>
      </c>
      <c r="H188" s="691" t="s">
        <v>217</v>
      </c>
      <c r="I188" s="691" t="s">
        <v>207</v>
      </c>
      <c r="J188" s="691" t="s">
        <v>157</v>
      </c>
      <c r="K188" s="691" t="s">
        <v>125</v>
      </c>
      <c r="L188" s="691" t="s">
        <v>177</v>
      </c>
      <c r="M188" s="691" t="s">
        <v>237</v>
      </c>
      <c r="N188" s="691" t="s">
        <v>227</v>
      </c>
      <c r="O188" s="589"/>
      <c r="P188" s="717" cm="1">
        <f t="array" ref="P188">F188</f>
        <v>187</v>
      </c>
      <c r="Q188" s="620" t="str" cm="1">
        <f t="array" ref="Q188">RIGHT(G188,1)</f>
        <v>E</v>
      </c>
      <c r="R188" s="590" t="str" cm="1">
        <f t="array" ref="R188">RIGHT(H188,1)</f>
        <v>J</v>
      </c>
      <c r="S188" s="590" t="str" cm="1">
        <f t="array" ref="S188">RIGHT(I188,1)</f>
        <v>I</v>
      </c>
      <c r="T188" s="590" t="str" cm="1">
        <f t="array" ref="T188">RIGHT(J188,1)</f>
        <v>D</v>
      </c>
      <c r="U188" s="590" t="str" cm="1">
        <f t="array" ref="U188">RIGHT(K188,1)</f>
        <v>A</v>
      </c>
      <c r="V188" s="590" t="str" cm="1">
        <f t="array" ref="V188">RIGHT(L188,1)</f>
        <v>F</v>
      </c>
      <c r="W188" s="590" t="str" cm="1">
        <f t="array" ref="W188">RIGHT(M188,1)</f>
        <v>L</v>
      </c>
      <c r="X188" s="590" t="str" cm="1">
        <f t="array" ref="X188">RIGHT(N188,1)</f>
        <v>K</v>
      </c>
      <c r="Y188" s="708" cm="1">
        <f t="array" ref="Y188">COUNTIF($AA$2:$AA$9,Q188)+COUNTIF($AA$2:$AA$9,R188)+COUNTIF($AA$2:$AA$9,S188)+COUNTIF($AA$2:$AA$9,T188)+COUNTIF($AA$2:$AA$9,U188)+COUNTIF($AA$2:$AA$9,V188)+COUNTIF($AA$2:$AA$9,W188)+COUNTIF($AA$2:$AA$9,X188)</f>
        <v>7</v>
      </c>
      <c r="Z188" s="589"/>
      <c r="AA188" s="589"/>
      <c r="AB188" s="589"/>
      <c r="AC188" s="589"/>
      <c r="AD188" s="589"/>
      <c r="AE188" s="589"/>
      <c r="AF188" s="589"/>
      <c r="AG188" s="589"/>
      <c r="AH188" s="589"/>
      <c r="AI188" s="589"/>
      <c r="AJ188" s="589"/>
      <c r="AK188" s="589"/>
      <c r="AL188" s="589"/>
      <c r="AM188" s="589"/>
      <c r="AN188" s="589"/>
      <c r="AO188" s="589"/>
      <c r="AP188" s="589"/>
      <c r="AQ188" s="589"/>
      <c r="AR188" s="589"/>
      <c r="AS188" s="589"/>
      <c r="AT188" s="589"/>
      <c r="AU188" s="589"/>
      <c r="AV188" s="589"/>
      <c r="AW188" s="589"/>
      <c r="AX188" s="589"/>
      <c r="AY188" s="589"/>
      <c r="AZ188" s="589"/>
      <c r="BA188" s="589"/>
      <c r="BB188" s="589"/>
      <c r="BC188" s="589"/>
      <c r="BD188" s="589"/>
      <c r="BE188" s="589"/>
      <c r="BF188" s="589"/>
      <c r="BG188" s="589"/>
      <c r="BH188" s="589"/>
      <c r="BI188" s="589"/>
      <c r="BJ188" s="589"/>
      <c r="BK188" s="589"/>
      <c r="BL188" s="589"/>
    </row>
    <row r="189" spans="1:64" ht="14.25" customHeight="1">
      <c r="A189" s="691" t="s">
        <v>526</v>
      </c>
      <c r="B189" s="589"/>
      <c r="C189" s="589"/>
      <c r="D189" s="589"/>
      <c r="E189" s="589"/>
      <c r="F189" s="591">
        <v>188</v>
      </c>
      <c r="G189" s="691" t="s">
        <v>197</v>
      </c>
      <c r="H189" s="691" t="s">
        <v>217</v>
      </c>
      <c r="I189" s="691" t="s">
        <v>167</v>
      </c>
      <c r="J189" s="691" t="s">
        <v>157</v>
      </c>
      <c r="K189" s="691" t="s">
        <v>125</v>
      </c>
      <c r="L189" s="691" t="s">
        <v>177</v>
      </c>
      <c r="M189" s="691" t="s">
        <v>237</v>
      </c>
      <c r="N189" s="691" t="s">
        <v>227</v>
      </c>
      <c r="O189" s="589"/>
      <c r="P189" s="717" cm="1">
        <f t="array" ref="P189">F189</f>
        <v>188</v>
      </c>
      <c r="Q189" s="620" t="str" cm="1">
        <f t="array" ref="Q189">RIGHT(G189,1)</f>
        <v>H</v>
      </c>
      <c r="R189" s="590" t="str" cm="1">
        <f t="array" ref="R189">RIGHT(H189,1)</f>
        <v>J</v>
      </c>
      <c r="S189" s="590" t="str" cm="1">
        <f t="array" ref="S189">RIGHT(I189,1)</f>
        <v>E</v>
      </c>
      <c r="T189" s="590" t="str" cm="1">
        <f t="array" ref="T189">RIGHT(J189,1)</f>
        <v>D</v>
      </c>
      <c r="U189" s="590" t="str" cm="1">
        <f t="array" ref="U189">RIGHT(K189,1)</f>
        <v>A</v>
      </c>
      <c r="V189" s="590" t="str" cm="1">
        <f t="array" ref="V189">RIGHT(L189,1)</f>
        <v>F</v>
      </c>
      <c r="W189" s="590" t="str" cm="1">
        <f t="array" ref="W189">RIGHT(M189,1)</f>
        <v>L</v>
      </c>
      <c r="X189" s="590" t="str" cm="1">
        <f t="array" ref="X189">RIGHT(N189,1)</f>
        <v>K</v>
      </c>
      <c r="Y189" s="708" cm="1">
        <f t="array" ref="Y189">COUNTIF($AA$2:$AA$9,Q189)+COUNTIF($AA$2:$AA$9,R189)+COUNTIF($AA$2:$AA$9,S189)+COUNTIF($AA$2:$AA$9,T189)+COUNTIF($AA$2:$AA$9,U189)+COUNTIF($AA$2:$AA$9,V189)+COUNTIF($AA$2:$AA$9,W189)+COUNTIF($AA$2:$AA$9,X189)</f>
        <v>6</v>
      </c>
      <c r="Z189" s="589"/>
      <c r="AA189" s="589"/>
      <c r="AB189" s="589"/>
      <c r="AC189" s="589"/>
      <c r="AD189" s="589"/>
      <c r="AE189" s="589"/>
      <c r="AF189" s="589"/>
      <c r="AG189" s="589"/>
      <c r="AH189" s="589"/>
      <c r="AI189" s="589"/>
      <c r="AJ189" s="589"/>
      <c r="AK189" s="589"/>
      <c r="AL189" s="589"/>
      <c r="AM189" s="589"/>
      <c r="AN189" s="589"/>
      <c r="AO189" s="589"/>
      <c r="AP189" s="589"/>
      <c r="AQ189" s="589"/>
      <c r="AR189" s="589"/>
      <c r="AS189" s="589"/>
      <c r="AT189" s="589"/>
      <c r="AU189" s="589"/>
      <c r="AV189" s="589"/>
      <c r="AW189" s="589"/>
      <c r="AX189" s="589"/>
      <c r="AY189" s="589"/>
      <c r="AZ189" s="589"/>
      <c r="BA189" s="589"/>
      <c r="BB189" s="589"/>
      <c r="BC189" s="589"/>
      <c r="BD189" s="589"/>
      <c r="BE189" s="589"/>
      <c r="BF189" s="589"/>
      <c r="BG189" s="589"/>
      <c r="BH189" s="589"/>
      <c r="BI189" s="589"/>
      <c r="BJ189" s="589"/>
      <c r="BK189" s="589"/>
      <c r="BL189" s="589"/>
    </row>
    <row r="190" spans="1:64" ht="14.25" customHeight="1">
      <c r="A190" s="691" t="s">
        <v>527</v>
      </c>
      <c r="B190" s="589"/>
      <c r="C190" s="589"/>
      <c r="D190" s="589"/>
      <c r="E190" s="589"/>
      <c r="F190" s="591">
        <v>189</v>
      </c>
      <c r="G190" s="691" t="s">
        <v>197</v>
      </c>
      <c r="H190" s="691" t="s">
        <v>167</v>
      </c>
      <c r="I190" s="691" t="s">
        <v>207</v>
      </c>
      <c r="J190" s="691" t="s">
        <v>157</v>
      </c>
      <c r="K190" s="691" t="s">
        <v>125</v>
      </c>
      <c r="L190" s="691" t="s">
        <v>177</v>
      </c>
      <c r="M190" s="691" t="s">
        <v>237</v>
      </c>
      <c r="N190" s="691" t="s">
        <v>227</v>
      </c>
      <c r="O190" s="589"/>
      <c r="P190" s="717" cm="1">
        <f t="array" ref="P190">F190</f>
        <v>189</v>
      </c>
      <c r="Q190" s="620" t="str" cm="1">
        <f t="array" ref="Q190">RIGHT(G190,1)</f>
        <v>H</v>
      </c>
      <c r="R190" s="590" t="str" cm="1">
        <f t="array" ref="R190">RIGHT(H190,1)</f>
        <v>E</v>
      </c>
      <c r="S190" s="590" t="str" cm="1">
        <f t="array" ref="S190">RIGHT(I190,1)</f>
        <v>I</v>
      </c>
      <c r="T190" s="590" t="str" cm="1">
        <f t="array" ref="T190">RIGHT(J190,1)</f>
        <v>D</v>
      </c>
      <c r="U190" s="590" t="str" cm="1">
        <f t="array" ref="U190">RIGHT(K190,1)</f>
        <v>A</v>
      </c>
      <c r="V190" s="590" t="str" cm="1">
        <f t="array" ref="V190">RIGHT(L190,1)</f>
        <v>F</v>
      </c>
      <c r="W190" s="590" t="str" cm="1">
        <f t="array" ref="W190">RIGHT(M190,1)</f>
        <v>L</v>
      </c>
      <c r="X190" s="590" t="str" cm="1">
        <f t="array" ref="X190">RIGHT(N190,1)</f>
        <v>K</v>
      </c>
      <c r="Y190" s="708" cm="1">
        <f t="array" ref="Y190">COUNTIF($AA$2:$AA$9,Q190)+COUNTIF($AA$2:$AA$9,R190)+COUNTIF($AA$2:$AA$9,S190)+COUNTIF($AA$2:$AA$9,T190)+COUNTIF($AA$2:$AA$9,U190)+COUNTIF($AA$2:$AA$9,V190)+COUNTIF($AA$2:$AA$9,W190)+COUNTIF($AA$2:$AA$9,X190)</f>
        <v>6</v>
      </c>
      <c r="Z190" s="589"/>
      <c r="AA190" s="589"/>
      <c r="AB190" s="589"/>
      <c r="AC190" s="589"/>
      <c r="AD190" s="589"/>
      <c r="AE190" s="589"/>
      <c r="AF190" s="589"/>
      <c r="AG190" s="589"/>
      <c r="AH190" s="589"/>
      <c r="AI190" s="589"/>
      <c r="AJ190" s="589"/>
      <c r="AK190" s="589"/>
      <c r="AL190" s="589"/>
      <c r="AM190" s="589"/>
      <c r="AN190" s="589"/>
      <c r="AO190" s="589"/>
      <c r="AP190" s="589"/>
      <c r="AQ190" s="589"/>
      <c r="AR190" s="589"/>
      <c r="AS190" s="589"/>
      <c r="AT190" s="589"/>
      <c r="AU190" s="589"/>
      <c r="AV190" s="589"/>
      <c r="AW190" s="589"/>
      <c r="AX190" s="589"/>
      <c r="AY190" s="589"/>
      <c r="AZ190" s="589"/>
      <c r="BA190" s="589"/>
      <c r="BB190" s="589"/>
      <c r="BC190" s="589"/>
      <c r="BD190" s="589"/>
      <c r="BE190" s="589"/>
      <c r="BF190" s="589"/>
      <c r="BG190" s="589"/>
      <c r="BH190" s="589"/>
      <c r="BI190" s="589"/>
      <c r="BJ190" s="589"/>
      <c r="BK190" s="589"/>
      <c r="BL190" s="589"/>
    </row>
    <row r="191" spans="1:64" ht="14.25" customHeight="1">
      <c r="A191" s="691" t="s">
        <v>528</v>
      </c>
      <c r="B191" s="589"/>
      <c r="C191" s="589"/>
      <c r="D191" s="589"/>
      <c r="E191" s="589"/>
      <c r="F191" s="591">
        <v>190</v>
      </c>
      <c r="G191" s="691" t="s">
        <v>197</v>
      </c>
      <c r="H191" s="691" t="s">
        <v>217</v>
      </c>
      <c r="I191" s="691" t="s">
        <v>167</v>
      </c>
      <c r="J191" s="691" t="s">
        <v>157</v>
      </c>
      <c r="K191" s="691" t="s">
        <v>125</v>
      </c>
      <c r="L191" s="691" t="s">
        <v>177</v>
      </c>
      <c r="M191" s="691" t="s">
        <v>237</v>
      </c>
      <c r="N191" s="691" t="s">
        <v>207</v>
      </c>
      <c r="O191" s="589"/>
      <c r="P191" s="717" cm="1">
        <f t="array" ref="P191">F191</f>
        <v>190</v>
      </c>
      <c r="Q191" s="620" t="str" cm="1">
        <f t="array" ref="Q191">RIGHT(G191,1)</f>
        <v>H</v>
      </c>
      <c r="R191" s="590" t="str" cm="1">
        <f t="array" ref="R191">RIGHT(H191,1)</f>
        <v>J</v>
      </c>
      <c r="S191" s="590" t="str" cm="1">
        <f t="array" ref="S191">RIGHT(I191,1)</f>
        <v>E</v>
      </c>
      <c r="T191" s="590" t="str" cm="1">
        <f t="array" ref="T191">RIGHT(J191,1)</f>
        <v>D</v>
      </c>
      <c r="U191" s="590" t="str" cm="1">
        <f t="array" ref="U191">RIGHT(K191,1)</f>
        <v>A</v>
      </c>
      <c r="V191" s="590" t="str" cm="1">
        <f t="array" ref="V191">RIGHT(L191,1)</f>
        <v>F</v>
      </c>
      <c r="W191" s="590" t="str" cm="1">
        <f t="array" ref="W191">RIGHT(M191,1)</f>
        <v>L</v>
      </c>
      <c r="X191" s="590" t="str" cm="1">
        <f t="array" ref="X191">RIGHT(N191,1)</f>
        <v>I</v>
      </c>
      <c r="Y191" s="708" cm="1">
        <f t="array" ref="Y191">COUNTIF($AA$2:$AA$9,Q191)+COUNTIF($AA$2:$AA$9,R191)+COUNTIF($AA$2:$AA$9,S191)+COUNTIF($AA$2:$AA$9,T191)+COUNTIF($AA$2:$AA$9,U191)+COUNTIF($AA$2:$AA$9,V191)+COUNTIF($AA$2:$AA$9,W191)+COUNTIF($AA$2:$AA$9,X191)</f>
        <v>7</v>
      </c>
      <c r="Z191" s="589"/>
      <c r="AA191" s="589"/>
      <c r="AB191" s="589"/>
      <c r="AC191" s="589"/>
      <c r="AD191" s="589"/>
      <c r="AE191" s="589"/>
      <c r="AF191" s="589"/>
      <c r="AG191" s="589"/>
      <c r="AH191" s="589"/>
      <c r="AI191" s="589"/>
      <c r="AJ191" s="589"/>
      <c r="AK191" s="589"/>
      <c r="AL191" s="589"/>
      <c r="AM191" s="589"/>
      <c r="AN191" s="589"/>
      <c r="AO191" s="589"/>
      <c r="AP191" s="589"/>
      <c r="AQ191" s="589"/>
      <c r="AR191" s="589"/>
      <c r="AS191" s="589"/>
      <c r="AT191" s="589"/>
      <c r="AU191" s="589"/>
      <c r="AV191" s="589"/>
      <c r="AW191" s="589"/>
      <c r="AX191" s="589"/>
      <c r="AY191" s="589"/>
      <c r="AZ191" s="589"/>
      <c r="BA191" s="589"/>
      <c r="BB191" s="589"/>
      <c r="BC191" s="589"/>
      <c r="BD191" s="589"/>
      <c r="BE191" s="589"/>
      <c r="BF191" s="589"/>
      <c r="BG191" s="589"/>
      <c r="BH191" s="589"/>
      <c r="BI191" s="589"/>
      <c r="BJ191" s="589"/>
      <c r="BK191" s="589"/>
      <c r="BL191" s="589"/>
    </row>
    <row r="192" spans="1:64" ht="14.25" customHeight="1">
      <c r="A192" s="691" t="s">
        <v>529</v>
      </c>
      <c r="B192" s="589"/>
      <c r="C192" s="589"/>
      <c r="D192" s="589"/>
      <c r="E192" s="589"/>
      <c r="F192" s="591">
        <v>191</v>
      </c>
      <c r="G192" s="691" t="s">
        <v>197</v>
      </c>
      <c r="H192" s="691" t="s">
        <v>217</v>
      </c>
      <c r="I192" s="691" t="s">
        <v>167</v>
      </c>
      <c r="J192" s="691" t="s">
        <v>157</v>
      </c>
      <c r="K192" s="691" t="s">
        <v>125</v>
      </c>
      <c r="L192" s="691" t="s">
        <v>177</v>
      </c>
      <c r="M192" s="691" t="s">
        <v>207</v>
      </c>
      <c r="N192" s="691" t="s">
        <v>227</v>
      </c>
      <c r="O192" s="589"/>
      <c r="P192" s="717" cm="1">
        <f t="array" ref="P192">F192</f>
        <v>191</v>
      </c>
      <c r="Q192" s="620" t="str" cm="1">
        <f t="array" ref="Q192">RIGHT(G192,1)</f>
        <v>H</v>
      </c>
      <c r="R192" s="590" t="str" cm="1">
        <f t="array" ref="R192">RIGHT(H192,1)</f>
        <v>J</v>
      </c>
      <c r="S192" s="590" t="str" cm="1">
        <f t="array" ref="S192">RIGHT(I192,1)</f>
        <v>E</v>
      </c>
      <c r="T192" s="590" t="str" cm="1">
        <f t="array" ref="T192">RIGHT(J192,1)</f>
        <v>D</v>
      </c>
      <c r="U192" s="590" t="str" cm="1">
        <f t="array" ref="U192">RIGHT(K192,1)</f>
        <v>A</v>
      </c>
      <c r="V192" s="590" t="str" cm="1">
        <f t="array" ref="V192">RIGHT(L192,1)</f>
        <v>F</v>
      </c>
      <c r="W192" s="590" t="str" cm="1">
        <f t="array" ref="W192">RIGHT(M192,1)</f>
        <v>I</v>
      </c>
      <c r="X192" s="590" t="str" cm="1">
        <f t="array" ref="X192">RIGHT(N192,1)</f>
        <v>K</v>
      </c>
      <c r="Y192" s="708" cm="1">
        <f t="array" ref="Y192">COUNTIF($AA$2:$AA$9,Q192)+COUNTIF($AA$2:$AA$9,R192)+COUNTIF($AA$2:$AA$9,S192)+COUNTIF($AA$2:$AA$9,T192)+COUNTIF($AA$2:$AA$9,U192)+COUNTIF($AA$2:$AA$9,V192)+COUNTIF($AA$2:$AA$9,W192)+COUNTIF($AA$2:$AA$9,X192)</f>
        <v>6</v>
      </c>
      <c r="Z192" s="589"/>
      <c r="AA192" s="589"/>
      <c r="AB192" s="589"/>
      <c r="AC192" s="589"/>
      <c r="AD192" s="589"/>
      <c r="AE192" s="589"/>
      <c r="AF192" s="589"/>
      <c r="AG192" s="589"/>
      <c r="AH192" s="589"/>
      <c r="AI192" s="589"/>
      <c r="AJ192" s="589"/>
      <c r="AK192" s="589"/>
      <c r="AL192" s="589"/>
      <c r="AM192" s="589"/>
      <c r="AN192" s="589"/>
      <c r="AO192" s="589"/>
      <c r="AP192" s="589"/>
      <c r="AQ192" s="589"/>
      <c r="AR192" s="589"/>
      <c r="AS192" s="589"/>
      <c r="AT192" s="589"/>
      <c r="AU192" s="589"/>
      <c r="AV192" s="589"/>
      <c r="AW192" s="589"/>
      <c r="AX192" s="589"/>
      <c r="AY192" s="589"/>
      <c r="AZ192" s="589"/>
      <c r="BA192" s="589"/>
      <c r="BB192" s="589"/>
      <c r="BC192" s="589"/>
      <c r="BD192" s="589"/>
      <c r="BE192" s="589"/>
      <c r="BF192" s="589"/>
      <c r="BG192" s="589"/>
      <c r="BH192" s="589"/>
      <c r="BI192" s="589"/>
      <c r="BJ192" s="589"/>
      <c r="BK192" s="589"/>
      <c r="BL192" s="589"/>
    </row>
    <row r="193" spans="1:64" ht="14.25" customHeight="1">
      <c r="A193" s="691" t="s">
        <v>530</v>
      </c>
      <c r="B193" s="589"/>
      <c r="C193" s="589"/>
      <c r="D193" s="589"/>
      <c r="E193" s="589"/>
      <c r="F193" s="591">
        <v>192</v>
      </c>
      <c r="G193" s="691" t="s">
        <v>167</v>
      </c>
      <c r="H193" s="691" t="s">
        <v>187</v>
      </c>
      <c r="I193" s="691" t="s">
        <v>217</v>
      </c>
      <c r="J193" s="691" t="s">
        <v>157</v>
      </c>
      <c r="K193" s="691" t="s">
        <v>125</v>
      </c>
      <c r="L193" s="691" t="s">
        <v>177</v>
      </c>
      <c r="M193" s="691" t="s">
        <v>237</v>
      </c>
      <c r="N193" s="691" t="s">
        <v>227</v>
      </c>
      <c r="O193" s="589"/>
      <c r="P193" s="717" cm="1">
        <f t="array" ref="P193">F193</f>
        <v>192</v>
      </c>
      <c r="Q193" s="620" t="str" cm="1">
        <f t="array" ref="Q193">RIGHT(G193,1)</f>
        <v>E</v>
      </c>
      <c r="R193" s="590" t="str" cm="1">
        <f t="array" ref="R193">RIGHT(H193,1)</f>
        <v>G</v>
      </c>
      <c r="S193" s="590" t="str" cm="1">
        <f t="array" ref="S193">RIGHT(I193,1)</f>
        <v>J</v>
      </c>
      <c r="T193" s="590" t="str" cm="1">
        <f t="array" ref="T193">RIGHT(J193,1)</f>
        <v>D</v>
      </c>
      <c r="U193" s="590" t="str" cm="1">
        <f t="array" ref="U193">RIGHT(K193,1)</f>
        <v>A</v>
      </c>
      <c r="V193" s="590" t="str" cm="1">
        <f t="array" ref="V193">RIGHT(L193,1)</f>
        <v>F</v>
      </c>
      <c r="W193" s="590" t="str" cm="1">
        <f t="array" ref="W193">RIGHT(M193,1)</f>
        <v>L</v>
      </c>
      <c r="X193" s="590" t="str" cm="1">
        <f t="array" ref="X193">RIGHT(N193,1)</f>
        <v>K</v>
      </c>
      <c r="Y193" s="708" cm="1">
        <f t="array" ref="Y193">COUNTIF($AA$2:$AA$9,Q193)+COUNTIF($AA$2:$AA$9,R193)+COUNTIF($AA$2:$AA$9,S193)+COUNTIF($AA$2:$AA$9,T193)+COUNTIF($AA$2:$AA$9,U193)+COUNTIF($AA$2:$AA$9,V193)+COUNTIF($AA$2:$AA$9,W193)+COUNTIF($AA$2:$AA$9,X193)</f>
        <v>6</v>
      </c>
      <c r="Z193" s="589"/>
      <c r="AA193" s="589"/>
      <c r="AB193" s="589"/>
      <c r="AC193" s="589"/>
      <c r="AD193" s="589"/>
      <c r="AE193" s="589"/>
      <c r="AF193" s="589"/>
      <c r="AG193" s="589"/>
      <c r="AH193" s="589"/>
      <c r="AI193" s="589"/>
      <c r="AJ193" s="589"/>
      <c r="AK193" s="589"/>
      <c r="AL193" s="589"/>
      <c r="AM193" s="589"/>
      <c r="AN193" s="589"/>
      <c r="AO193" s="589"/>
      <c r="AP193" s="589"/>
      <c r="AQ193" s="589"/>
      <c r="AR193" s="589"/>
      <c r="AS193" s="589"/>
      <c r="AT193" s="589"/>
      <c r="AU193" s="589"/>
      <c r="AV193" s="589"/>
      <c r="AW193" s="589"/>
      <c r="AX193" s="589"/>
      <c r="AY193" s="589"/>
      <c r="AZ193" s="589"/>
      <c r="BA193" s="589"/>
      <c r="BB193" s="589"/>
      <c r="BC193" s="589"/>
      <c r="BD193" s="589"/>
      <c r="BE193" s="589"/>
      <c r="BF193" s="589"/>
      <c r="BG193" s="589"/>
      <c r="BH193" s="589"/>
      <c r="BI193" s="589"/>
      <c r="BJ193" s="589"/>
      <c r="BK193" s="589"/>
      <c r="BL193" s="589"/>
    </row>
    <row r="194" spans="1:64" ht="14.25" customHeight="1">
      <c r="A194" s="691" t="s">
        <v>531</v>
      </c>
      <c r="B194" s="589"/>
      <c r="C194" s="589"/>
      <c r="D194" s="589"/>
      <c r="E194" s="589"/>
      <c r="F194" s="591">
        <v>193</v>
      </c>
      <c r="G194" s="691" t="s">
        <v>167</v>
      </c>
      <c r="H194" s="691" t="s">
        <v>187</v>
      </c>
      <c r="I194" s="691" t="s">
        <v>207</v>
      </c>
      <c r="J194" s="691" t="s">
        <v>157</v>
      </c>
      <c r="K194" s="691" t="s">
        <v>125</v>
      </c>
      <c r="L194" s="691" t="s">
        <v>177</v>
      </c>
      <c r="M194" s="691" t="s">
        <v>237</v>
      </c>
      <c r="N194" s="691" t="s">
        <v>227</v>
      </c>
      <c r="O194" s="589"/>
      <c r="P194" s="717" cm="1">
        <f t="array" ref="P194">F194</f>
        <v>193</v>
      </c>
      <c r="Q194" s="620" t="str" cm="1">
        <f t="array" ref="Q194">RIGHT(G194,1)</f>
        <v>E</v>
      </c>
      <c r="R194" s="590" t="str" cm="1">
        <f t="array" ref="R194">RIGHT(H194,1)</f>
        <v>G</v>
      </c>
      <c r="S194" s="590" t="str" cm="1">
        <f t="array" ref="S194">RIGHT(I194,1)</f>
        <v>I</v>
      </c>
      <c r="T194" s="590" t="str" cm="1">
        <f t="array" ref="T194">RIGHT(J194,1)</f>
        <v>D</v>
      </c>
      <c r="U194" s="590" t="str" cm="1">
        <f t="array" ref="U194">RIGHT(K194,1)</f>
        <v>A</v>
      </c>
      <c r="V194" s="590" t="str" cm="1">
        <f t="array" ref="V194">RIGHT(L194,1)</f>
        <v>F</v>
      </c>
      <c r="W194" s="590" t="str" cm="1">
        <f t="array" ref="W194">RIGHT(M194,1)</f>
        <v>L</v>
      </c>
      <c r="X194" s="590" t="str" cm="1">
        <f t="array" ref="X194">RIGHT(N194,1)</f>
        <v>K</v>
      </c>
      <c r="Y194" s="708" cm="1">
        <f t="array" ref="Y194">COUNTIF($AA$2:$AA$9,Q194)+COUNTIF($AA$2:$AA$9,R194)+COUNTIF($AA$2:$AA$9,S194)+COUNTIF($AA$2:$AA$9,T194)+COUNTIF($AA$2:$AA$9,U194)+COUNTIF($AA$2:$AA$9,V194)+COUNTIF($AA$2:$AA$9,W194)+COUNTIF($AA$2:$AA$9,X194)</f>
        <v>6</v>
      </c>
      <c r="Z194" s="589"/>
      <c r="AA194" s="589"/>
      <c r="AB194" s="589"/>
      <c r="AC194" s="589"/>
      <c r="AD194" s="589"/>
      <c r="AE194" s="589"/>
      <c r="AF194" s="589"/>
      <c r="AG194" s="589"/>
      <c r="AH194" s="589"/>
      <c r="AI194" s="589"/>
      <c r="AJ194" s="589"/>
      <c r="AK194" s="589"/>
      <c r="AL194" s="589"/>
      <c r="AM194" s="589"/>
      <c r="AN194" s="589"/>
      <c r="AO194" s="589"/>
      <c r="AP194" s="589"/>
      <c r="AQ194" s="589"/>
      <c r="AR194" s="589"/>
      <c r="AS194" s="589"/>
      <c r="AT194" s="589"/>
      <c r="AU194" s="589"/>
      <c r="AV194" s="589"/>
      <c r="AW194" s="589"/>
      <c r="AX194" s="589"/>
      <c r="AY194" s="589"/>
      <c r="AZ194" s="589"/>
      <c r="BA194" s="589"/>
      <c r="BB194" s="589"/>
      <c r="BC194" s="589"/>
      <c r="BD194" s="589"/>
      <c r="BE194" s="589"/>
      <c r="BF194" s="589"/>
      <c r="BG194" s="589"/>
      <c r="BH194" s="589"/>
      <c r="BI194" s="589"/>
      <c r="BJ194" s="589"/>
      <c r="BK194" s="589"/>
      <c r="BL194" s="589"/>
    </row>
    <row r="195" spans="1:64" ht="14.25" customHeight="1">
      <c r="A195" s="691" t="s">
        <v>532</v>
      </c>
      <c r="B195" s="589"/>
      <c r="C195" s="589"/>
      <c r="D195" s="589"/>
      <c r="E195" s="589"/>
      <c r="F195" s="591">
        <v>194</v>
      </c>
      <c r="G195" s="691" t="s">
        <v>167</v>
      </c>
      <c r="H195" s="691" t="s">
        <v>187</v>
      </c>
      <c r="I195" s="691" t="s">
        <v>217</v>
      </c>
      <c r="J195" s="691" t="s">
        <v>157</v>
      </c>
      <c r="K195" s="691" t="s">
        <v>125</v>
      </c>
      <c r="L195" s="691" t="s">
        <v>177</v>
      </c>
      <c r="M195" s="691" t="s">
        <v>237</v>
      </c>
      <c r="N195" s="691" t="s">
        <v>207</v>
      </c>
      <c r="O195" s="589"/>
      <c r="P195" s="717" cm="1">
        <f t="array" ref="P195">F195</f>
        <v>194</v>
      </c>
      <c r="Q195" s="620" t="str" cm="1">
        <f t="array" ref="Q195">RIGHT(G195,1)</f>
        <v>E</v>
      </c>
      <c r="R195" s="590" t="str" cm="1">
        <f t="array" ref="R195">RIGHT(H195,1)</f>
        <v>G</v>
      </c>
      <c r="S195" s="590" t="str" cm="1">
        <f t="array" ref="S195">RIGHT(I195,1)</f>
        <v>J</v>
      </c>
      <c r="T195" s="590" t="str" cm="1">
        <f t="array" ref="T195">RIGHT(J195,1)</f>
        <v>D</v>
      </c>
      <c r="U195" s="590" t="str" cm="1">
        <f t="array" ref="U195">RIGHT(K195,1)</f>
        <v>A</v>
      </c>
      <c r="V195" s="590" t="str" cm="1">
        <f t="array" ref="V195">RIGHT(L195,1)</f>
        <v>F</v>
      </c>
      <c r="W195" s="590" t="str" cm="1">
        <f t="array" ref="W195">RIGHT(M195,1)</f>
        <v>L</v>
      </c>
      <c r="X195" s="590" t="str" cm="1">
        <f t="array" ref="X195">RIGHT(N195,1)</f>
        <v>I</v>
      </c>
      <c r="Y195" s="708" cm="1">
        <f t="array" ref="Y195">COUNTIF($AA$2:$AA$9,Q195)+COUNTIF($AA$2:$AA$9,R195)+COUNTIF($AA$2:$AA$9,S195)+COUNTIF($AA$2:$AA$9,T195)+COUNTIF($AA$2:$AA$9,U195)+COUNTIF($AA$2:$AA$9,V195)+COUNTIF($AA$2:$AA$9,W195)+COUNTIF($AA$2:$AA$9,X195)</f>
        <v>7</v>
      </c>
      <c r="Z195" s="589"/>
      <c r="AA195" s="589"/>
      <c r="AB195" s="589"/>
      <c r="AC195" s="589"/>
      <c r="AD195" s="589"/>
      <c r="AE195" s="589"/>
      <c r="AF195" s="589"/>
      <c r="AG195" s="589"/>
      <c r="AH195" s="589"/>
      <c r="AI195" s="589"/>
      <c r="AJ195" s="589"/>
      <c r="AK195" s="589"/>
      <c r="AL195" s="589"/>
      <c r="AM195" s="589"/>
      <c r="AN195" s="589"/>
      <c r="AO195" s="589"/>
      <c r="AP195" s="589"/>
      <c r="AQ195" s="589"/>
      <c r="AR195" s="589"/>
      <c r="AS195" s="589"/>
      <c r="AT195" s="589"/>
      <c r="AU195" s="589"/>
      <c r="AV195" s="589"/>
      <c r="AW195" s="589"/>
      <c r="AX195" s="589"/>
      <c r="AY195" s="589"/>
      <c r="AZ195" s="589"/>
      <c r="BA195" s="589"/>
      <c r="BB195" s="589"/>
      <c r="BC195" s="589"/>
      <c r="BD195" s="589"/>
      <c r="BE195" s="589"/>
      <c r="BF195" s="589"/>
      <c r="BG195" s="589"/>
      <c r="BH195" s="589"/>
      <c r="BI195" s="589"/>
      <c r="BJ195" s="589"/>
      <c r="BK195" s="589"/>
      <c r="BL195" s="589"/>
    </row>
    <row r="196" spans="1:64" ht="14.25" customHeight="1">
      <c r="A196" s="691" t="s">
        <v>533</v>
      </c>
      <c r="B196" s="589"/>
      <c r="C196" s="589"/>
      <c r="D196" s="589"/>
      <c r="E196" s="589"/>
      <c r="F196" s="591">
        <v>195</v>
      </c>
      <c r="G196" s="691" t="s">
        <v>167</v>
      </c>
      <c r="H196" s="691" t="s">
        <v>187</v>
      </c>
      <c r="I196" s="691" t="s">
        <v>217</v>
      </c>
      <c r="J196" s="691" t="s">
        <v>157</v>
      </c>
      <c r="K196" s="691" t="s">
        <v>125</v>
      </c>
      <c r="L196" s="691" t="s">
        <v>177</v>
      </c>
      <c r="M196" s="691" t="s">
        <v>207</v>
      </c>
      <c r="N196" s="691" t="s">
        <v>227</v>
      </c>
      <c r="O196" s="589"/>
      <c r="P196" s="717" cm="1">
        <f t="array" ref="P196">F196</f>
        <v>195</v>
      </c>
      <c r="Q196" s="620" t="str" cm="1">
        <f t="array" ref="Q196">RIGHT(G196,1)</f>
        <v>E</v>
      </c>
      <c r="R196" s="590" t="str" cm="1">
        <f t="array" ref="R196">RIGHT(H196,1)</f>
        <v>G</v>
      </c>
      <c r="S196" s="590" t="str" cm="1">
        <f t="array" ref="S196">RIGHT(I196,1)</f>
        <v>J</v>
      </c>
      <c r="T196" s="590" t="str" cm="1">
        <f t="array" ref="T196">RIGHT(J196,1)</f>
        <v>D</v>
      </c>
      <c r="U196" s="590" t="str" cm="1">
        <f t="array" ref="U196">RIGHT(K196,1)</f>
        <v>A</v>
      </c>
      <c r="V196" s="590" t="str" cm="1">
        <f t="array" ref="V196">RIGHT(L196,1)</f>
        <v>F</v>
      </c>
      <c r="W196" s="590" t="str" cm="1">
        <f t="array" ref="W196">RIGHT(M196,1)</f>
        <v>I</v>
      </c>
      <c r="X196" s="590" t="str" cm="1">
        <f t="array" ref="X196">RIGHT(N196,1)</f>
        <v>K</v>
      </c>
      <c r="Y196" s="708" cm="1">
        <f t="array" ref="Y196">COUNTIF($AA$2:$AA$9,Q196)+COUNTIF($AA$2:$AA$9,R196)+COUNTIF($AA$2:$AA$9,S196)+COUNTIF($AA$2:$AA$9,T196)+COUNTIF($AA$2:$AA$9,U196)+COUNTIF($AA$2:$AA$9,V196)+COUNTIF($AA$2:$AA$9,W196)+COUNTIF($AA$2:$AA$9,X196)</f>
        <v>6</v>
      </c>
      <c r="Z196" s="589"/>
      <c r="AA196" s="589"/>
      <c r="AB196" s="589"/>
      <c r="AC196" s="589"/>
      <c r="AD196" s="589"/>
      <c r="AE196" s="589"/>
      <c r="AF196" s="589"/>
      <c r="AG196" s="589"/>
      <c r="AH196" s="589"/>
      <c r="AI196" s="589"/>
      <c r="AJ196" s="589"/>
      <c r="AK196" s="589"/>
      <c r="AL196" s="589"/>
      <c r="AM196" s="589"/>
      <c r="AN196" s="589"/>
      <c r="AO196" s="589"/>
      <c r="AP196" s="589"/>
      <c r="AQ196" s="589"/>
      <c r="AR196" s="589"/>
      <c r="AS196" s="589"/>
      <c r="AT196" s="589"/>
      <c r="AU196" s="589"/>
      <c r="AV196" s="589"/>
      <c r="AW196" s="589"/>
      <c r="AX196" s="589"/>
      <c r="AY196" s="589"/>
      <c r="AZ196" s="589"/>
      <c r="BA196" s="589"/>
      <c r="BB196" s="589"/>
      <c r="BC196" s="589"/>
      <c r="BD196" s="589"/>
      <c r="BE196" s="589"/>
      <c r="BF196" s="589"/>
      <c r="BG196" s="589"/>
      <c r="BH196" s="589"/>
      <c r="BI196" s="589"/>
      <c r="BJ196" s="589"/>
      <c r="BK196" s="589"/>
      <c r="BL196" s="589"/>
    </row>
    <row r="197" spans="1:64" ht="14.25" customHeight="1">
      <c r="A197" s="691" t="s">
        <v>534</v>
      </c>
      <c r="B197" s="589"/>
      <c r="C197" s="589"/>
      <c r="D197" s="589"/>
      <c r="E197" s="589"/>
      <c r="F197" s="591">
        <v>196</v>
      </c>
      <c r="G197" s="691" t="s">
        <v>197</v>
      </c>
      <c r="H197" s="691" t="s">
        <v>187</v>
      </c>
      <c r="I197" s="691" t="s">
        <v>167</v>
      </c>
      <c r="J197" s="691" t="s">
        <v>157</v>
      </c>
      <c r="K197" s="691" t="s">
        <v>125</v>
      </c>
      <c r="L197" s="691" t="s">
        <v>177</v>
      </c>
      <c r="M197" s="691" t="s">
        <v>237</v>
      </c>
      <c r="N197" s="691" t="s">
        <v>227</v>
      </c>
      <c r="O197" s="589"/>
      <c r="P197" s="717" cm="1">
        <f t="array" ref="P197">F197</f>
        <v>196</v>
      </c>
      <c r="Q197" s="620" t="str" cm="1">
        <f t="array" ref="Q197">RIGHT(G197,1)</f>
        <v>H</v>
      </c>
      <c r="R197" s="590" t="str" cm="1">
        <f t="array" ref="R197">RIGHT(H197,1)</f>
        <v>G</v>
      </c>
      <c r="S197" s="590" t="str" cm="1">
        <f t="array" ref="S197">RIGHT(I197,1)</f>
        <v>E</v>
      </c>
      <c r="T197" s="590" t="str" cm="1">
        <f t="array" ref="T197">RIGHT(J197,1)</f>
        <v>D</v>
      </c>
      <c r="U197" s="590" t="str" cm="1">
        <f t="array" ref="U197">RIGHT(K197,1)</f>
        <v>A</v>
      </c>
      <c r="V197" s="590" t="str" cm="1">
        <f t="array" ref="V197">RIGHT(L197,1)</f>
        <v>F</v>
      </c>
      <c r="W197" s="590" t="str" cm="1">
        <f t="array" ref="W197">RIGHT(M197,1)</f>
        <v>L</v>
      </c>
      <c r="X197" s="590" t="str" cm="1">
        <f t="array" ref="X197">RIGHT(N197,1)</f>
        <v>K</v>
      </c>
      <c r="Y197" s="708" cm="1">
        <f t="array" ref="Y197">COUNTIF($AA$2:$AA$9,Q197)+COUNTIF($AA$2:$AA$9,R197)+COUNTIF($AA$2:$AA$9,S197)+COUNTIF($AA$2:$AA$9,T197)+COUNTIF($AA$2:$AA$9,U197)+COUNTIF($AA$2:$AA$9,V197)+COUNTIF($AA$2:$AA$9,W197)+COUNTIF($AA$2:$AA$9,X197)</f>
        <v>5</v>
      </c>
      <c r="Z197" s="589"/>
      <c r="AA197" s="589"/>
      <c r="AB197" s="589"/>
      <c r="AC197" s="589"/>
      <c r="AD197" s="589"/>
      <c r="AE197" s="589"/>
      <c r="AF197" s="589"/>
      <c r="AG197" s="589"/>
      <c r="AH197" s="589"/>
      <c r="AI197" s="589"/>
      <c r="AJ197" s="589"/>
      <c r="AK197" s="589"/>
      <c r="AL197" s="589"/>
      <c r="AM197" s="589"/>
      <c r="AN197" s="589"/>
      <c r="AO197" s="589"/>
      <c r="AP197" s="589"/>
      <c r="AQ197" s="589"/>
      <c r="AR197" s="589"/>
      <c r="AS197" s="589"/>
      <c r="AT197" s="589"/>
      <c r="AU197" s="589"/>
      <c r="AV197" s="589"/>
      <c r="AW197" s="589"/>
      <c r="AX197" s="589"/>
      <c r="AY197" s="589"/>
      <c r="AZ197" s="589"/>
      <c r="BA197" s="589"/>
      <c r="BB197" s="589"/>
      <c r="BC197" s="589"/>
      <c r="BD197" s="589"/>
      <c r="BE197" s="589"/>
      <c r="BF197" s="589"/>
      <c r="BG197" s="589"/>
      <c r="BH197" s="589"/>
      <c r="BI197" s="589"/>
      <c r="BJ197" s="589"/>
      <c r="BK197" s="589"/>
      <c r="BL197" s="589"/>
    </row>
    <row r="198" spans="1:64" ht="14.25" customHeight="1">
      <c r="A198" s="691" t="s">
        <v>535</v>
      </c>
      <c r="B198" s="589"/>
      <c r="C198" s="589"/>
      <c r="D198" s="589"/>
      <c r="E198" s="589"/>
      <c r="F198" s="591">
        <v>197</v>
      </c>
      <c r="G198" s="691" t="s">
        <v>197</v>
      </c>
      <c r="H198" s="691" t="s">
        <v>187</v>
      </c>
      <c r="I198" s="691" t="s">
        <v>217</v>
      </c>
      <c r="J198" s="691" t="s">
        <v>157</v>
      </c>
      <c r="K198" s="691" t="s">
        <v>125</v>
      </c>
      <c r="L198" s="691" t="s">
        <v>177</v>
      </c>
      <c r="M198" s="691" t="s">
        <v>237</v>
      </c>
      <c r="N198" s="691" t="s">
        <v>167</v>
      </c>
      <c r="O198" s="589"/>
      <c r="P198" s="717" cm="1">
        <f t="array" ref="P198">F198</f>
        <v>197</v>
      </c>
      <c r="Q198" s="620" t="str" cm="1">
        <f t="array" ref="Q198">RIGHT(G198,1)</f>
        <v>H</v>
      </c>
      <c r="R198" s="590" t="str" cm="1">
        <f t="array" ref="R198">RIGHT(H198,1)</f>
        <v>G</v>
      </c>
      <c r="S198" s="590" t="str" cm="1">
        <f t="array" ref="S198">RIGHT(I198,1)</f>
        <v>J</v>
      </c>
      <c r="T198" s="590" t="str" cm="1">
        <f t="array" ref="T198">RIGHT(J198,1)</f>
        <v>D</v>
      </c>
      <c r="U198" s="590" t="str" cm="1">
        <f t="array" ref="U198">RIGHT(K198,1)</f>
        <v>A</v>
      </c>
      <c r="V198" s="590" t="str" cm="1">
        <f t="array" ref="V198">RIGHT(L198,1)</f>
        <v>F</v>
      </c>
      <c r="W198" s="590" t="str" cm="1">
        <f t="array" ref="W198">RIGHT(M198,1)</f>
        <v>L</v>
      </c>
      <c r="X198" s="590" t="str" cm="1">
        <f t="array" ref="X198">RIGHT(N198,1)</f>
        <v>E</v>
      </c>
      <c r="Y198" s="708" cm="1">
        <f t="array" ref="Y198">COUNTIF($AA$2:$AA$9,Q198)+COUNTIF($AA$2:$AA$9,R198)+COUNTIF($AA$2:$AA$9,S198)+COUNTIF($AA$2:$AA$9,T198)+COUNTIF($AA$2:$AA$9,U198)+COUNTIF($AA$2:$AA$9,V198)+COUNTIF($AA$2:$AA$9,W198)+COUNTIF($AA$2:$AA$9,X198)</f>
        <v>6</v>
      </c>
      <c r="Z198" s="589"/>
      <c r="AA198" s="589"/>
      <c r="AB198" s="589"/>
      <c r="AC198" s="589"/>
      <c r="AD198" s="589"/>
      <c r="AE198" s="589"/>
      <c r="AF198" s="589"/>
      <c r="AG198" s="589"/>
      <c r="AH198" s="589"/>
      <c r="AI198" s="589"/>
      <c r="AJ198" s="589"/>
      <c r="AK198" s="589"/>
      <c r="AL198" s="589"/>
      <c r="AM198" s="589"/>
      <c r="AN198" s="589"/>
      <c r="AO198" s="589"/>
      <c r="AP198" s="589"/>
      <c r="AQ198" s="589"/>
      <c r="AR198" s="589"/>
      <c r="AS198" s="589"/>
      <c r="AT198" s="589"/>
      <c r="AU198" s="589"/>
      <c r="AV198" s="589"/>
      <c r="AW198" s="589"/>
      <c r="AX198" s="589"/>
      <c r="AY198" s="589"/>
      <c r="AZ198" s="589"/>
      <c r="BA198" s="589"/>
      <c r="BB198" s="589"/>
      <c r="BC198" s="589"/>
      <c r="BD198" s="589"/>
      <c r="BE198" s="589"/>
      <c r="BF198" s="589"/>
      <c r="BG198" s="589"/>
      <c r="BH198" s="589"/>
      <c r="BI198" s="589"/>
      <c r="BJ198" s="589"/>
      <c r="BK198" s="589"/>
      <c r="BL198" s="589"/>
    </row>
    <row r="199" spans="1:64" ht="14.25" customHeight="1">
      <c r="A199" s="691" t="s">
        <v>536</v>
      </c>
      <c r="B199" s="589"/>
      <c r="C199" s="589"/>
      <c r="D199" s="589"/>
      <c r="E199" s="589"/>
      <c r="F199" s="591">
        <v>198</v>
      </c>
      <c r="G199" s="691" t="s">
        <v>197</v>
      </c>
      <c r="H199" s="691" t="s">
        <v>187</v>
      </c>
      <c r="I199" s="691" t="s">
        <v>217</v>
      </c>
      <c r="J199" s="691" t="s">
        <v>157</v>
      </c>
      <c r="K199" s="691" t="s">
        <v>125</v>
      </c>
      <c r="L199" s="691" t="s">
        <v>177</v>
      </c>
      <c r="M199" s="691" t="s">
        <v>167</v>
      </c>
      <c r="N199" s="691" t="s">
        <v>227</v>
      </c>
      <c r="O199" s="589"/>
      <c r="P199" s="717" cm="1">
        <f t="array" ref="P199">F199</f>
        <v>198</v>
      </c>
      <c r="Q199" s="620" t="str" cm="1">
        <f t="array" ref="Q199">RIGHT(G199,1)</f>
        <v>H</v>
      </c>
      <c r="R199" s="590" t="str" cm="1">
        <f t="array" ref="R199">RIGHT(H199,1)</f>
        <v>G</v>
      </c>
      <c r="S199" s="590" t="str" cm="1">
        <f t="array" ref="S199">RIGHT(I199,1)</f>
        <v>J</v>
      </c>
      <c r="T199" s="590" t="str" cm="1">
        <f t="array" ref="T199">RIGHT(J199,1)</f>
        <v>D</v>
      </c>
      <c r="U199" s="590" t="str" cm="1">
        <f t="array" ref="U199">RIGHT(K199,1)</f>
        <v>A</v>
      </c>
      <c r="V199" s="590" t="str" cm="1">
        <f t="array" ref="V199">RIGHT(L199,1)</f>
        <v>F</v>
      </c>
      <c r="W199" s="590" t="str" cm="1">
        <f t="array" ref="W199">RIGHT(M199,1)</f>
        <v>E</v>
      </c>
      <c r="X199" s="590" t="str" cm="1">
        <f t="array" ref="X199">RIGHT(N199,1)</f>
        <v>K</v>
      </c>
      <c r="Y199" s="708" cm="1">
        <f t="array" ref="Y199">COUNTIF($AA$2:$AA$9,Q199)+COUNTIF($AA$2:$AA$9,R199)+COUNTIF($AA$2:$AA$9,S199)+COUNTIF($AA$2:$AA$9,T199)+COUNTIF($AA$2:$AA$9,U199)+COUNTIF($AA$2:$AA$9,V199)+COUNTIF($AA$2:$AA$9,W199)+COUNTIF($AA$2:$AA$9,X199)</f>
        <v>5</v>
      </c>
      <c r="Z199" s="589"/>
      <c r="AA199" s="589"/>
      <c r="AB199" s="589"/>
      <c r="AC199" s="589"/>
      <c r="AD199" s="589"/>
      <c r="AE199" s="589"/>
      <c r="AF199" s="589"/>
      <c r="AG199" s="589"/>
      <c r="AH199" s="589"/>
      <c r="AI199" s="589"/>
      <c r="AJ199" s="589"/>
      <c r="AK199" s="589"/>
      <c r="AL199" s="589"/>
      <c r="AM199" s="589"/>
      <c r="AN199" s="589"/>
      <c r="AO199" s="589"/>
      <c r="AP199" s="589"/>
      <c r="AQ199" s="589"/>
      <c r="AR199" s="589"/>
      <c r="AS199" s="589"/>
      <c r="AT199" s="589"/>
      <c r="AU199" s="589"/>
      <c r="AV199" s="589"/>
      <c r="AW199" s="589"/>
      <c r="AX199" s="589"/>
      <c r="AY199" s="589"/>
      <c r="AZ199" s="589"/>
      <c r="BA199" s="589"/>
      <c r="BB199" s="589"/>
      <c r="BC199" s="589"/>
      <c r="BD199" s="589"/>
      <c r="BE199" s="589"/>
      <c r="BF199" s="589"/>
      <c r="BG199" s="589"/>
      <c r="BH199" s="589"/>
      <c r="BI199" s="589"/>
      <c r="BJ199" s="589"/>
      <c r="BK199" s="589"/>
      <c r="BL199" s="589"/>
    </row>
    <row r="200" spans="1:64" ht="14.25" customHeight="1">
      <c r="A200" s="691" t="s">
        <v>537</v>
      </c>
      <c r="B200" s="589"/>
      <c r="C200" s="589"/>
      <c r="D200" s="589"/>
      <c r="E200" s="589"/>
      <c r="F200" s="591">
        <v>199</v>
      </c>
      <c r="G200" s="691" t="s">
        <v>197</v>
      </c>
      <c r="H200" s="691" t="s">
        <v>187</v>
      </c>
      <c r="I200" s="691" t="s">
        <v>167</v>
      </c>
      <c r="J200" s="691" t="s">
        <v>157</v>
      </c>
      <c r="K200" s="691" t="s">
        <v>125</v>
      </c>
      <c r="L200" s="691" t="s">
        <v>177</v>
      </c>
      <c r="M200" s="691" t="s">
        <v>237</v>
      </c>
      <c r="N200" s="691" t="s">
        <v>207</v>
      </c>
      <c r="O200" s="589"/>
      <c r="P200" s="717" cm="1">
        <f t="array" ref="P200">F200</f>
        <v>199</v>
      </c>
      <c r="Q200" s="620" t="str" cm="1">
        <f t="array" ref="Q200">RIGHT(G200,1)</f>
        <v>H</v>
      </c>
      <c r="R200" s="590" t="str" cm="1">
        <f t="array" ref="R200">RIGHT(H200,1)</f>
        <v>G</v>
      </c>
      <c r="S200" s="590" t="str" cm="1">
        <f t="array" ref="S200">RIGHT(I200,1)</f>
        <v>E</v>
      </c>
      <c r="T200" s="590" t="str" cm="1">
        <f t="array" ref="T200">RIGHT(J200,1)</f>
        <v>D</v>
      </c>
      <c r="U200" s="590" t="str" cm="1">
        <f t="array" ref="U200">RIGHT(K200,1)</f>
        <v>A</v>
      </c>
      <c r="V200" s="590" t="str" cm="1">
        <f t="array" ref="V200">RIGHT(L200,1)</f>
        <v>F</v>
      </c>
      <c r="W200" s="590" t="str" cm="1">
        <f t="array" ref="W200">RIGHT(M200,1)</f>
        <v>L</v>
      </c>
      <c r="X200" s="590" t="str" cm="1">
        <f t="array" ref="X200">RIGHT(N200,1)</f>
        <v>I</v>
      </c>
      <c r="Y200" s="708" cm="1">
        <f t="array" ref="Y200">COUNTIF($AA$2:$AA$9,Q200)+COUNTIF($AA$2:$AA$9,R200)+COUNTIF($AA$2:$AA$9,S200)+COUNTIF($AA$2:$AA$9,T200)+COUNTIF($AA$2:$AA$9,U200)+COUNTIF($AA$2:$AA$9,V200)+COUNTIF($AA$2:$AA$9,W200)+COUNTIF($AA$2:$AA$9,X200)</f>
        <v>6</v>
      </c>
      <c r="Z200" s="589"/>
      <c r="AA200" s="589"/>
      <c r="AB200" s="589"/>
      <c r="AC200" s="589"/>
      <c r="AD200" s="589"/>
      <c r="AE200" s="589"/>
      <c r="AF200" s="589"/>
      <c r="AG200" s="589"/>
      <c r="AH200" s="589"/>
      <c r="AI200" s="589"/>
      <c r="AJ200" s="589"/>
      <c r="AK200" s="589"/>
      <c r="AL200" s="589"/>
      <c r="AM200" s="589"/>
      <c r="AN200" s="589"/>
      <c r="AO200" s="589"/>
      <c r="AP200" s="589"/>
      <c r="AQ200" s="589"/>
      <c r="AR200" s="589"/>
      <c r="AS200" s="589"/>
      <c r="AT200" s="589"/>
      <c r="AU200" s="589"/>
      <c r="AV200" s="589"/>
      <c r="AW200" s="589"/>
      <c r="AX200" s="589"/>
      <c r="AY200" s="589"/>
      <c r="AZ200" s="589"/>
      <c r="BA200" s="589"/>
      <c r="BB200" s="589"/>
      <c r="BC200" s="589"/>
      <c r="BD200" s="589"/>
      <c r="BE200" s="589"/>
      <c r="BF200" s="589"/>
      <c r="BG200" s="589"/>
      <c r="BH200" s="589"/>
      <c r="BI200" s="589"/>
      <c r="BJ200" s="589"/>
      <c r="BK200" s="589"/>
      <c r="BL200" s="589"/>
    </row>
    <row r="201" spans="1:64" ht="14.25" customHeight="1">
      <c r="A201" s="691" t="s">
        <v>538</v>
      </c>
      <c r="B201" s="589"/>
      <c r="C201" s="589"/>
      <c r="D201" s="589"/>
      <c r="E201" s="589"/>
      <c r="F201" s="591">
        <v>200</v>
      </c>
      <c r="G201" s="691" t="s">
        <v>197</v>
      </c>
      <c r="H201" s="691" t="s">
        <v>187</v>
      </c>
      <c r="I201" s="691" t="s">
        <v>167</v>
      </c>
      <c r="J201" s="691" t="s">
        <v>157</v>
      </c>
      <c r="K201" s="691" t="s">
        <v>125</v>
      </c>
      <c r="L201" s="691" t="s">
        <v>177</v>
      </c>
      <c r="M201" s="691" t="s">
        <v>207</v>
      </c>
      <c r="N201" s="691" t="s">
        <v>227</v>
      </c>
      <c r="O201" s="589"/>
      <c r="P201" s="717" cm="1">
        <f t="array" ref="P201">F201</f>
        <v>200</v>
      </c>
      <c r="Q201" s="620" t="str" cm="1">
        <f t="array" ref="Q201">RIGHT(G201,1)</f>
        <v>H</v>
      </c>
      <c r="R201" s="590" t="str" cm="1">
        <f t="array" ref="R201">RIGHT(H201,1)</f>
        <v>G</v>
      </c>
      <c r="S201" s="590" t="str" cm="1">
        <f t="array" ref="S201">RIGHT(I201,1)</f>
        <v>E</v>
      </c>
      <c r="T201" s="590" t="str" cm="1">
        <f t="array" ref="T201">RIGHT(J201,1)</f>
        <v>D</v>
      </c>
      <c r="U201" s="590" t="str" cm="1">
        <f t="array" ref="U201">RIGHT(K201,1)</f>
        <v>A</v>
      </c>
      <c r="V201" s="590" t="str" cm="1">
        <f t="array" ref="V201">RIGHT(L201,1)</f>
        <v>F</v>
      </c>
      <c r="W201" s="590" t="str" cm="1">
        <f t="array" ref="W201">RIGHT(M201,1)</f>
        <v>I</v>
      </c>
      <c r="X201" s="590" t="str" cm="1">
        <f t="array" ref="X201">RIGHT(N201,1)</f>
        <v>K</v>
      </c>
      <c r="Y201" s="708" cm="1">
        <f t="array" ref="Y201">COUNTIF($AA$2:$AA$9,Q201)+COUNTIF($AA$2:$AA$9,R201)+COUNTIF($AA$2:$AA$9,S201)+COUNTIF($AA$2:$AA$9,T201)+COUNTIF($AA$2:$AA$9,U201)+COUNTIF($AA$2:$AA$9,V201)+COUNTIF($AA$2:$AA$9,W201)+COUNTIF($AA$2:$AA$9,X201)</f>
        <v>5</v>
      </c>
      <c r="Z201" s="589"/>
      <c r="AA201" s="589"/>
      <c r="AB201" s="589"/>
      <c r="AC201" s="589"/>
      <c r="AD201" s="589"/>
      <c r="AE201" s="589"/>
      <c r="AF201" s="589"/>
      <c r="AG201" s="589"/>
      <c r="AH201" s="589"/>
      <c r="AI201" s="589"/>
      <c r="AJ201" s="589"/>
      <c r="AK201" s="589"/>
      <c r="AL201" s="589"/>
      <c r="AM201" s="589"/>
      <c r="AN201" s="589"/>
      <c r="AO201" s="589"/>
      <c r="AP201" s="589"/>
      <c r="AQ201" s="589"/>
      <c r="AR201" s="589"/>
      <c r="AS201" s="589"/>
      <c r="AT201" s="589"/>
      <c r="AU201" s="589"/>
      <c r="AV201" s="589"/>
      <c r="AW201" s="589"/>
      <c r="AX201" s="589"/>
      <c r="AY201" s="589"/>
      <c r="AZ201" s="589"/>
      <c r="BA201" s="589"/>
      <c r="BB201" s="589"/>
      <c r="BC201" s="589"/>
      <c r="BD201" s="589"/>
      <c r="BE201" s="589"/>
      <c r="BF201" s="589"/>
      <c r="BG201" s="589"/>
      <c r="BH201" s="589"/>
      <c r="BI201" s="589"/>
      <c r="BJ201" s="589"/>
      <c r="BK201" s="589"/>
      <c r="BL201" s="589"/>
    </row>
    <row r="202" spans="1:64" ht="14.25" customHeight="1">
      <c r="A202" s="691" t="s">
        <v>539</v>
      </c>
      <c r="B202" s="589"/>
      <c r="C202" s="589"/>
      <c r="D202" s="589"/>
      <c r="E202" s="589"/>
      <c r="F202" s="591">
        <v>201</v>
      </c>
      <c r="G202" s="691" t="s">
        <v>197</v>
      </c>
      <c r="H202" s="691" t="s">
        <v>187</v>
      </c>
      <c r="I202" s="691" t="s">
        <v>217</v>
      </c>
      <c r="J202" s="691" t="s">
        <v>157</v>
      </c>
      <c r="K202" s="691" t="s">
        <v>125</v>
      </c>
      <c r="L202" s="691" t="s">
        <v>177</v>
      </c>
      <c r="M202" s="691" t="s">
        <v>167</v>
      </c>
      <c r="N202" s="691" t="s">
        <v>207</v>
      </c>
      <c r="O202" s="589"/>
      <c r="P202" s="717" cm="1">
        <f t="array" ref="P202">F202</f>
        <v>201</v>
      </c>
      <c r="Q202" s="620" t="str" cm="1">
        <f t="array" ref="Q202">RIGHT(G202,1)</f>
        <v>H</v>
      </c>
      <c r="R202" s="590" t="str" cm="1">
        <f t="array" ref="R202">RIGHT(H202,1)</f>
        <v>G</v>
      </c>
      <c r="S202" s="590" t="str" cm="1">
        <f t="array" ref="S202">RIGHT(I202,1)</f>
        <v>J</v>
      </c>
      <c r="T202" s="590" t="str" cm="1">
        <f t="array" ref="T202">RIGHT(J202,1)</f>
        <v>D</v>
      </c>
      <c r="U202" s="590" t="str" cm="1">
        <f t="array" ref="U202">RIGHT(K202,1)</f>
        <v>A</v>
      </c>
      <c r="V202" s="590" t="str" cm="1">
        <f t="array" ref="V202">RIGHT(L202,1)</f>
        <v>F</v>
      </c>
      <c r="W202" s="590" t="str" cm="1">
        <f t="array" ref="W202">RIGHT(M202,1)</f>
        <v>E</v>
      </c>
      <c r="X202" s="590" t="str" cm="1">
        <f t="array" ref="X202">RIGHT(N202,1)</f>
        <v>I</v>
      </c>
      <c r="Y202" s="708" cm="1">
        <f t="array" ref="Y202">COUNTIF($AA$2:$AA$9,Q202)+COUNTIF($AA$2:$AA$9,R202)+COUNTIF($AA$2:$AA$9,S202)+COUNTIF($AA$2:$AA$9,T202)+COUNTIF($AA$2:$AA$9,U202)+COUNTIF($AA$2:$AA$9,V202)+COUNTIF($AA$2:$AA$9,W202)+COUNTIF($AA$2:$AA$9,X202)</f>
        <v>6</v>
      </c>
      <c r="Z202" s="589"/>
      <c r="AA202" s="589"/>
      <c r="AB202" s="589"/>
      <c r="AC202" s="589"/>
      <c r="AD202" s="589"/>
      <c r="AE202" s="589"/>
      <c r="AF202" s="589"/>
      <c r="AG202" s="589"/>
      <c r="AH202" s="589"/>
      <c r="AI202" s="589"/>
      <c r="AJ202" s="589"/>
      <c r="AK202" s="589"/>
      <c r="AL202" s="589"/>
      <c r="AM202" s="589"/>
      <c r="AN202" s="589"/>
      <c r="AO202" s="589"/>
      <c r="AP202" s="589"/>
      <c r="AQ202" s="589"/>
      <c r="AR202" s="589"/>
      <c r="AS202" s="589"/>
      <c r="AT202" s="589"/>
      <c r="AU202" s="589"/>
      <c r="AV202" s="589"/>
      <c r="AW202" s="589"/>
      <c r="AX202" s="589"/>
      <c r="AY202" s="589"/>
      <c r="AZ202" s="589"/>
      <c r="BA202" s="589"/>
      <c r="BB202" s="589"/>
      <c r="BC202" s="589"/>
      <c r="BD202" s="589"/>
      <c r="BE202" s="589"/>
      <c r="BF202" s="589"/>
      <c r="BG202" s="589"/>
      <c r="BH202" s="589"/>
      <c r="BI202" s="589"/>
      <c r="BJ202" s="589"/>
      <c r="BK202" s="589"/>
      <c r="BL202" s="589"/>
    </row>
    <row r="203" spans="1:64" ht="14.25" customHeight="1">
      <c r="A203" s="691" t="s">
        <v>540</v>
      </c>
      <c r="B203" s="589"/>
      <c r="C203" s="589"/>
      <c r="D203" s="589"/>
      <c r="E203" s="589"/>
      <c r="F203" s="591">
        <v>202</v>
      </c>
      <c r="G203" s="691" t="s">
        <v>197</v>
      </c>
      <c r="H203" s="691" t="s">
        <v>217</v>
      </c>
      <c r="I203" s="691" t="s">
        <v>207</v>
      </c>
      <c r="J203" s="691" t="s">
        <v>147</v>
      </c>
      <c r="K203" s="691" t="s">
        <v>125</v>
      </c>
      <c r="L203" s="691" t="s">
        <v>187</v>
      </c>
      <c r="M203" s="691" t="s">
        <v>237</v>
      </c>
      <c r="N203" s="691" t="s">
        <v>227</v>
      </c>
      <c r="O203" s="589"/>
      <c r="P203" s="717" cm="1">
        <f t="array" ref="P203">F203</f>
        <v>202</v>
      </c>
      <c r="Q203" s="620" t="str" cm="1">
        <f t="array" ref="Q203">RIGHT(G203,1)</f>
        <v>H</v>
      </c>
      <c r="R203" s="590" t="str" cm="1">
        <f t="array" ref="R203">RIGHT(H203,1)</f>
        <v>J</v>
      </c>
      <c r="S203" s="590" t="str" cm="1">
        <f t="array" ref="S203">RIGHT(I203,1)</f>
        <v>I</v>
      </c>
      <c r="T203" s="590" t="str" cm="1">
        <f t="array" ref="T203">RIGHT(J203,1)</f>
        <v>C</v>
      </c>
      <c r="U203" s="590" t="str" cm="1">
        <f t="array" ref="U203">RIGHT(K203,1)</f>
        <v>A</v>
      </c>
      <c r="V203" s="590" t="str" cm="1">
        <f t="array" ref="V203">RIGHT(L203,1)</f>
        <v>G</v>
      </c>
      <c r="W203" s="590" t="str" cm="1">
        <f t="array" ref="W203">RIGHT(M203,1)</f>
        <v>L</v>
      </c>
      <c r="X203" s="590" t="str" cm="1">
        <f t="array" ref="X203">RIGHT(N203,1)</f>
        <v>K</v>
      </c>
      <c r="Y203" s="708" cm="1">
        <f t="array" ref="Y203">COUNTIF($AA$2:$AA$9,Q203)+COUNTIF($AA$2:$AA$9,R203)+COUNTIF($AA$2:$AA$9,S203)+COUNTIF($AA$2:$AA$9,T203)+COUNTIF($AA$2:$AA$9,U203)+COUNTIF($AA$2:$AA$9,V203)+COUNTIF($AA$2:$AA$9,W203)+COUNTIF($AA$2:$AA$9,X203)</f>
        <v>5</v>
      </c>
      <c r="Z203" s="589"/>
      <c r="AA203" s="589"/>
      <c r="AB203" s="589"/>
      <c r="AC203" s="589"/>
      <c r="AD203" s="589"/>
      <c r="AE203" s="589"/>
      <c r="AF203" s="589"/>
      <c r="AG203" s="589"/>
      <c r="AH203" s="589"/>
      <c r="AI203" s="589"/>
      <c r="AJ203" s="589"/>
      <c r="AK203" s="589"/>
      <c r="AL203" s="589"/>
      <c r="AM203" s="589"/>
      <c r="AN203" s="589"/>
      <c r="AO203" s="589"/>
      <c r="AP203" s="589"/>
      <c r="AQ203" s="589"/>
      <c r="AR203" s="589"/>
      <c r="AS203" s="589"/>
      <c r="AT203" s="589"/>
      <c r="AU203" s="589"/>
      <c r="AV203" s="589"/>
      <c r="AW203" s="589"/>
      <c r="AX203" s="589"/>
      <c r="AY203" s="589"/>
      <c r="AZ203" s="589"/>
      <c r="BA203" s="589"/>
      <c r="BB203" s="589"/>
      <c r="BC203" s="589"/>
      <c r="BD203" s="589"/>
      <c r="BE203" s="589"/>
      <c r="BF203" s="589"/>
      <c r="BG203" s="589"/>
      <c r="BH203" s="589"/>
      <c r="BI203" s="589"/>
      <c r="BJ203" s="589"/>
      <c r="BK203" s="589"/>
      <c r="BL203" s="589"/>
    </row>
    <row r="204" spans="1:64" ht="14.25" customHeight="1">
      <c r="A204" s="691" t="s">
        <v>541</v>
      </c>
      <c r="B204" s="589"/>
      <c r="C204" s="589"/>
      <c r="D204" s="589"/>
      <c r="E204" s="589"/>
      <c r="F204" s="591">
        <v>203</v>
      </c>
      <c r="G204" s="691" t="s">
        <v>197</v>
      </c>
      <c r="H204" s="691" t="s">
        <v>217</v>
      </c>
      <c r="I204" s="691" t="s">
        <v>207</v>
      </c>
      <c r="J204" s="691" t="s">
        <v>147</v>
      </c>
      <c r="K204" s="691" t="s">
        <v>125</v>
      </c>
      <c r="L204" s="691" t="s">
        <v>177</v>
      </c>
      <c r="M204" s="691" t="s">
        <v>237</v>
      </c>
      <c r="N204" s="691" t="s">
        <v>227</v>
      </c>
      <c r="O204" s="589"/>
      <c r="P204" s="717" cm="1">
        <f t="array" ref="P204">F204</f>
        <v>203</v>
      </c>
      <c r="Q204" s="620" t="str" cm="1">
        <f t="array" ref="Q204">RIGHT(G204,1)</f>
        <v>H</v>
      </c>
      <c r="R204" s="590" t="str" cm="1">
        <f t="array" ref="R204">RIGHT(H204,1)</f>
        <v>J</v>
      </c>
      <c r="S204" s="590" t="str" cm="1">
        <f t="array" ref="S204">RIGHT(I204,1)</f>
        <v>I</v>
      </c>
      <c r="T204" s="590" t="str" cm="1">
        <f t="array" ref="T204">RIGHT(J204,1)</f>
        <v>C</v>
      </c>
      <c r="U204" s="590" t="str" cm="1">
        <f t="array" ref="U204">RIGHT(K204,1)</f>
        <v>A</v>
      </c>
      <c r="V204" s="590" t="str" cm="1">
        <f t="array" ref="V204">RIGHT(L204,1)</f>
        <v>F</v>
      </c>
      <c r="W204" s="590" t="str" cm="1">
        <f t="array" ref="W204">RIGHT(M204,1)</f>
        <v>L</v>
      </c>
      <c r="X204" s="590" t="str" cm="1">
        <f t="array" ref="X204">RIGHT(N204,1)</f>
        <v>K</v>
      </c>
      <c r="Y204" s="708" cm="1">
        <f t="array" ref="Y204">COUNTIF($AA$2:$AA$9,Q204)+COUNTIF($AA$2:$AA$9,R204)+COUNTIF($AA$2:$AA$9,S204)+COUNTIF($AA$2:$AA$9,T204)+COUNTIF($AA$2:$AA$9,U204)+COUNTIF($AA$2:$AA$9,V204)+COUNTIF($AA$2:$AA$9,W204)+COUNTIF($AA$2:$AA$9,X204)</f>
        <v>6</v>
      </c>
      <c r="Z204" s="589"/>
      <c r="AA204" s="589"/>
      <c r="AB204" s="589"/>
      <c r="AC204" s="589"/>
      <c r="AD204" s="589"/>
      <c r="AE204" s="589"/>
      <c r="AF204" s="589"/>
      <c r="AG204" s="589"/>
      <c r="AH204" s="589"/>
      <c r="AI204" s="589"/>
      <c r="AJ204" s="589"/>
      <c r="AK204" s="589"/>
      <c r="AL204" s="589"/>
      <c r="AM204" s="589"/>
      <c r="AN204" s="589"/>
      <c r="AO204" s="589"/>
      <c r="AP204" s="589"/>
      <c r="AQ204" s="589"/>
      <c r="AR204" s="589"/>
      <c r="AS204" s="589"/>
      <c r="AT204" s="589"/>
      <c r="AU204" s="589"/>
      <c r="AV204" s="589"/>
      <c r="AW204" s="589"/>
      <c r="AX204" s="589"/>
      <c r="AY204" s="589"/>
      <c r="AZ204" s="589"/>
      <c r="BA204" s="589"/>
      <c r="BB204" s="589"/>
      <c r="BC204" s="589"/>
      <c r="BD204" s="589"/>
      <c r="BE204" s="589"/>
      <c r="BF204" s="589"/>
      <c r="BG204" s="589"/>
      <c r="BH204" s="589"/>
      <c r="BI204" s="589"/>
      <c r="BJ204" s="589"/>
      <c r="BK204" s="589"/>
      <c r="BL204" s="589"/>
    </row>
    <row r="205" spans="1:64" ht="14.25" customHeight="1">
      <c r="A205" s="691" t="s">
        <v>542</v>
      </c>
      <c r="B205" s="589"/>
      <c r="C205" s="589"/>
      <c r="D205" s="589"/>
      <c r="E205" s="589"/>
      <c r="F205" s="591">
        <v>204</v>
      </c>
      <c r="G205" s="691" t="s">
        <v>207</v>
      </c>
      <c r="H205" s="691" t="s">
        <v>187</v>
      </c>
      <c r="I205" s="691" t="s">
        <v>217</v>
      </c>
      <c r="J205" s="691" t="s">
        <v>147</v>
      </c>
      <c r="K205" s="691" t="s">
        <v>125</v>
      </c>
      <c r="L205" s="691" t="s">
        <v>177</v>
      </c>
      <c r="M205" s="691" t="s">
        <v>237</v>
      </c>
      <c r="N205" s="691" t="s">
        <v>227</v>
      </c>
      <c r="O205" s="589"/>
      <c r="P205" s="717" cm="1">
        <f t="array" ref="P205">F205</f>
        <v>204</v>
      </c>
      <c r="Q205" s="620" t="str" cm="1">
        <f t="array" ref="Q205">RIGHT(G205,1)</f>
        <v>I</v>
      </c>
      <c r="R205" s="590" t="str" cm="1">
        <f t="array" ref="R205">RIGHT(H205,1)</f>
        <v>G</v>
      </c>
      <c r="S205" s="590" t="str" cm="1">
        <f t="array" ref="S205">RIGHT(I205,1)</f>
        <v>J</v>
      </c>
      <c r="T205" s="590" t="str" cm="1">
        <f t="array" ref="T205">RIGHT(J205,1)</f>
        <v>C</v>
      </c>
      <c r="U205" s="590" t="str" cm="1">
        <f t="array" ref="U205">RIGHT(K205,1)</f>
        <v>A</v>
      </c>
      <c r="V205" s="590" t="str" cm="1">
        <f t="array" ref="V205">RIGHT(L205,1)</f>
        <v>F</v>
      </c>
      <c r="W205" s="590" t="str" cm="1">
        <f t="array" ref="W205">RIGHT(M205,1)</f>
        <v>L</v>
      </c>
      <c r="X205" s="590" t="str" cm="1">
        <f t="array" ref="X205">RIGHT(N205,1)</f>
        <v>K</v>
      </c>
      <c r="Y205" s="708" cm="1">
        <f t="array" ref="Y205">COUNTIF($AA$2:$AA$9,Q205)+COUNTIF($AA$2:$AA$9,R205)+COUNTIF($AA$2:$AA$9,S205)+COUNTIF($AA$2:$AA$9,T205)+COUNTIF($AA$2:$AA$9,U205)+COUNTIF($AA$2:$AA$9,V205)+COUNTIF($AA$2:$AA$9,W205)+COUNTIF($AA$2:$AA$9,X205)</f>
        <v>6</v>
      </c>
      <c r="Z205" s="589"/>
      <c r="AA205" s="589"/>
      <c r="AB205" s="589"/>
      <c r="AC205" s="589"/>
      <c r="AD205" s="589"/>
      <c r="AE205" s="589"/>
      <c r="AF205" s="589"/>
      <c r="AG205" s="589"/>
      <c r="AH205" s="589"/>
      <c r="AI205" s="589"/>
      <c r="AJ205" s="589"/>
      <c r="AK205" s="589"/>
      <c r="AL205" s="589"/>
      <c r="AM205" s="589"/>
      <c r="AN205" s="589"/>
      <c r="AO205" s="589"/>
      <c r="AP205" s="589"/>
      <c r="AQ205" s="589"/>
      <c r="AR205" s="589"/>
      <c r="AS205" s="589"/>
      <c r="AT205" s="589"/>
      <c r="AU205" s="589"/>
      <c r="AV205" s="589"/>
      <c r="AW205" s="589"/>
      <c r="AX205" s="589"/>
      <c r="AY205" s="589"/>
      <c r="AZ205" s="589"/>
      <c r="BA205" s="589"/>
      <c r="BB205" s="589"/>
      <c r="BC205" s="589"/>
      <c r="BD205" s="589"/>
      <c r="BE205" s="589"/>
      <c r="BF205" s="589"/>
      <c r="BG205" s="589"/>
      <c r="BH205" s="589"/>
      <c r="BI205" s="589"/>
      <c r="BJ205" s="589"/>
      <c r="BK205" s="589"/>
      <c r="BL205" s="589"/>
    </row>
    <row r="206" spans="1:64" ht="14.25" customHeight="1">
      <c r="A206" s="691" t="s">
        <v>543</v>
      </c>
      <c r="B206" s="589"/>
      <c r="C206" s="589"/>
      <c r="D206" s="589"/>
      <c r="E206" s="589"/>
      <c r="F206" s="591">
        <v>205</v>
      </c>
      <c r="G206" s="691" t="s">
        <v>197</v>
      </c>
      <c r="H206" s="691" t="s">
        <v>187</v>
      </c>
      <c r="I206" s="691" t="s">
        <v>217</v>
      </c>
      <c r="J206" s="691" t="s">
        <v>147</v>
      </c>
      <c r="K206" s="691" t="s">
        <v>125</v>
      </c>
      <c r="L206" s="691" t="s">
        <v>177</v>
      </c>
      <c r="M206" s="691" t="s">
        <v>237</v>
      </c>
      <c r="N206" s="691" t="s">
        <v>227</v>
      </c>
      <c r="O206" s="589"/>
      <c r="P206" s="717" cm="1">
        <f t="array" ref="P206">F206</f>
        <v>205</v>
      </c>
      <c r="Q206" s="620" t="str" cm="1">
        <f t="array" ref="Q206">RIGHT(G206,1)</f>
        <v>H</v>
      </c>
      <c r="R206" s="590" t="str" cm="1">
        <f t="array" ref="R206">RIGHT(H206,1)</f>
        <v>G</v>
      </c>
      <c r="S206" s="590" t="str" cm="1">
        <f t="array" ref="S206">RIGHT(I206,1)</f>
        <v>J</v>
      </c>
      <c r="T206" s="590" t="str" cm="1">
        <f t="array" ref="T206">RIGHT(J206,1)</f>
        <v>C</v>
      </c>
      <c r="U206" s="590" t="str" cm="1">
        <f t="array" ref="U206">RIGHT(K206,1)</f>
        <v>A</v>
      </c>
      <c r="V206" s="590" t="str" cm="1">
        <f t="array" ref="V206">RIGHT(L206,1)</f>
        <v>F</v>
      </c>
      <c r="W206" s="590" t="str" cm="1">
        <f t="array" ref="W206">RIGHT(M206,1)</f>
        <v>L</v>
      </c>
      <c r="X206" s="590" t="str" cm="1">
        <f t="array" ref="X206">RIGHT(N206,1)</f>
        <v>K</v>
      </c>
      <c r="Y206" s="708" cm="1">
        <f t="array" ref="Y206">COUNTIF($AA$2:$AA$9,Q206)+COUNTIF($AA$2:$AA$9,R206)+COUNTIF($AA$2:$AA$9,S206)+COUNTIF($AA$2:$AA$9,T206)+COUNTIF($AA$2:$AA$9,U206)+COUNTIF($AA$2:$AA$9,V206)+COUNTIF($AA$2:$AA$9,W206)+COUNTIF($AA$2:$AA$9,X206)</f>
        <v>5</v>
      </c>
      <c r="Z206" s="589"/>
      <c r="AA206" s="589"/>
      <c r="AB206" s="589"/>
      <c r="AC206" s="589"/>
      <c r="AD206" s="589"/>
      <c r="AE206" s="589"/>
      <c r="AF206" s="589"/>
      <c r="AG206" s="589"/>
      <c r="AH206" s="589"/>
      <c r="AI206" s="589"/>
      <c r="AJ206" s="589"/>
      <c r="AK206" s="589"/>
      <c r="AL206" s="589"/>
      <c r="AM206" s="589"/>
      <c r="AN206" s="589"/>
      <c r="AO206" s="589"/>
      <c r="AP206" s="589"/>
      <c r="AQ206" s="589"/>
      <c r="AR206" s="589"/>
      <c r="AS206" s="589"/>
      <c r="AT206" s="589"/>
      <c r="AU206" s="589"/>
      <c r="AV206" s="589"/>
      <c r="AW206" s="589"/>
      <c r="AX206" s="589"/>
      <c r="AY206" s="589"/>
      <c r="AZ206" s="589"/>
      <c r="BA206" s="589"/>
      <c r="BB206" s="589"/>
      <c r="BC206" s="589"/>
      <c r="BD206" s="589"/>
      <c r="BE206" s="589"/>
      <c r="BF206" s="589"/>
      <c r="BG206" s="589"/>
      <c r="BH206" s="589"/>
      <c r="BI206" s="589"/>
      <c r="BJ206" s="589"/>
      <c r="BK206" s="589"/>
      <c r="BL206" s="589"/>
    </row>
    <row r="207" spans="1:64" ht="14.25" customHeight="1">
      <c r="A207" s="691" t="s">
        <v>544</v>
      </c>
      <c r="B207" s="589"/>
      <c r="C207" s="589"/>
      <c r="D207" s="589"/>
      <c r="E207" s="589"/>
      <c r="F207" s="591">
        <v>206</v>
      </c>
      <c r="G207" s="691" t="s">
        <v>197</v>
      </c>
      <c r="H207" s="691" t="s">
        <v>187</v>
      </c>
      <c r="I207" s="691" t="s">
        <v>207</v>
      </c>
      <c r="J207" s="691" t="s">
        <v>147</v>
      </c>
      <c r="K207" s="691" t="s">
        <v>125</v>
      </c>
      <c r="L207" s="691" t="s">
        <v>177</v>
      </c>
      <c r="M207" s="691" t="s">
        <v>237</v>
      </c>
      <c r="N207" s="691" t="s">
        <v>227</v>
      </c>
      <c r="O207" s="589"/>
      <c r="P207" s="717" cm="1">
        <f t="array" ref="P207">F207</f>
        <v>206</v>
      </c>
      <c r="Q207" s="620" t="str" cm="1">
        <f t="array" ref="Q207">RIGHT(G207,1)</f>
        <v>H</v>
      </c>
      <c r="R207" s="590" t="str" cm="1">
        <f t="array" ref="R207">RIGHT(H207,1)</f>
        <v>G</v>
      </c>
      <c r="S207" s="590" t="str" cm="1">
        <f t="array" ref="S207">RIGHT(I207,1)</f>
        <v>I</v>
      </c>
      <c r="T207" s="590" t="str" cm="1">
        <f t="array" ref="T207">RIGHT(J207,1)</f>
        <v>C</v>
      </c>
      <c r="U207" s="590" t="str" cm="1">
        <f t="array" ref="U207">RIGHT(K207,1)</f>
        <v>A</v>
      </c>
      <c r="V207" s="590" t="str" cm="1">
        <f t="array" ref="V207">RIGHT(L207,1)</f>
        <v>F</v>
      </c>
      <c r="W207" s="590" t="str" cm="1">
        <f t="array" ref="W207">RIGHT(M207,1)</f>
        <v>L</v>
      </c>
      <c r="X207" s="590" t="str" cm="1">
        <f t="array" ref="X207">RIGHT(N207,1)</f>
        <v>K</v>
      </c>
      <c r="Y207" s="708" cm="1">
        <f t="array" ref="Y207">COUNTIF($AA$2:$AA$9,Q207)+COUNTIF($AA$2:$AA$9,R207)+COUNTIF($AA$2:$AA$9,S207)+COUNTIF($AA$2:$AA$9,T207)+COUNTIF($AA$2:$AA$9,U207)+COUNTIF($AA$2:$AA$9,V207)+COUNTIF($AA$2:$AA$9,W207)+COUNTIF($AA$2:$AA$9,X207)</f>
        <v>5</v>
      </c>
      <c r="Z207" s="589"/>
      <c r="AA207" s="589"/>
      <c r="AB207" s="589"/>
      <c r="AC207" s="589"/>
      <c r="AD207" s="589"/>
      <c r="AE207" s="589"/>
      <c r="AF207" s="589"/>
      <c r="AG207" s="589"/>
      <c r="AH207" s="589"/>
      <c r="AI207" s="589"/>
      <c r="AJ207" s="589"/>
      <c r="AK207" s="589"/>
      <c r="AL207" s="589"/>
      <c r="AM207" s="589"/>
      <c r="AN207" s="589"/>
      <c r="AO207" s="589"/>
      <c r="AP207" s="589"/>
      <c r="AQ207" s="589"/>
      <c r="AR207" s="589"/>
      <c r="AS207" s="589"/>
      <c r="AT207" s="589"/>
      <c r="AU207" s="589"/>
      <c r="AV207" s="589"/>
      <c r="AW207" s="589"/>
      <c r="AX207" s="589"/>
      <c r="AY207" s="589"/>
      <c r="AZ207" s="589"/>
      <c r="BA207" s="589"/>
      <c r="BB207" s="589"/>
      <c r="BC207" s="589"/>
      <c r="BD207" s="589"/>
      <c r="BE207" s="589"/>
      <c r="BF207" s="589"/>
      <c r="BG207" s="589"/>
      <c r="BH207" s="589"/>
      <c r="BI207" s="589"/>
      <c r="BJ207" s="589"/>
      <c r="BK207" s="589"/>
      <c r="BL207" s="589"/>
    </row>
    <row r="208" spans="1:64" ht="14.25" customHeight="1">
      <c r="A208" s="691" t="s">
        <v>545</v>
      </c>
      <c r="B208" s="589"/>
      <c r="C208" s="589"/>
      <c r="D208" s="589"/>
      <c r="E208" s="589"/>
      <c r="F208" s="591">
        <v>207</v>
      </c>
      <c r="G208" s="691" t="s">
        <v>197</v>
      </c>
      <c r="H208" s="691" t="s">
        <v>187</v>
      </c>
      <c r="I208" s="691" t="s">
        <v>217</v>
      </c>
      <c r="J208" s="691" t="s">
        <v>147</v>
      </c>
      <c r="K208" s="691" t="s">
        <v>125</v>
      </c>
      <c r="L208" s="691" t="s">
        <v>177</v>
      </c>
      <c r="M208" s="691" t="s">
        <v>237</v>
      </c>
      <c r="N208" s="691" t="s">
        <v>207</v>
      </c>
      <c r="O208" s="589"/>
      <c r="P208" s="717" cm="1">
        <f t="array" ref="P208">F208</f>
        <v>207</v>
      </c>
      <c r="Q208" s="620" t="str" cm="1">
        <f t="array" ref="Q208">RIGHT(G208,1)</f>
        <v>H</v>
      </c>
      <c r="R208" s="590" t="str" cm="1">
        <f t="array" ref="R208">RIGHT(H208,1)</f>
        <v>G</v>
      </c>
      <c r="S208" s="590" t="str" cm="1">
        <f t="array" ref="S208">RIGHT(I208,1)</f>
        <v>J</v>
      </c>
      <c r="T208" s="590" t="str" cm="1">
        <f t="array" ref="T208">RIGHT(J208,1)</f>
        <v>C</v>
      </c>
      <c r="U208" s="590" t="str" cm="1">
        <f t="array" ref="U208">RIGHT(K208,1)</f>
        <v>A</v>
      </c>
      <c r="V208" s="590" t="str" cm="1">
        <f t="array" ref="V208">RIGHT(L208,1)</f>
        <v>F</v>
      </c>
      <c r="W208" s="590" t="str" cm="1">
        <f t="array" ref="W208">RIGHT(M208,1)</f>
        <v>L</v>
      </c>
      <c r="X208" s="590" t="str" cm="1">
        <f t="array" ref="X208">RIGHT(N208,1)</f>
        <v>I</v>
      </c>
      <c r="Y208" s="708" cm="1">
        <f t="array" ref="Y208">COUNTIF($AA$2:$AA$9,Q208)+COUNTIF($AA$2:$AA$9,R208)+COUNTIF($AA$2:$AA$9,S208)+COUNTIF($AA$2:$AA$9,T208)+COUNTIF($AA$2:$AA$9,U208)+COUNTIF($AA$2:$AA$9,V208)+COUNTIF($AA$2:$AA$9,W208)+COUNTIF($AA$2:$AA$9,X208)</f>
        <v>6</v>
      </c>
      <c r="Z208" s="589"/>
      <c r="AA208" s="589"/>
      <c r="AB208" s="589"/>
      <c r="AC208" s="589"/>
      <c r="AD208" s="589"/>
      <c r="AE208" s="589"/>
      <c r="AF208" s="589"/>
      <c r="AG208" s="589"/>
      <c r="AH208" s="589"/>
      <c r="AI208" s="589"/>
      <c r="AJ208" s="589"/>
      <c r="AK208" s="589"/>
      <c r="AL208" s="589"/>
      <c r="AM208" s="589"/>
      <c r="AN208" s="589"/>
      <c r="AO208" s="589"/>
      <c r="AP208" s="589"/>
      <c r="AQ208" s="589"/>
      <c r="AR208" s="589"/>
      <c r="AS208" s="589"/>
      <c r="AT208" s="589"/>
      <c r="AU208" s="589"/>
      <c r="AV208" s="589"/>
      <c r="AW208" s="589"/>
      <c r="AX208" s="589"/>
      <c r="AY208" s="589"/>
      <c r="AZ208" s="589"/>
      <c r="BA208" s="589"/>
      <c r="BB208" s="589"/>
      <c r="BC208" s="589"/>
      <c r="BD208" s="589"/>
      <c r="BE208" s="589"/>
      <c r="BF208" s="589"/>
      <c r="BG208" s="589"/>
      <c r="BH208" s="589"/>
      <c r="BI208" s="589"/>
      <c r="BJ208" s="589"/>
      <c r="BK208" s="589"/>
      <c r="BL208" s="589"/>
    </row>
    <row r="209" spans="1:64" ht="14.25" customHeight="1">
      <c r="A209" s="691" t="s">
        <v>546</v>
      </c>
      <c r="B209" s="589"/>
      <c r="C209" s="589"/>
      <c r="D209" s="589"/>
      <c r="E209" s="589"/>
      <c r="F209" s="591">
        <v>208</v>
      </c>
      <c r="G209" s="691" t="s">
        <v>197</v>
      </c>
      <c r="H209" s="691" t="s">
        <v>187</v>
      </c>
      <c r="I209" s="691" t="s">
        <v>217</v>
      </c>
      <c r="J209" s="691" t="s">
        <v>147</v>
      </c>
      <c r="K209" s="691" t="s">
        <v>125</v>
      </c>
      <c r="L209" s="691" t="s">
        <v>177</v>
      </c>
      <c r="M209" s="691" t="s">
        <v>207</v>
      </c>
      <c r="N209" s="691" t="s">
        <v>227</v>
      </c>
      <c r="O209" s="589"/>
      <c r="P209" s="717" cm="1">
        <f t="array" ref="P209">F209</f>
        <v>208</v>
      </c>
      <c r="Q209" s="620" t="str" cm="1">
        <f t="array" ref="Q209">RIGHT(G209,1)</f>
        <v>H</v>
      </c>
      <c r="R209" s="590" t="str" cm="1">
        <f t="array" ref="R209">RIGHT(H209,1)</f>
        <v>G</v>
      </c>
      <c r="S209" s="590" t="str" cm="1">
        <f t="array" ref="S209">RIGHT(I209,1)</f>
        <v>J</v>
      </c>
      <c r="T209" s="590" t="str" cm="1">
        <f t="array" ref="T209">RIGHT(J209,1)</f>
        <v>C</v>
      </c>
      <c r="U209" s="590" t="str" cm="1">
        <f t="array" ref="U209">RIGHT(K209,1)</f>
        <v>A</v>
      </c>
      <c r="V209" s="590" t="str" cm="1">
        <f t="array" ref="V209">RIGHT(L209,1)</f>
        <v>F</v>
      </c>
      <c r="W209" s="590" t="str" cm="1">
        <f t="array" ref="W209">RIGHT(M209,1)</f>
        <v>I</v>
      </c>
      <c r="X209" s="590" t="str" cm="1">
        <f t="array" ref="X209">RIGHT(N209,1)</f>
        <v>K</v>
      </c>
      <c r="Y209" s="708" cm="1">
        <f t="array" ref="Y209">COUNTIF($AA$2:$AA$9,Q209)+COUNTIF($AA$2:$AA$9,R209)+COUNTIF($AA$2:$AA$9,S209)+COUNTIF($AA$2:$AA$9,T209)+COUNTIF($AA$2:$AA$9,U209)+COUNTIF($AA$2:$AA$9,V209)+COUNTIF($AA$2:$AA$9,W209)+COUNTIF($AA$2:$AA$9,X209)</f>
        <v>5</v>
      </c>
      <c r="Z209" s="589"/>
      <c r="AA209" s="589"/>
      <c r="AB209" s="589"/>
      <c r="AC209" s="589"/>
      <c r="AD209" s="589"/>
      <c r="AE209" s="589"/>
      <c r="AF209" s="589"/>
      <c r="AG209" s="589"/>
      <c r="AH209" s="589"/>
      <c r="AI209" s="589"/>
      <c r="AJ209" s="589"/>
      <c r="AK209" s="589"/>
      <c r="AL209" s="589"/>
      <c r="AM209" s="589"/>
      <c r="AN209" s="589"/>
      <c r="AO209" s="589"/>
      <c r="AP209" s="589"/>
      <c r="AQ209" s="589"/>
      <c r="AR209" s="589"/>
      <c r="AS209" s="589"/>
      <c r="AT209" s="589"/>
      <c r="AU209" s="589"/>
      <c r="AV209" s="589"/>
      <c r="AW209" s="589"/>
      <c r="AX209" s="589"/>
      <c r="AY209" s="589"/>
      <c r="AZ209" s="589"/>
      <c r="BA209" s="589"/>
      <c r="BB209" s="589"/>
      <c r="BC209" s="589"/>
      <c r="BD209" s="589"/>
      <c r="BE209" s="589"/>
      <c r="BF209" s="589"/>
      <c r="BG209" s="589"/>
      <c r="BH209" s="589"/>
      <c r="BI209" s="589"/>
      <c r="BJ209" s="589"/>
      <c r="BK209" s="589"/>
      <c r="BL209" s="589"/>
    </row>
    <row r="210" spans="1:64" ht="14.25" customHeight="1">
      <c r="A210" s="691" t="s">
        <v>547</v>
      </c>
      <c r="B210" s="589"/>
      <c r="C210" s="589"/>
      <c r="D210" s="589"/>
      <c r="E210" s="589"/>
      <c r="F210" s="591">
        <v>209</v>
      </c>
      <c r="G210" s="691" t="s">
        <v>167</v>
      </c>
      <c r="H210" s="691" t="s">
        <v>217</v>
      </c>
      <c r="I210" s="691" t="s">
        <v>207</v>
      </c>
      <c r="J210" s="691" t="s">
        <v>147</v>
      </c>
      <c r="K210" s="691" t="s">
        <v>125</v>
      </c>
      <c r="L210" s="691" t="s">
        <v>197</v>
      </c>
      <c r="M210" s="691" t="s">
        <v>237</v>
      </c>
      <c r="N210" s="691" t="s">
        <v>227</v>
      </c>
      <c r="O210" s="589"/>
      <c r="P210" s="717" cm="1">
        <f t="array" ref="P210">F210</f>
        <v>209</v>
      </c>
      <c r="Q210" s="620" t="str" cm="1">
        <f t="array" ref="Q210">RIGHT(G210,1)</f>
        <v>E</v>
      </c>
      <c r="R210" s="590" t="str" cm="1">
        <f t="array" ref="R210">RIGHT(H210,1)</f>
        <v>J</v>
      </c>
      <c r="S210" s="590" t="str" cm="1">
        <f t="array" ref="S210">RIGHT(I210,1)</f>
        <v>I</v>
      </c>
      <c r="T210" s="590" t="str" cm="1">
        <f t="array" ref="T210">RIGHT(J210,1)</f>
        <v>C</v>
      </c>
      <c r="U210" s="590" t="str" cm="1">
        <f t="array" ref="U210">RIGHT(K210,1)</f>
        <v>A</v>
      </c>
      <c r="V210" s="590" t="str" cm="1">
        <f t="array" ref="V210">RIGHT(L210,1)</f>
        <v>H</v>
      </c>
      <c r="W210" s="590" t="str" cm="1">
        <f t="array" ref="W210">RIGHT(M210,1)</f>
        <v>L</v>
      </c>
      <c r="X210" s="590" t="str" cm="1">
        <f t="array" ref="X210">RIGHT(N210,1)</f>
        <v>K</v>
      </c>
      <c r="Y210" s="708" cm="1">
        <f t="array" ref="Y210">COUNTIF($AA$2:$AA$9,Q210)+COUNTIF($AA$2:$AA$9,R210)+COUNTIF($AA$2:$AA$9,S210)+COUNTIF($AA$2:$AA$9,T210)+COUNTIF($AA$2:$AA$9,U210)+COUNTIF($AA$2:$AA$9,V210)+COUNTIF($AA$2:$AA$9,W210)+COUNTIF($AA$2:$AA$9,X210)</f>
        <v>6</v>
      </c>
      <c r="Z210" s="589"/>
      <c r="AA210" s="589"/>
      <c r="AB210" s="589"/>
      <c r="AC210" s="589"/>
      <c r="AD210" s="589"/>
      <c r="AE210" s="589"/>
      <c r="AF210" s="589"/>
      <c r="AG210" s="589"/>
      <c r="AH210" s="589"/>
      <c r="AI210" s="589"/>
      <c r="AJ210" s="589"/>
      <c r="AK210" s="589"/>
      <c r="AL210" s="589"/>
      <c r="AM210" s="589"/>
      <c r="AN210" s="589"/>
      <c r="AO210" s="589"/>
      <c r="AP210" s="589"/>
      <c r="AQ210" s="589"/>
      <c r="AR210" s="589"/>
      <c r="AS210" s="589"/>
      <c r="AT210" s="589"/>
      <c r="AU210" s="589"/>
      <c r="AV210" s="589"/>
      <c r="AW210" s="589"/>
      <c r="AX210" s="589"/>
      <c r="AY210" s="589"/>
      <c r="AZ210" s="589"/>
      <c r="BA210" s="589"/>
      <c r="BB210" s="589"/>
      <c r="BC210" s="589"/>
      <c r="BD210" s="589"/>
      <c r="BE210" s="589"/>
      <c r="BF210" s="589"/>
      <c r="BG210" s="589"/>
      <c r="BH210" s="589"/>
      <c r="BI210" s="589"/>
      <c r="BJ210" s="589"/>
      <c r="BK210" s="589"/>
      <c r="BL210" s="589"/>
    </row>
    <row r="211" spans="1:64" ht="14.25" customHeight="1">
      <c r="A211" s="691" t="s">
        <v>548</v>
      </c>
      <c r="B211" s="589"/>
      <c r="C211" s="589"/>
      <c r="D211" s="589"/>
      <c r="E211" s="589"/>
      <c r="F211" s="591">
        <v>210</v>
      </c>
      <c r="G211" s="691" t="s">
        <v>167</v>
      </c>
      <c r="H211" s="691" t="s">
        <v>217</v>
      </c>
      <c r="I211" s="691" t="s">
        <v>207</v>
      </c>
      <c r="J211" s="691" t="s">
        <v>147</v>
      </c>
      <c r="K211" s="691" t="s">
        <v>125</v>
      </c>
      <c r="L211" s="691" t="s">
        <v>187</v>
      </c>
      <c r="M211" s="691" t="s">
        <v>237</v>
      </c>
      <c r="N211" s="691" t="s">
        <v>227</v>
      </c>
      <c r="O211" s="589"/>
      <c r="P211" s="717" cm="1">
        <f t="array" ref="P211">F211</f>
        <v>210</v>
      </c>
      <c r="Q211" s="620" t="str" cm="1">
        <f t="array" ref="Q211">RIGHT(G211,1)</f>
        <v>E</v>
      </c>
      <c r="R211" s="590" t="str" cm="1">
        <f t="array" ref="R211">RIGHT(H211,1)</f>
        <v>J</v>
      </c>
      <c r="S211" s="590" t="str" cm="1">
        <f t="array" ref="S211">RIGHT(I211,1)</f>
        <v>I</v>
      </c>
      <c r="T211" s="590" t="str" cm="1">
        <f t="array" ref="T211">RIGHT(J211,1)</f>
        <v>C</v>
      </c>
      <c r="U211" s="590" t="str" cm="1">
        <f t="array" ref="U211">RIGHT(K211,1)</f>
        <v>A</v>
      </c>
      <c r="V211" s="590" t="str" cm="1">
        <f t="array" ref="V211">RIGHT(L211,1)</f>
        <v>G</v>
      </c>
      <c r="W211" s="590" t="str" cm="1">
        <f t="array" ref="W211">RIGHT(M211,1)</f>
        <v>L</v>
      </c>
      <c r="X211" s="590" t="str" cm="1">
        <f t="array" ref="X211">RIGHT(N211,1)</f>
        <v>K</v>
      </c>
      <c r="Y211" s="708" cm="1">
        <f t="array" ref="Y211">COUNTIF($AA$2:$AA$9,Q211)+COUNTIF($AA$2:$AA$9,R211)+COUNTIF($AA$2:$AA$9,S211)+COUNTIF($AA$2:$AA$9,T211)+COUNTIF($AA$2:$AA$9,U211)+COUNTIF($AA$2:$AA$9,V211)+COUNTIF($AA$2:$AA$9,W211)+COUNTIF($AA$2:$AA$9,X211)</f>
        <v>6</v>
      </c>
      <c r="Z211" s="589"/>
      <c r="AA211" s="589"/>
      <c r="AB211" s="589"/>
      <c r="AC211" s="589"/>
      <c r="AD211" s="589"/>
      <c r="AE211" s="589"/>
      <c r="AF211" s="589"/>
      <c r="AG211" s="589"/>
      <c r="AH211" s="589"/>
      <c r="AI211" s="589"/>
      <c r="AJ211" s="589"/>
      <c r="AK211" s="589"/>
      <c r="AL211" s="589"/>
      <c r="AM211" s="589"/>
      <c r="AN211" s="589"/>
      <c r="AO211" s="589"/>
      <c r="AP211" s="589"/>
      <c r="AQ211" s="589"/>
      <c r="AR211" s="589"/>
      <c r="AS211" s="589"/>
      <c r="AT211" s="589"/>
      <c r="AU211" s="589"/>
      <c r="AV211" s="589"/>
      <c r="AW211" s="589"/>
      <c r="AX211" s="589"/>
      <c r="AY211" s="589"/>
      <c r="AZ211" s="589"/>
      <c r="BA211" s="589"/>
      <c r="BB211" s="589"/>
      <c r="BC211" s="589"/>
      <c r="BD211" s="589"/>
      <c r="BE211" s="589"/>
      <c r="BF211" s="589"/>
      <c r="BG211" s="589"/>
      <c r="BH211" s="589"/>
      <c r="BI211" s="589"/>
      <c r="BJ211" s="589"/>
      <c r="BK211" s="589"/>
      <c r="BL211" s="589"/>
    </row>
    <row r="212" spans="1:64" ht="14.25" customHeight="1">
      <c r="A212" s="691" t="s">
        <v>549</v>
      </c>
      <c r="B212" s="589"/>
      <c r="C212" s="589"/>
      <c r="D212" s="589"/>
      <c r="E212" s="589"/>
      <c r="F212" s="591">
        <v>211</v>
      </c>
      <c r="G212" s="691" t="s">
        <v>167</v>
      </c>
      <c r="H212" s="691" t="s">
        <v>187</v>
      </c>
      <c r="I212" s="691" t="s">
        <v>217</v>
      </c>
      <c r="J212" s="691" t="s">
        <v>147</v>
      </c>
      <c r="K212" s="691" t="s">
        <v>125</v>
      </c>
      <c r="L212" s="691" t="s">
        <v>197</v>
      </c>
      <c r="M212" s="691" t="s">
        <v>237</v>
      </c>
      <c r="N212" s="691" t="s">
        <v>227</v>
      </c>
      <c r="O212" s="589"/>
      <c r="P212" s="717" cm="1">
        <f t="array" ref="P212">F212</f>
        <v>211</v>
      </c>
      <c r="Q212" s="620" t="str" cm="1">
        <f t="array" ref="Q212">RIGHT(G212,1)</f>
        <v>E</v>
      </c>
      <c r="R212" s="590" t="str" cm="1">
        <f t="array" ref="R212">RIGHT(H212,1)</f>
        <v>G</v>
      </c>
      <c r="S212" s="590" t="str" cm="1">
        <f t="array" ref="S212">RIGHT(I212,1)</f>
        <v>J</v>
      </c>
      <c r="T212" s="590" t="str" cm="1">
        <f t="array" ref="T212">RIGHT(J212,1)</f>
        <v>C</v>
      </c>
      <c r="U212" s="590" t="str" cm="1">
        <f t="array" ref="U212">RIGHT(K212,1)</f>
        <v>A</v>
      </c>
      <c r="V212" s="590" t="str" cm="1">
        <f t="array" ref="V212">RIGHT(L212,1)</f>
        <v>H</v>
      </c>
      <c r="W212" s="590" t="str" cm="1">
        <f t="array" ref="W212">RIGHT(M212,1)</f>
        <v>L</v>
      </c>
      <c r="X212" s="590" t="str" cm="1">
        <f t="array" ref="X212">RIGHT(N212,1)</f>
        <v>K</v>
      </c>
      <c r="Y212" s="708" cm="1">
        <f t="array" ref="Y212">COUNTIF($AA$2:$AA$9,Q212)+COUNTIF($AA$2:$AA$9,R212)+COUNTIF($AA$2:$AA$9,S212)+COUNTIF($AA$2:$AA$9,T212)+COUNTIF($AA$2:$AA$9,U212)+COUNTIF($AA$2:$AA$9,V212)+COUNTIF($AA$2:$AA$9,W212)+COUNTIF($AA$2:$AA$9,X212)</f>
        <v>5</v>
      </c>
      <c r="Z212" s="589"/>
      <c r="AA212" s="589"/>
      <c r="AB212" s="589"/>
      <c r="AC212" s="589"/>
      <c r="AD212" s="589"/>
      <c r="AE212" s="589"/>
      <c r="AF212" s="589"/>
      <c r="AG212" s="589"/>
      <c r="AH212" s="589"/>
      <c r="AI212" s="589"/>
      <c r="AJ212" s="589"/>
      <c r="AK212" s="589"/>
      <c r="AL212" s="589"/>
      <c r="AM212" s="589"/>
      <c r="AN212" s="589"/>
      <c r="AO212" s="589"/>
      <c r="AP212" s="589"/>
      <c r="AQ212" s="589"/>
      <c r="AR212" s="589"/>
      <c r="AS212" s="589"/>
      <c r="AT212" s="589"/>
      <c r="AU212" s="589"/>
      <c r="AV212" s="589"/>
      <c r="AW212" s="589"/>
      <c r="AX212" s="589"/>
      <c r="AY212" s="589"/>
      <c r="AZ212" s="589"/>
      <c r="BA212" s="589"/>
      <c r="BB212" s="589"/>
      <c r="BC212" s="589"/>
      <c r="BD212" s="589"/>
      <c r="BE212" s="589"/>
      <c r="BF212" s="589"/>
      <c r="BG212" s="589"/>
      <c r="BH212" s="589"/>
      <c r="BI212" s="589"/>
      <c r="BJ212" s="589"/>
      <c r="BK212" s="589"/>
      <c r="BL212" s="589"/>
    </row>
    <row r="213" spans="1:64" ht="14.25" customHeight="1">
      <c r="A213" s="691" t="s">
        <v>550</v>
      </c>
      <c r="B213" s="589"/>
      <c r="C213" s="589"/>
      <c r="D213" s="589"/>
      <c r="E213" s="589"/>
      <c r="F213" s="591">
        <v>212</v>
      </c>
      <c r="G213" s="691" t="s">
        <v>167</v>
      </c>
      <c r="H213" s="691" t="s">
        <v>187</v>
      </c>
      <c r="I213" s="691" t="s">
        <v>207</v>
      </c>
      <c r="J213" s="691" t="s">
        <v>147</v>
      </c>
      <c r="K213" s="691" t="s">
        <v>125</v>
      </c>
      <c r="L213" s="691" t="s">
        <v>197</v>
      </c>
      <c r="M213" s="691" t="s">
        <v>237</v>
      </c>
      <c r="N213" s="691" t="s">
        <v>227</v>
      </c>
      <c r="O213" s="589"/>
      <c r="P213" s="717" cm="1">
        <f t="array" ref="P213">F213</f>
        <v>212</v>
      </c>
      <c r="Q213" s="620" t="str" cm="1">
        <f t="array" ref="Q213">RIGHT(G213,1)</f>
        <v>E</v>
      </c>
      <c r="R213" s="590" t="str" cm="1">
        <f t="array" ref="R213">RIGHT(H213,1)</f>
        <v>G</v>
      </c>
      <c r="S213" s="590" t="str" cm="1">
        <f t="array" ref="S213">RIGHT(I213,1)</f>
        <v>I</v>
      </c>
      <c r="T213" s="590" t="str" cm="1">
        <f t="array" ref="T213">RIGHT(J213,1)</f>
        <v>C</v>
      </c>
      <c r="U213" s="590" t="str" cm="1">
        <f t="array" ref="U213">RIGHT(K213,1)</f>
        <v>A</v>
      </c>
      <c r="V213" s="590" t="str" cm="1">
        <f t="array" ref="V213">RIGHT(L213,1)</f>
        <v>H</v>
      </c>
      <c r="W213" s="590" t="str" cm="1">
        <f t="array" ref="W213">RIGHT(M213,1)</f>
        <v>L</v>
      </c>
      <c r="X213" s="590" t="str" cm="1">
        <f t="array" ref="X213">RIGHT(N213,1)</f>
        <v>K</v>
      </c>
      <c r="Y213" s="708" cm="1">
        <f t="array" ref="Y213">COUNTIF($AA$2:$AA$9,Q213)+COUNTIF($AA$2:$AA$9,R213)+COUNTIF($AA$2:$AA$9,S213)+COUNTIF($AA$2:$AA$9,T213)+COUNTIF($AA$2:$AA$9,U213)+COUNTIF($AA$2:$AA$9,V213)+COUNTIF($AA$2:$AA$9,W213)+COUNTIF($AA$2:$AA$9,X213)</f>
        <v>5</v>
      </c>
      <c r="Z213" s="589"/>
      <c r="AA213" s="589"/>
      <c r="AB213" s="589"/>
      <c r="AC213" s="589"/>
      <c r="AD213" s="589"/>
      <c r="AE213" s="589"/>
      <c r="AF213" s="589"/>
      <c r="AG213" s="589"/>
      <c r="AH213" s="589"/>
      <c r="AI213" s="589"/>
      <c r="AJ213" s="589"/>
      <c r="AK213" s="589"/>
      <c r="AL213" s="589"/>
      <c r="AM213" s="589"/>
      <c r="AN213" s="589"/>
      <c r="AO213" s="589"/>
      <c r="AP213" s="589"/>
      <c r="AQ213" s="589"/>
      <c r="AR213" s="589"/>
      <c r="AS213" s="589"/>
      <c r="AT213" s="589"/>
      <c r="AU213" s="589"/>
      <c r="AV213" s="589"/>
      <c r="AW213" s="589"/>
      <c r="AX213" s="589"/>
      <c r="AY213" s="589"/>
      <c r="AZ213" s="589"/>
      <c r="BA213" s="589"/>
      <c r="BB213" s="589"/>
      <c r="BC213" s="589"/>
      <c r="BD213" s="589"/>
      <c r="BE213" s="589"/>
      <c r="BF213" s="589"/>
      <c r="BG213" s="589"/>
      <c r="BH213" s="589"/>
      <c r="BI213" s="589"/>
      <c r="BJ213" s="589"/>
      <c r="BK213" s="589"/>
      <c r="BL213" s="589"/>
    </row>
    <row r="214" spans="1:64" ht="14.25" customHeight="1">
      <c r="A214" s="691" t="s">
        <v>551</v>
      </c>
      <c r="B214" s="589"/>
      <c r="C214" s="589"/>
      <c r="D214" s="589"/>
      <c r="E214" s="589"/>
      <c r="F214" s="591">
        <v>213</v>
      </c>
      <c r="G214" s="691" t="s">
        <v>167</v>
      </c>
      <c r="H214" s="691" t="s">
        <v>187</v>
      </c>
      <c r="I214" s="691" t="s">
        <v>217</v>
      </c>
      <c r="J214" s="691" t="s">
        <v>147</v>
      </c>
      <c r="K214" s="691" t="s">
        <v>125</v>
      </c>
      <c r="L214" s="691" t="s">
        <v>197</v>
      </c>
      <c r="M214" s="691" t="s">
        <v>237</v>
      </c>
      <c r="N214" s="691" t="s">
        <v>207</v>
      </c>
      <c r="O214" s="589"/>
      <c r="P214" s="717" cm="1">
        <f t="array" ref="P214">F214</f>
        <v>213</v>
      </c>
      <c r="Q214" s="620" t="str" cm="1">
        <f t="array" ref="Q214">RIGHT(G214,1)</f>
        <v>E</v>
      </c>
      <c r="R214" s="590" t="str" cm="1">
        <f t="array" ref="R214">RIGHT(H214,1)</f>
        <v>G</v>
      </c>
      <c r="S214" s="590" t="str" cm="1">
        <f t="array" ref="S214">RIGHT(I214,1)</f>
        <v>J</v>
      </c>
      <c r="T214" s="590" t="str" cm="1">
        <f t="array" ref="T214">RIGHT(J214,1)</f>
        <v>C</v>
      </c>
      <c r="U214" s="590" t="str" cm="1">
        <f t="array" ref="U214">RIGHT(K214,1)</f>
        <v>A</v>
      </c>
      <c r="V214" s="590" t="str" cm="1">
        <f t="array" ref="V214">RIGHT(L214,1)</f>
        <v>H</v>
      </c>
      <c r="W214" s="590" t="str" cm="1">
        <f t="array" ref="W214">RIGHT(M214,1)</f>
        <v>L</v>
      </c>
      <c r="X214" s="590" t="str" cm="1">
        <f t="array" ref="X214">RIGHT(N214,1)</f>
        <v>I</v>
      </c>
      <c r="Y214" s="708" cm="1">
        <f t="array" ref="Y214">COUNTIF($AA$2:$AA$9,Q214)+COUNTIF($AA$2:$AA$9,R214)+COUNTIF($AA$2:$AA$9,S214)+COUNTIF($AA$2:$AA$9,T214)+COUNTIF($AA$2:$AA$9,U214)+COUNTIF($AA$2:$AA$9,V214)+COUNTIF($AA$2:$AA$9,W214)+COUNTIF($AA$2:$AA$9,X214)</f>
        <v>6</v>
      </c>
      <c r="Z214" s="589"/>
      <c r="AA214" s="589"/>
      <c r="AB214" s="589"/>
      <c r="AC214" s="589"/>
      <c r="AD214" s="589"/>
      <c r="AE214" s="589"/>
      <c r="AF214" s="589"/>
      <c r="AG214" s="589"/>
      <c r="AH214" s="589"/>
      <c r="AI214" s="589"/>
      <c r="AJ214" s="589"/>
      <c r="AK214" s="589"/>
      <c r="AL214" s="589"/>
      <c r="AM214" s="589"/>
      <c r="AN214" s="589"/>
      <c r="AO214" s="589"/>
      <c r="AP214" s="589"/>
      <c r="AQ214" s="589"/>
      <c r="AR214" s="589"/>
      <c r="AS214" s="589"/>
      <c r="AT214" s="589"/>
      <c r="AU214" s="589"/>
      <c r="AV214" s="589"/>
      <c r="AW214" s="589"/>
      <c r="AX214" s="589"/>
      <c r="AY214" s="589"/>
      <c r="AZ214" s="589"/>
      <c r="BA214" s="589"/>
      <c r="BB214" s="589"/>
      <c r="BC214" s="589"/>
      <c r="BD214" s="589"/>
      <c r="BE214" s="589"/>
      <c r="BF214" s="589"/>
      <c r="BG214" s="589"/>
      <c r="BH214" s="589"/>
      <c r="BI214" s="589"/>
      <c r="BJ214" s="589"/>
      <c r="BK214" s="589"/>
      <c r="BL214" s="589"/>
    </row>
    <row r="215" spans="1:64" ht="14.25" customHeight="1">
      <c r="A215" s="691" t="s">
        <v>552</v>
      </c>
      <c r="B215" s="589"/>
      <c r="C215" s="589"/>
      <c r="D215" s="589"/>
      <c r="E215" s="589"/>
      <c r="F215" s="591">
        <v>214</v>
      </c>
      <c r="G215" s="691" t="s">
        <v>167</v>
      </c>
      <c r="H215" s="691" t="s">
        <v>187</v>
      </c>
      <c r="I215" s="691" t="s">
        <v>217</v>
      </c>
      <c r="J215" s="691" t="s">
        <v>147</v>
      </c>
      <c r="K215" s="691" t="s">
        <v>125</v>
      </c>
      <c r="L215" s="691" t="s">
        <v>197</v>
      </c>
      <c r="M215" s="691" t="s">
        <v>207</v>
      </c>
      <c r="N215" s="691" t="s">
        <v>227</v>
      </c>
      <c r="O215" s="589"/>
      <c r="P215" s="717" cm="1">
        <f t="array" ref="P215">F215</f>
        <v>214</v>
      </c>
      <c r="Q215" s="620" t="str" cm="1">
        <f t="array" ref="Q215">RIGHT(G215,1)</f>
        <v>E</v>
      </c>
      <c r="R215" s="590" t="str" cm="1">
        <f t="array" ref="R215">RIGHT(H215,1)</f>
        <v>G</v>
      </c>
      <c r="S215" s="590" t="str" cm="1">
        <f t="array" ref="S215">RIGHT(I215,1)</f>
        <v>J</v>
      </c>
      <c r="T215" s="590" t="str" cm="1">
        <f t="array" ref="T215">RIGHT(J215,1)</f>
        <v>C</v>
      </c>
      <c r="U215" s="590" t="str" cm="1">
        <f t="array" ref="U215">RIGHT(K215,1)</f>
        <v>A</v>
      </c>
      <c r="V215" s="590" t="str" cm="1">
        <f t="array" ref="V215">RIGHT(L215,1)</f>
        <v>H</v>
      </c>
      <c r="W215" s="590" t="str" cm="1">
        <f t="array" ref="W215">RIGHT(M215,1)</f>
        <v>I</v>
      </c>
      <c r="X215" s="590" t="str" cm="1">
        <f t="array" ref="X215">RIGHT(N215,1)</f>
        <v>K</v>
      </c>
      <c r="Y215" s="708" cm="1">
        <f t="array" ref="Y215">COUNTIF($AA$2:$AA$9,Q215)+COUNTIF($AA$2:$AA$9,R215)+COUNTIF($AA$2:$AA$9,S215)+COUNTIF($AA$2:$AA$9,T215)+COUNTIF($AA$2:$AA$9,U215)+COUNTIF($AA$2:$AA$9,V215)+COUNTIF($AA$2:$AA$9,W215)+COUNTIF($AA$2:$AA$9,X215)</f>
        <v>5</v>
      </c>
      <c r="Z215" s="589"/>
      <c r="AA215" s="589"/>
      <c r="AB215" s="589"/>
      <c r="AC215" s="589"/>
      <c r="AD215" s="589"/>
      <c r="AE215" s="589"/>
      <c r="AF215" s="589"/>
      <c r="AG215" s="589"/>
      <c r="AH215" s="589"/>
      <c r="AI215" s="589"/>
      <c r="AJ215" s="589"/>
      <c r="AK215" s="589"/>
      <c r="AL215" s="589"/>
      <c r="AM215" s="589"/>
      <c r="AN215" s="589"/>
      <c r="AO215" s="589"/>
      <c r="AP215" s="589"/>
      <c r="AQ215" s="589"/>
      <c r="AR215" s="589"/>
      <c r="AS215" s="589"/>
      <c r="AT215" s="589"/>
      <c r="AU215" s="589"/>
      <c r="AV215" s="589"/>
      <c r="AW215" s="589"/>
      <c r="AX215" s="589"/>
      <c r="AY215" s="589"/>
      <c r="AZ215" s="589"/>
      <c r="BA215" s="589"/>
      <c r="BB215" s="589"/>
      <c r="BC215" s="589"/>
      <c r="BD215" s="589"/>
      <c r="BE215" s="589"/>
      <c r="BF215" s="589"/>
      <c r="BG215" s="589"/>
      <c r="BH215" s="589"/>
      <c r="BI215" s="589"/>
      <c r="BJ215" s="589"/>
      <c r="BK215" s="589"/>
      <c r="BL215" s="589"/>
    </row>
    <row r="216" spans="1:64" ht="14.25" customHeight="1">
      <c r="A216" s="691" t="s">
        <v>553</v>
      </c>
      <c r="B216" s="589"/>
      <c r="C216" s="589"/>
      <c r="D216" s="589"/>
      <c r="E216" s="589"/>
      <c r="F216" s="591">
        <v>215</v>
      </c>
      <c r="G216" s="691" t="s">
        <v>167</v>
      </c>
      <c r="H216" s="691" t="s">
        <v>217</v>
      </c>
      <c r="I216" s="691" t="s">
        <v>207</v>
      </c>
      <c r="J216" s="691" t="s">
        <v>147</v>
      </c>
      <c r="K216" s="691" t="s">
        <v>125</v>
      </c>
      <c r="L216" s="691" t="s">
        <v>177</v>
      </c>
      <c r="M216" s="691" t="s">
        <v>237</v>
      </c>
      <c r="N216" s="691" t="s">
        <v>227</v>
      </c>
      <c r="O216" s="589"/>
      <c r="P216" s="717" cm="1">
        <f t="array" ref="P216">F216</f>
        <v>215</v>
      </c>
      <c r="Q216" s="620" t="str" cm="1">
        <f t="array" ref="Q216">RIGHT(G216,1)</f>
        <v>E</v>
      </c>
      <c r="R216" s="590" t="str" cm="1">
        <f t="array" ref="R216">RIGHT(H216,1)</f>
        <v>J</v>
      </c>
      <c r="S216" s="590" t="str" cm="1">
        <f t="array" ref="S216">RIGHT(I216,1)</f>
        <v>I</v>
      </c>
      <c r="T216" s="590" t="str" cm="1">
        <f t="array" ref="T216">RIGHT(J216,1)</f>
        <v>C</v>
      </c>
      <c r="U216" s="590" t="str" cm="1">
        <f t="array" ref="U216">RIGHT(K216,1)</f>
        <v>A</v>
      </c>
      <c r="V216" s="590" t="str" cm="1">
        <f t="array" ref="V216">RIGHT(L216,1)</f>
        <v>F</v>
      </c>
      <c r="W216" s="590" t="str" cm="1">
        <f t="array" ref="W216">RIGHT(M216,1)</f>
        <v>L</v>
      </c>
      <c r="X216" s="590" t="str" cm="1">
        <f t="array" ref="X216">RIGHT(N216,1)</f>
        <v>K</v>
      </c>
      <c r="Y216" s="708" cm="1">
        <f t="array" ref="Y216">COUNTIF($AA$2:$AA$9,Q216)+COUNTIF($AA$2:$AA$9,R216)+COUNTIF($AA$2:$AA$9,S216)+COUNTIF($AA$2:$AA$9,T216)+COUNTIF($AA$2:$AA$9,U216)+COUNTIF($AA$2:$AA$9,V216)+COUNTIF($AA$2:$AA$9,W216)+COUNTIF($AA$2:$AA$9,X216)</f>
        <v>7</v>
      </c>
      <c r="Z216" s="589"/>
      <c r="AA216" s="589"/>
      <c r="AB216" s="589"/>
      <c r="AC216" s="589"/>
      <c r="AD216" s="589"/>
      <c r="AE216" s="589"/>
      <c r="AF216" s="589"/>
      <c r="AG216" s="589"/>
      <c r="AH216" s="589"/>
      <c r="AI216" s="589"/>
      <c r="AJ216" s="589"/>
      <c r="AK216" s="589"/>
      <c r="AL216" s="589"/>
      <c r="AM216" s="589"/>
      <c r="AN216" s="589"/>
      <c r="AO216" s="589"/>
      <c r="AP216" s="589"/>
      <c r="AQ216" s="589"/>
      <c r="AR216" s="589"/>
      <c r="AS216" s="589"/>
      <c r="AT216" s="589"/>
      <c r="AU216" s="589"/>
      <c r="AV216" s="589"/>
      <c r="AW216" s="589"/>
      <c r="AX216" s="589"/>
      <c r="AY216" s="589"/>
      <c r="AZ216" s="589"/>
      <c r="BA216" s="589"/>
      <c r="BB216" s="589"/>
      <c r="BC216" s="589"/>
      <c r="BD216" s="589"/>
      <c r="BE216" s="589"/>
      <c r="BF216" s="589"/>
      <c r="BG216" s="589"/>
      <c r="BH216" s="589"/>
      <c r="BI216" s="589"/>
      <c r="BJ216" s="589"/>
      <c r="BK216" s="589"/>
      <c r="BL216" s="589"/>
    </row>
    <row r="217" spans="1:64" ht="14.25" customHeight="1">
      <c r="A217" s="691" t="s">
        <v>554</v>
      </c>
      <c r="B217" s="589"/>
      <c r="C217" s="589"/>
      <c r="D217" s="589"/>
      <c r="E217" s="589"/>
      <c r="F217" s="591">
        <v>216</v>
      </c>
      <c r="G217" s="691" t="s">
        <v>197</v>
      </c>
      <c r="H217" s="691" t="s">
        <v>217</v>
      </c>
      <c r="I217" s="691" t="s">
        <v>167</v>
      </c>
      <c r="J217" s="691" t="s">
        <v>147</v>
      </c>
      <c r="K217" s="691" t="s">
        <v>125</v>
      </c>
      <c r="L217" s="691" t="s">
        <v>177</v>
      </c>
      <c r="M217" s="691" t="s">
        <v>237</v>
      </c>
      <c r="N217" s="691" t="s">
        <v>227</v>
      </c>
      <c r="O217" s="589"/>
      <c r="P217" s="717" cm="1">
        <f t="array" ref="P217">F217</f>
        <v>216</v>
      </c>
      <c r="Q217" s="620" t="str" cm="1">
        <f t="array" ref="Q217">RIGHT(G217,1)</f>
        <v>H</v>
      </c>
      <c r="R217" s="590" t="str" cm="1">
        <f t="array" ref="R217">RIGHT(H217,1)</f>
        <v>J</v>
      </c>
      <c r="S217" s="590" t="str" cm="1">
        <f t="array" ref="S217">RIGHT(I217,1)</f>
        <v>E</v>
      </c>
      <c r="T217" s="590" t="str" cm="1">
        <f t="array" ref="T217">RIGHT(J217,1)</f>
        <v>C</v>
      </c>
      <c r="U217" s="590" t="str" cm="1">
        <f t="array" ref="U217">RIGHT(K217,1)</f>
        <v>A</v>
      </c>
      <c r="V217" s="590" t="str" cm="1">
        <f t="array" ref="V217">RIGHT(L217,1)</f>
        <v>F</v>
      </c>
      <c r="W217" s="590" t="str" cm="1">
        <f t="array" ref="W217">RIGHT(M217,1)</f>
        <v>L</v>
      </c>
      <c r="X217" s="590" t="str" cm="1">
        <f t="array" ref="X217">RIGHT(N217,1)</f>
        <v>K</v>
      </c>
      <c r="Y217" s="708" cm="1">
        <f t="array" ref="Y217">COUNTIF($AA$2:$AA$9,Q217)+COUNTIF($AA$2:$AA$9,R217)+COUNTIF($AA$2:$AA$9,S217)+COUNTIF($AA$2:$AA$9,T217)+COUNTIF($AA$2:$AA$9,U217)+COUNTIF($AA$2:$AA$9,V217)+COUNTIF($AA$2:$AA$9,W217)+COUNTIF($AA$2:$AA$9,X217)</f>
        <v>6</v>
      </c>
      <c r="Z217" s="589"/>
      <c r="AA217" s="589"/>
      <c r="AB217" s="589"/>
      <c r="AC217" s="589"/>
      <c r="AD217" s="589"/>
      <c r="AE217" s="589"/>
      <c r="AF217" s="589"/>
      <c r="AG217" s="589"/>
      <c r="AH217" s="589"/>
      <c r="AI217" s="589"/>
      <c r="AJ217" s="589"/>
      <c r="AK217" s="589"/>
      <c r="AL217" s="589"/>
      <c r="AM217" s="589"/>
      <c r="AN217" s="589"/>
      <c r="AO217" s="589"/>
      <c r="AP217" s="589"/>
      <c r="AQ217" s="589"/>
      <c r="AR217" s="589"/>
      <c r="AS217" s="589"/>
      <c r="AT217" s="589"/>
      <c r="AU217" s="589"/>
      <c r="AV217" s="589"/>
      <c r="AW217" s="589"/>
      <c r="AX217" s="589"/>
      <c r="AY217" s="589"/>
      <c r="AZ217" s="589"/>
      <c r="BA217" s="589"/>
      <c r="BB217" s="589"/>
      <c r="BC217" s="589"/>
      <c r="BD217" s="589"/>
      <c r="BE217" s="589"/>
      <c r="BF217" s="589"/>
      <c r="BG217" s="589"/>
      <c r="BH217" s="589"/>
      <c r="BI217" s="589"/>
      <c r="BJ217" s="589"/>
      <c r="BK217" s="589"/>
      <c r="BL217" s="589"/>
    </row>
    <row r="218" spans="1:64" ht="14.25" customHeight="1">
      <c r="A218" s="691" t="s">
        <v>555</v>
      </c>
      <c r="B218" s="589"/>
      <c r="C218" s="589"/>
      <c r="D218" s="589"/>
      <c r="E218" s="589"/>
      <c r="F218" s="591">
        <v>217</v>
      </c>
      <c r="G218" s="691" t="s">
        <v>197</v>
      </c>
      <c r="H218" s="691" t="s">
        <v>167</v>
      </c>
      <c r="I218" s="691" t="s">
        <v>207</v>
      </c>
      <c r="J218" s="691" t="s">
        <v>147</v>
      </c>
      <c r="K218" s="691" t="s">
        <v>125</v>
      </c>
      <c r="L218" s="691" t="s">
        <v>177</v>
      </c>
      <c r="M218" s="691" t="s">
        <v>237</v>
      </c>
      <c r="N218" s="691" t="s">
        <v>227</v>
      </c>
      <c r="O218" s="589"/>
      <c r="P218" s="717" cm="1">
        <f t="array" ref="P218">F218</f>
        <v>217</v>
      </c>
      <c r="Q218" s="620" t="str" cm="1">
        <f t="array" ref="Q218">RIGHT(G218,1)</f>
        <v>H</v>
      </c>
      <c r="R218" s="590" t="str" cm="1">
        <f t="array" ref="R218">RIGHT(H218,1)</f>
        <v>E</v>
      </c>
      <c r="S218" s="590" t="str" cm="1">
        <f t="array" ref="S218">RIGHT(I218,1)</f>
        <v>I</v>
      </c>
      <c r="T218" s="590" t="str" cm="1">
        <f t="array" ref="T218">RIGHT(J218,1)</f>
        <v>C</v>
      </c>
      <c r="U218" s="590" t="str" cm="1">
        <f t="array" ref="U218">RIGHT(K218,1)</f>
        <v>A</v>
      </c>
      <c r="V218" s="590" t="str" cm="1">
        <f t="array" ref="V218">RIGHT(L218,1)</f>
        <v>F</v>
      </c>
      <c r="W218" s="590" t="str" cm="1">
        <f t="array" ref="W218">RIGHT(M218,1)</f>
        <v>L</v>
      </c>
      <c r="X218" s="590" t="str" cm="1">
        <f t="array" ref="X218">RIGHT(N218,1)</f>
        <v>K</v>
      </c>
      <c r="Y218" s="708" cm="1">
        <f t="array" ref="Y218">COUNTIF($AA$2:$AA$9,Q218)+COUNTIF($AA$2:$AA$9,R218)+COUNTIF($AA$2:$AA$9,S218)+COUNTIF($AA$2:$AA$9,T218)+COUNTIF($AA$2:$AA$9,U218)+COUNTIF($AA$2:$AA$9,V218)+COUNTIF($AA$2:$AA$9,W218)+COUNTIF($AA$2:$AA$9,X218)</f>
        <v>6</v>
      </c>
      <c r="Z218" s="589"/>
      <c r="AA218" s="589"/>
      <c r="AB218" s="589"/>
      <c r="AC218" s="589"/>
      <c r="AD218" s="589"/>
      <c r="AE218" s="589"/>
      <c r="AF218" s="589"/>
      <c r="AG218" s="589"/>
      <c r="AH218" s="589"/>
      <c r="AI218" s="589"/>
      <c r="AJ218" s="589"/>
      <c r="AK218" s="589"/>
      <c r="AL218" s="589"/>
      <c r="AM218" s="589"/>
      <c r="AN218" s="589"/>
      <c r="AO218" s="589"/>
      <c r="AP218" s="589"/>
      <c r="AQ218" s="589"/>
      <c r="AR218" s="589"/>
      <c r="AS218" s="589"/>
      <c r="AT218" s="589"/>
      <c r="AU218" s="589"/>
      <c r="AV218" s="589"/>
      <c r="AW218" s="589"/>
      <c r="AX218" s="589"/>
      <c r="AY218" s="589"/>
      <c r="AZ218" s="589"/>
      <c r="BA218" s="589"/>
      <c r="BB218" s="589"/>
      <c r="BC218" s="589"/>
      <c r="BD218" s="589"/>
      <c r="BE218" s="589"/>
      <c r="BF218" s="589"/>
      <c r="BG218" s="589"/>
      <c r="BH218" s="589"/>
      <c r="BI218" s="589"/>
      <c r="BJ218" s="589"/>
      <c r="BK218" s="589"/>
      <c r="BL218" s="589"/>
    </row>
    <row r="219" spans="1:64" ht="14.25" customHeight="1">
      <c r="A219" s="691" t="s">
        <v>556</v>
      </c>
      <c r="B219" s="589"/>
      <c r="C219" s="589"/>
      <c r="D219" s="589"/>
      <c r="E219" s="589"/>
      <c r="F219" s="591">
        <v>218</v>
      </c>
      <c r="G219" s="691" t="s">
        <v>197</v>
      </c>
      <c r="H219" s="691" t="s">
        <v>217</v>
      </c>
      <c r="I219" s="691" t="s">
        <v>167</v>
      </c>
      <c r="J219" s="691" t="s">
        <v>147</v>
      </c>
      <c r="K219" s="691" t="s">
        <v>125</v>
      </c>
      <c r="L219" s="691" t="s">
        <v>177</v>
      </c>
      <c r="M219" s="691" t="s">
        <v>237</v>
      </c>
      <c r="N219" s="691" t="s">
        <v>207</v>
      </c>
      <c r="O219" s="589"/>
      <c r="P219" s="717" cm="1">
        <f t="array" ref="P219">F219</f>
        <v>218</v>
      </c>
      <c r="Q219" s="620" t="str" cm="1">
        <f t="array" ref="Q219">RIGHT(G219,1)</f>
        <v>H</v>
      </c>
      <c r="R219" s="590" t="str" cm="1">
        <f t="array" ref="R219">RIGHT(H219,1)</f>
        <v>J</v>
      </c>
      <c r="S219" s="590" t="str" cm="1">
        <f t="array" ref="S219">RIGHT(I219,1)</f>
        <v>E</v>
      </c>
      <c r="T219" s="590" t="str" cm="1">
        <f t="array" ref="T219">RIGHT(J219,1)</f>
        <v>C</v>
      </c>
      <c r="U219" s="590" t="str" cm="1">
        <f t="array" ref="U219">RIGHT(K219,1)</f>
        <v>A</v>
      </c>
      <c r="V219" s="590" t="str" cm="1">
        <f t="array" ref="V219">RIGHT(L219,1)</f>
        <v>F</v>
      </c>
      <c r="W219" s="590" t="str" cm="1">
        <f t="array" ref="W219">RIGHT(M219,1)</f>
        <v>L</v>
      </c>
      <c r="X219" s="590" t="str" cm="1">
        <f t="array" ref="X219">RIGHT(N219,1)</f>
        <v>I</v>
      </c>
      <c r="Y219" s="708" cm="1">
        <f t="array" ref="Y219">COUNTIF($AA$2:$AA$9,Q219)+COUNTIF($AA$2:$AA$9,R219)+COUNTIF($AA$2:$AA$9,S219)+COUNTIF($AA$2:$AA$9,T219)+COUNTIF($AA$2:$AA$9,U219)+COUNTIF($AA$2:$AA$9,V219)+COUNTIF($AA$2:$AA$9,W219)+COUNTIF($AA$2:$AA$9,X219)</f>
        <v>7</v>
      </c>
      <c r="Z219" s="589"/>
      <c r="AA219" s="589"/>
      <c r="AB219" s="589"/>
      <c r="AC219" s="589"/>
      <c r="AD219" s="589"/>
      <c r="AE219" s="589"/>
      <c r="AF219" s="589"/>
      <c r="AG219" s="589"/>
      <c r="AH219" s="589"/>
      <c r="AI219" s="589"/>
      <c r="AJ219" s="589"/>
      <c r="AK219" s="589"/>
      <c r="AL219" s="589"/>
      <c r="AM219" s="589"/>
      <c r="AN219" s="589"/>
      <c r="AO219" s="589"/>
      <c r="AP219" s="589"/>
      <c r="AQ219" s="589"/>
      <c r="AR219" s="589"/>
      <c r="AS219" s="589"/>
      <c r="AT219" s="589"/>
      <c r="AU219" s="589"/>
      <c r="AV219" s="589"/>
      <c r="AW219" s="589"/>
      <c r="AX219" s="589"/>
      <c r="AY219" s="589"/>
      <c r="AZ219" s="589"/>
      <c r="BA219" s="589"/>
      <c r="BB219" s="589"/>
      <c r="BC219" s="589"/>
      <c r="BD219" s="589"/>
      <c r="BE219" s="589"/>
      <c r="BF219" s="589"/>
      <c r="BG219" s="589"/>
      <c r="BH219" s="589"/>
      <c r="BI219" s="589"/>
      <c r="BJ219" s="589"/>
      <c r="BK219" s="589"/>
      <c r="BL219" s="589"/>
    </row>
    <row r="220" spans="1:64" ht="14.25" customHeight="1">
      <c r="A220" s="691" t="s">
        <v>557</v>
      </c>
      <c r="B220" s="589"/>
      <c r="C220" s="589"/>
      <c r="D220" s="589"/>
      <c r="E220" s="589"/>
      <c r="F220" s="591">
        <v>219</v>
      </c>
      <c r="G220" s="691" t="s">
        <v>197</v>
      </c>
      <c r="H220" s="691" t="s">
        <v>217</v>
      </c>
      <c r="I220" s="691" t="s">
        <v>167</v>
      </c>
      <c r="J220" s="691" t="s">
        <v>147</v>
      </c>
      <c r="K220" s="691" t="s">
        <v>125</v>
      </c>
      <c r="L220" s="691" t="s">
        <v>177</v>
      </c>
      <c r="M220" s="691" t="s">
        <v>207</v>
      </c>
      <c r="N220" s="691" t="s">
        <v>227</v>
      </c>
      <c r="O220" s="589"/>
      <c r="P220" s="717" cm="1">
        <f t="array" ref="P220">F220</f>
        <v>219</v>
      </c>
      <c r="Q220" s="620" t="str" cm="1">
        <f t="array" ref="Q220">RIGHT(G220,1)</f>
        <v>H</v>
      </c>
      <c r="R220" s="590" t="str" cm="1">
        <f t="array" ref="R220">RIGHT(H220,1)</f>
        <v>J</v>
      </c>
      <c r="S220" s="590" t="str" cm="1">
        <f t="array" ref="S220">RIGHT(I220,1)</f>
        <v>E</v>
      </c>
      <c r="T220" s="590" t="str" cm="1">
        <f t="array" ref="T220">RIGHT(J220,1)</f>
        <v>C</v>
      </c>
      <c r="U220" s="590" t="str" cm="1">
        <f t="array" ref="U220">RIGHT(K220,1)</f>
        <v>A</v>
      </c>
      <c r="V220" s="590" t="str" cm="1">
        <f t="array" ref="V220">RIGHT(L220,1)</f>
        <v>F</v>
      </c>
      <c r="W220" s="590" t="str" cm="1">
        <f t="array" ref="W220">RIGHT(M220,1)</f>
        <v>I</v>
      </c>
      <c r="X220" s="590" t="str" cm="1">
        <f t="array" ref="X220">RIGHT(N220,1)</f>
        <v>K</v>
      </c>
      <c r="Y220" s="708" cm="1">
        <f t="array" ref="Y220">COUNTIF($AA$2:$AA$9,Q220)+COUNTIF($AA$2:$AA$9,R220)+COUNTIF($AA$2:$AA$9,S220)+COUNTIF($AA$2:$AA$9,T220)+COUNTIF($AA$2:$AA$9,U220)+COUNTIF($AA$2:$AA$9,V220)+COUNTIF($AA$2:$AA$9,W220)+COUNTIF($AA$2:$AA$9,X220)</f>
        <v>6</v>
      </c>
      <c r="Z220" s="589"/>
      <c r="AA220" s="589"/>
      <c r="AB220" s="589"/>
      <c r="AC220" s="589"/>
      <c r="AD220" s="589"/>
      <c r="AE220" s="589"/>
      <c r="AF220" s="589"/>
      <c r="AG220" s="589"/>
      <c r="AH220" s="589"/>
      <c r="AI220" s="589"/>
      <c r="AJ220" s="589"/>
      <c r="AK220" s="589"/>
      <c r="AL220" s="589"/>
      <c r="AM220" s="589"/>
      <c r="AN220" s="589"/>
      <c r="AO220" s="589"/>
      <c r="AP220" s="589"/>
      <c r="AQ220" s="589"/>
      <c r="AR220" s="589"/>
      <c r="AS220" s="589"/>
      <c r="AT220" s="589"/>
      <c r="AU220" s="589"/>
      <c r="AV220" s="589"/>
      <c r="AW220" s="589"/>
      <c r="AX220" s="589"/>
      <c r="AY220" s="589"/>
      <c r="AZ220" s="589"/>
      <c r="BA220" s="589"/>
      <c r="BB220" s="589"/>
      <c r="BC220" s="589"/>
      <c r="BD220" s="589"/>
      <c r="BE220" s="589"/>
      <c r="BF220" s="589"/>
      <c r="BG220" s="589"/>
      <c r="BH220" s="589"/>
      <c r="BI220" s="589"/>
      <c r="BJ220" s="589"/>
      <c r="BK220" s="589"/>
      <c r="BL220" s="589"/>
    </row>
    <row r="221" spans="1:64" ht="14.25" customHeight="1">
      <c r="A221" s="691" t="s">
        <v>558</v>
      </c>
      <c r="B221" s="589"/>
      <c r="C221" s="589"/>
      <c r="D221" s="589"/>
      <c r="E221" s="589"/>
      <c r="F221" s="591">
        <v>220</v>
      </c>
      <c r="G221" s="691" t="s">
        <v>167</v>
      </c>
      <c r="H221" s="691" t="s">
        <v>187</v>
      </c>
      <c r="I221" s="691" t="s">
        <v>217</v>
      </c>
      <c r="J221" s="691" t="s">
        <v>147</v>
      </c>
      <c r="K221" s="691" t="s">
        <v>125</v>
      </c>
      <c r="L221" s="691" t="s">
        <v>177</v>
      </c>
      <c r="M221" s="691" t="s">
        <v>237</v>
      </c>
      <c r="N221" s="691" t="s">
        <v>227</v>
      </c>
      <c r="O221" s="589"/>
      <c r="P221" s="717" cm="1">
        <f t="array" ref="P221">F221</f>
        <v>220</v>
      </c>
      <c r="Q221" s="620" t="str" cm="1">
        <f t="array" ref="Q221">RIGHT(G221,1)</f>
        <v>E</v>
      </c>
      <c r="R221" s="590" t="str" cm="1">
        <f t="array" ref="R221">RIGHT(H221,1)</f>
        <v>G</v>
      </c>
      <c r="S221" s="590" t="str" cm="1">
        <f t="array" ref="S221">RIGHT(I221,1)</f>
        <v>J</v>
      </c>
      <c r="T221" s="590" t="str" cm="1">
        <f t="array" ref="T221">RIGHT(J221,1)</f>
        <v>C</v>
      </c>
      <c r="U221" s="590" t="str" cm="1">
        <f t="array" ref="U221">RIGHT(K221,1)</f>
        <v>A</v>
      </c>
      <c r="V221" s="590" t="str" cm="1">
        <f t="array" ref="V221">RIGHT(L221,1)</f>
        <v>F</v>
      </c>
      <c r="W221" s="590" t="str" cm="1">
        <f t="array" ref="W221">RIGHT(M221,1)</f>
        <v>L</v>
      </c>
      <c r="X221" s="590" t="str" cm="1">
        <f t="array" ref="X221">RIGHT(N221,1)</f>
        <v>K</v>
      </c>
      <c r="Y221" s="708" cm="1">
        <f t="array" ref="Y221">COUNTIF($AA$2:$AA$9,Q221)+COUNTIF($AA$2:$AA$9,R221)+COUNTIF($AA$2:$AA$9,S221)+COUNTIF($AA$2:$AA$9,T221)+COUNTIF($AA$2:$AA$9,U221)+COUNTIF($AA$2:$AA$9,V221)+COUNTIF($AA$2:$AA$9,W221)+COUNTIF($AA$2:$AA$9,X221)</f>
        <v>6</v>
      </c>
      <c r="Z221" s="589"/>
      <c r="AA221" s="589"/>
      <c r="AB221" s="589"/>
      <c r="AC221" s="589"/>
      <c r="AD221" s="589"/>
      <c r="AE221" s="589"/>
      <c r="AF221" s="589"/>
      <c r="AG221" s="589"/>
      <c r="AH221" s="589"/>
      <c r="AI221" s="589"/>
      <c r="AJ221" s="589"/>
      <c r="AK221" s="589"/>
      <c r="AL221" s="589"/>
      <c r="AM221" s="589"/>
      <c r="AN221" s="589"/>
      <c r="AO221" s="589"/>
      <c r="AP221" s="589"/>
      <c r="AQ221" s="589"/>
      <c r="AR221" s="589"/>
      <c r="AS221" s="589"/>
      <c r="AT221" s="589"/>
      <c r="AU221" s="589"/>
      <c r="AV221" s="589"/>
      <c r="AW221" s="589"/>
      <c r="AX221" s="589"/>
      <c r="AY221" s="589"/>
      <c r="AZ221" s="589"/>
      <c r="BA221" s="589"/>
      <c r="BB221" s="589"/>
      <c r="BC221" s="589"/>
      <c r="BD221" s="589"/>
      <c r="BE221" s="589"/>
      <c r="BF221" s="589"/>
      <c r="BG221" s="589"/>
      <c r="BH221" s="589"/>
      <c r="BI221" s="589"/>
      <c r="BJ221" s="589"/>
      <c r="BK221" s="589"/>
      <c r="BL221" s="589"/>
    </row>
    <row r="222" spans="1:64" ht="14.25" customHeight="1">
      <c r="A222" s="691" t="s">
        <v>559</v>
      </c>
      <c r="B222" s="589"/>
      <c r="C222" s="589"/>
      <c r="D222" s="589"/>
      <c r="E222" s="589"/>
      <c r="F222" s="591">
        <v>221</v>
      </c>
      <c r="G222" s="691" t="s">
        <v>167</v>
      </c>
      <c r="H222" s="691" t="s">
        <v>187</v>
      </c>
      <c r="I222" s="691" t="s">
        <v>207</v>
      </c>
      <c r="J222" s="691" t="s">
        <v>147</v>
      </c>
      <c r="K222" s="691" t="s">
        <v>125</v>
      </c>
      <c r="L222" s="691" t="s">
        <v>177</v>
      </c>
      <c r="M222" s="691" t="s">
        <v>237</v>
      </c>
      <c r="N222" s="691" t="s">
        <v>227</v>
      </c>
      <c r="O222" s="589"/>
      <c r="P222" s="717" cm="1">
        <f t="array" ref="P222">F222</f>
        <v>221</v>
      </c>
      <c r="Q222" s="620" t="str" cm="1">
        <f t="array" ref="Q222">RIGHT(G222,1)</f>
        <v>E</v>
      </c>
      <c r="R222" s="590" t="str" cm="1">
        <f t="array" ref="R222">RIGHT(H222,1)</f>
        <v>G</v>
      </c>
      <c r="S222" s="590" t="str" cm="1">
        <f t="array" ref="S222">RIGHT(I222,1)</f>
        <v>I</v>
      </c>
      <c r="T222" s="590" t="str" cm="1">
        <f t="array" ref="T222">RIGHT(J222,1)</f>
        <v>C</v>
      </c>
      <c r="U222" s="590" t="str" cm="1">
        <f t="array" ref="U222">RIGHT(K222,1)</f>
        <v>A</v>
      </c>
      <c r="V222" s="590" t="str" cm="1">
        <f t="array" ref="V222">RIGHT(L222,1)</f>
        <v>F</v>
      </c>
      <c r="W222" s="590" t="str" cm="1">
        <f t="array" ref="W222">RIGHT(M222,1)</f>
        <v>L</v>
      </c>
      <c r="X222" s="590" t="str" cm="1">
        <f t="array" ref="X222">RIGHT(N222,1)</f>
        <v>K</v>
      </c>
      <c r="Y222" s="708" cm="1">
        <f t="array" ref="Y222">COUNTIF($AA$2:$AA$9,Q222)+COUNTIF($AA$2:$AA$9,R222)+COUNTIF($AA$2:$AA$9,S222)+COUNTIF($AA$2:$AA$9,T222)+COUNTIF($AA$2:$AA$9,U222)+COUNTIF($AA$2:$AA$9,V222)+COUNTIF($AA$2:$AA$9,W222)+COUNTIF($AA$2:$AA$9,X222)</f>
        <v>6</v>
      </c>
      <c r="Z222" s="589"/>
      <c r="AA222" s="589"/>
      <c r="AB222" s="589"/>
      <c r="AC222" s="589"/>
      <c r="AD222" s="589"/>
      <c r="AE222" s="589"/>
      <c r="AF222" s="589"/>
      <c r="AG222" s="589"/>
      <c r="AH222" s="589"/>
      <c r="AI222" s="589"/>
      <c r="AJ222" s="589"/>
      <c r="AK222" s="589"/>
      <c r="AL222" s="589"/>
      <c r="AM222" s="589"/>
      <c r="AN222" s="589"/>
      <c r="AO222" s="589"/>
      <c r="AP222" s="589"/>
      <c r="AQ222" s="589"/>
      <c r="AR222" s="589"/>
      <c r="AS222" s="589"/>
      <c r="AT222" s="589"/>
      <c r="AU222" s="589"/>
      <c r="AV222" s="589"/>
      <c r="AW222" s="589"/>
      <c r="AX222" s="589"/>
      <c r="AY222" s="589"/>
      <c r="AZ222" s="589"/>
      <c r="BA222" s="589"/>
      <c r="BB222" s="589"/>
      <c r="BC222" s="589"/>
      <c r="BD222" s="589"/>
      <c r="BE222" s="589"/>
      <c r="BF222" s="589"/>
      <c r="BG222" s="589"/>
      <c r="BH222" s="589"/>
      <c r="BI222" s="589"/>
      <c r="BJ222" s="589"/>
      <c r="BK222" s="589"/>
      <c r="BL222" s="589"/>
    </row>
    <row r="223" spans="1:64" ht="14.25" customHeight="1">
      <c r="A223" s="691" t="s">
        <v>560</v>
      </c>
      <c r="B223" s="589"/>
      <c r="C223" s="589"/>
      <c r="D223" s="589"/>
      <c r="E223" s="589"/>
      <c r="F223" s="591">
        <v>222</v>
      </c>
      <c r="G223" s="691" t="s">
        <v>167</v>
      </c>
      <c r="H223" s="691" t="s">
        <v>187</v>
      </c>
      <c r="I223" s="691" t="s">
        <v>217</v>
      </c>
      <c r="J223" s="691" t="s">
        <v>147</v>
      </c>
      <c r="K223" s="691" t="s">
        <v>125</v>
      </c>
      <c r="L223" s="691" t="s">
        <v>177</v>
      </c>
      <c r="M223" s="691" t="s">
        <v>237</v>
      </c>
      <c r="N223" s="691" t="s">
        <v>207</v>
      </c>
      <c r="O223" s="589"/>
      <c r="P223" s="717" cm="1">
        <f t="array" ref="P223">F223</f>
        <v>222</v>
      </c>
      <c r="Q223" s="620" t="str" cm="1">
        <f t="array" ref="Q223">RIGHT(G223,1)</f>
        <v>E</v>
      </c>
      <c r="R223" s="590" t="str" cm="1">
        <f t="array" ref="R223">RIGHT(H223,1)</f>
        <v>G</v>
      </c>
      <c r="S223" s="590" t="str" cm="1">
        <f t="array" ref="S223">RIGHT(I223,1)</f>
        <v>J</v>
      </c>
      <c r="T223" s="590" t="str" cm="1">
        <f t="array" ref="T223">RIGHT(J223,1)</f>
        <v>C</v>
      </c>
      <c r="U223" s="590" t="str" cm="1">
        <f t="array" ref="U223">RIGHT(K223,1)</f>
        <v>A</v>
      </c>
      <c r="V223" s="590" t="str" cm="1">
        <f t="array" ref="V223">RIGHT(L223,1)</f>
        <v>F</v>
      </c>
      <c r="W223" s="590" t="str" cm="1">
        <f t="array" ref="W223">RIGHT(M223,1)</f>
        <v>L</v>
      </c>
      <c r="X223" s="590" t="str" cm="1">
        <f t="array" ref="X223">RIGHT(N223,1)</f>
        <v>I</v>
      </c>
      <c r="Y223" s="708" cm="1">
        <f t="array" ref="Y223">COUNTIF($AA$2:$AA$9,Q223)+COUNTIF($AA$2:$AA$9,R223)+COUNTIF($AA$2:$AA$9,S223)+COUNTIF($AA$2:$AA$9,T223)+COUNTIF($AA$2:$AA$9,U223)+COUNTIF($AA$2:$AA$9,V223)+COUNTIF($AA$2:$AA$9,W223)+COUNTIF($AA$2:$AA$9,X223)</f>
        <v>7</v>
      </c>
      <c r="Z223" s="589"/>
      <c r="AA223" s="589"/>
      <c r="AB223" s="589"/>
      <c r="AC223" s="589"/>
      <c r="AD223" s="589"/>
      <c r="AE223" s="589"/>
      <c r="AF223" s="589"/>
      <c r="AG223" s="589"/>
      <c r="AH223" s="589"/>
      <c r="AI223" s="589"/>
      <c r="AJ223" s="589"/>
      <c r="AK223" s="589"/>
      <c r="AL223" s="589"/>
      <c r="AM223" s="589"/>
      <c r="AN223" s="589"/>
      <c r="AO223" s="589"/>
      <c r="AP223" s="589"/>
      <c r="AQ223" s="589"/>
      <c r="AR223" s="589"/>
      <c r="AS223" s="589"/>
      <c r="AT223" s="589"/>
      <c r="AU223" s="589"/>
      <c r="AV223" s="589"/>
      <c r="AW223" s="589"/>
      <c r="AX223" s="589"/>
      <c r="AY223" s="589"/>
      <c r="AZ223" s="589"/>
      <c r="BA223" s="589"/>
      <c r="BB223" s="589"/>
      <c r="BC223" s="589"/>
      <c r="BD223" s="589"/>
      <c r="BE223" s="589"/>
      <c r="BF223" s="589"/>
      <c r="BG223" s="589"/>
      <c r="BH223" s="589"/>
      <c r="BI223" s="589"/>
      <c r="BJ223" s="589"/>
      <c r="BK223" s="589"/>
      <c r="BL223" s="589"/>
    </row>
    <row r="224" spans="1:64" ht="14.25" customHeight="1">
      <c r="A224" s="691" t="s">
        <v>561</v>
      </c>
      <c r="B224" s="589"/>
      <c r="C224" s="589"/>
      <c r="D224" s="589"/>
      <c r="E224" s="589"/>
      <c r="F224" s="591">
        <v>223</v>
      </c>
      <c r="G224" s="691" t="s">
        <v>167</v>
      </c>
      <c r="H224" s="691" t="s">
        <v>187</v>
      </c>
      <c r="I224" s="691" t="s">
        <v>217</v>
      </c>
      <c r="J224" s="691" t="s">
        <v>147</v>
      </c>
      <c r="K224" s="691" t="s">
        <v>125</v>
      </c>
      <c r="L224" s="691" t="s">
        <v>177</v>
      </c>
      <c r="M224" s="691" t="s">
        <v>207</v>
      </c>
      <c r="N224" s="691" t="s">
        <v>227</v>
      </c>
      <c r="O224" s="589"/>
      <c r="P224" s="717" cm="1">
        <f t="array" ref="P224">F224</f>
        <v>223</v>
      </c>
      <c r="Q224" s="620" t="str" cm="1">
        <f t="array" ref="Q224">RIGHT(G224,1)</f>
        <v>E</v>
      </c>
      <c r="R224" s="590" t="str" cm="1">
        <f t="array" ref="R224">RIGHT(H224,1)</f>
        <v>G</v>
      </c>
      <c r="S224" s="590" t="str" cm="1">
        <f t="array" ref="S224">RIGHT(I224,1)</f>
        <v>J</v>
      </c>
      <c r="T224" s="590" t="str" cm="1">
        <f t="array" ref="T224">RIGHT(J224,1)</f>
        <v>C</v>
      </c>
      <c r="U224" s="590" t="str" cm="1">
        <f t="array" ref="U224">RIGHT(K224,1)</f>
        <v>A</v>
      </c>
      <c r="V224" s="590" t="str" cm="1">
        <f t="array" ref="V224">RIGHT(L224,1)</f>
        <v>F</v>
      </c>
      <c r="W224" s="590" t="str" cm="1">
        <f t="array" ref="W224">RIGHT(M224,1)</f>
        <v>I</v>
      </c>
      <c r="X224" s="590" t="str" cm="1">
        <f t="array" ref="X224">RIGHT(N224,1)</f>
        <v>K</v>
      </c>
      <c r="Y224" s="708" cm="1">
        <f t="array" ref="Y224">COUNTIF($AA$2:$AA$9,Q224)+COUNTIF($AA$2:$AA$9,R224)+COUNTIF($AA$2:$AA$9,S224)+COUNTIF($AA$2:$AA$9,T224)+COUNTIF($AA$2:$AA$9,U224)+COUNTIF($AA$2:$AA$9,V224)+COUNTIF($AA$2:$AA$9,W224)+COUNTIF($AA$2:$AA$9,X224)</f>
        <v>6</v>
      </c>
      <c r="Z224" s="589"/>
      <c r="AA224" s="589"/>
      <c r="AB224" s="589"/>
      <c r="AC224" s="589"/>
      <c r="AD224" s="589"/>
      <c r="AE224" s="589"/>
      <c r="AF224" s="589"/>
      <c r="AG224" s="589"/>
      <c r="AH224" s="589"/>
      <c r="AI224" s="589"/>
      <c r="AJ224" s="589"/>
      <c r="AK224" s="589"/>
      <c r="AL224" s="589"/>
      <c r="AM224" s="589"/>
      <c r="AN224" s="589"/>
      <c r="AO224" s="589"/>
      <c r="AP224" s="589"/>
      <c r="AQ224" s="589"/>
      <c r="AR224" s="589"/>
      <c r="AS224" s="589"/>
      <c r="AT224" s="589"/>
      <c r="AU224" s="589"/>
      <c r="AV224" s="589"/>
      <c r="AW224" s="589"/>
      <c r="AX224" s="589"/>
      <c r="AY224" s="589"/>
      <c r="AZ224" s="589"/>
      <c r="BA224" s="589"/>
      <c r="BB224" s="589"/>
      <c r="BC224" s="589"/>
      <c r="BD224" s="589"/>
      <c r="BE224" s="589"/>
      <c r="BF224" s="589"/>
      <c r="BG224" s="589"/>
      <c r="BH224" s="589"/>
      <c r="BI224" s="589"/>
      <c r="BJ224" s="589"/>
      <c r="BK224" s="589"/>
      <c r="BL224" s="589"/>
    </row>
    <row r="225" spans="1:64" ht="14.25" customHeight="1">
      <c r="A225" s="691" t="s">
        <v>562</v>
      </c>
      <c r="B225" s="589"/>
      <c r="C225" s="589"/>
      <c r="D225" s="589"/>
      <c r="E225" s="589"/>
      <c r="F225" s="591">
        <v>224</v>
      </c>
      <c r="G225" s="691" t="s">
        <v>197</v>
      </c>
      <c r="H225" s="691" t="s">
        <v>187</v>
      </c>
      <c r="I225" s="691" t="s">
        <v>167</v>
      </c>
      <c r="J225" s="691" t="s">
        <v>147</v>
      </c>
      <c r="K225" s="691" t="s">
        <v>125</v>
      </c>
      <c r="L225" s="691" t="s">
        <v>177</v>
      </c>
      <c r="M225" s="691" t="s">
        <v>237</v>
      </c>
      <c r="N225" s="691" t="s">
        <v>227</v>
      </c>
      <c r="O225" s="589"/>
      <c r="P225" s="717" cm="1">
        <f t="array" ref="P225">F225</f>
        <v>224</v>
      </c>
      <c r="Q225" s="620" t="str" cm="1">
        <f t="array" ref="Q225">RIGHT(G225,1)</f>
        <v>H</v>
      </c>
      <c r="R225" s="590" t="str" cm="1">
        <f t="array" ref="R225">RIGHT(H225,1)</f>
        <v>G</v>
      </c>
      <c r="S225" s="590" t="str" cm="1">
        <f t="array" ref="S225">RIGHT(I225,1)</f>
        <v>E</v>
      </c>
      <c r="T225" s="590" t="str" cm="1">
        <f t="array" ref="T225">RIGHT(J225,1)</f>
        <v>C</v>
      </c>
      <c r="U225" s="590" t="str" cm="1">
        <f t="array" ref="U225">RIGHT(K225,1)</f>
        <v>A</v>
      </c>
      <c r="V225" s="590" t="str" cm="1">
        <f t="array" ref="V225">RIGHT(L225,1)</f>
        <v>F</v>
      </c>
      <c r="W225" s="590" t="str" cm="1">
        <f t="array" ref="W225">RIGHT(M225,1)</f>
        <v>L</v>
      </c>
      <c r="X225" s="590" t="str" cm="1">
        <f t="array" ref="X225">RIGHT(N225,1)</f>
        <v>K</v>
      </c>
      <c r="Y225" s="708" cm="1">
        <f t="array" ref="Y225">COUNTIF($AA$2:$AA$9,Q225)+COUNTIF($AA$2:$AA$9,R225)+COUNTIF($AA$2:$AA$9,S225)+COUNTIF($AA$2:$AA$9,T225)+COUNTIF($AA$2:$AA$9,U225)+COUNTIF($AA$2:$AA$9,V225)+COUNTIF($AA$2:$AA$9,W225)+COUNTIF($AA$2:$AA$9,X225)</f>
        <v>5</v>
      </c>
      <c r="Z225" s="589"/>
      <c r="AA225" s="589"/>
      <c r="AB225" s="589"/>
      <c r="AC225" s="589"/>
      <c r="AD225" s="589"/>
      <c r="AE225" s="589"/>
      <c r="AF225" s="589"/>
      <c r="AG225" s="589"/>
      <c r="AH225" s="589"/>
      <c r="AI225" s="589"/>
      <c r="AJ225" s="589"/>
      <c r="AK225" s="589"/>
      <c r="AL225" s="589"/>
      <c r="AM225" s="589"/>
      <c r="AN225" s="589"/>
      <c r="AO225" s="589"/>
      <c r="AP225" s="589"/>
      <c r="AQ225" s="589"/>
      <c r="AR225" s="589"/>
      <c r="AS225" s="589"/>
      <c r="AT225" s="589"/>
      <c r="AU225" s="589"/>
      <c r="AV225" s="589"/>
      <c r="AW225" s="589"/>
      <c r="AX225" s="589"/>
      <c r="AY225" s="589"/>
      <c r="AZ225" s="589"/>
      <c r="BA225" s="589"/>
      <c r="BB225" s="589"/>
      <c r="BC225" s="589"/>
      <c r="BD225" s="589"/>
      <c r="BE225" s="589"/>
      <c r="BF225" s="589"/>
      <c r="BG225" s="589"/>
      <c r="BH225" s="589"/>
      <c r="BI225" s="589"/>
      <c r="BJ225" s="589"/>
      <c r="BK225" s="589"/>
      <c r="BL225" s="589"/>
    </row>
    <row r="226" spans="1:64" ht="14.25" customHeight="1">
      <c r="A226" s="691" t="s">
        <v>563</v>
      </c>
      <c r="B226" s="589"/>
      <c r="C226" s="589"/>
      <c r="D226" s="589"/>
      <c r="E226" s="589"/>
      <c r="F226" s="591">
        <v>225</v>
      </c>
      <c r="G226" s="691" t="s">
        <v>197</v>
      </c>
      <c r="H226" s="691" t="s">
        <v>187</v>
      </c>
      <c r="I226" s="691" t="s">
        <v>217</v>
      </c>
      <c r="J226" s="691" t="s">
        <v>147</v>
      </c>
      <c r="K226" s="691" t="s">
        <v>125</v>
      </c>
      <c r="L226" s="691" t="s">
        <v>177</v>
      </c>
      <c r="M226" s="691" t="s">
        <v>237</v>
      </c>
      <c r="N226" s="691" t="s">
        <v>167</v>
      </c>
      <c r="O226" s="589"/>
      <c r="P226" s="717" cm="1">
        <f t="array" ref="P226">F226</f>
        <v>225</v>
      </c>
      <c r="Q226" s="620" t="str" cm="1">
        <f t="array" ref="Q226">RIGHT(G226,1)</f>
        <v>H</v>
      </c>
      <c r="R226" s="590" t="str" cm="1">
        <f t="array" ref="R226">RIGHT(H226,1)</f>
        <v>G</v>
      </c>
      <c r="S226" s="590" t="str" cm="1">
        <f t="array" ref="S226">RIGHT(I226,1)</f>
        <v>J</v>
      </c>
      <c r="T226" s="590" t="str" cm="1">
        <f t="array" ref="T226">RIGHT(J226,1)</f>
        <v>C</v>
      </c>
      <c r="U226" s="590" t="str" cm="1">
        <f t="array" ref="U226">RIGHT(K226,1)</f>
        <v>A</v>
      </c>
      <c r="V226" s="590" t="str" cm="1">
        <f t="array" ref="V226">RIGHT(L226,1)</f>
        <v>F</v>
      </c>
      <c r="W226" s="590" t="str" cm="1">
        <f t="array" ref="W226">RIGHT(M226,1)</f>
        <v>L</v>
      </c>
      <c r="X226" s="590" t="str" cm="1">
        <f t="array" ref="X226">RIGHT(N226,1)</f>
        <v>E</v>
      </c>
      <c r="Y226" s="708" cm="1">
        <f t="array" ref="Y226">COUNTIF($AA$2:$AA$9,Q226)+COUNTIF($AA$2:$AA$9,R226)+COUNTIF($AA$2:$AA$9,S226)+COUNTIF($AA$2:$AA$9,T226)+COUNTIF($AA$2:$AA$9,U226)+COUNTIF($AA$2:$AA$9,V226)+COUNTIF($AA$2:$AA$9,W226)+COUNTIF($AA$2:$AA$9,X226)</f>
        <v>6</v>
      </c>
      <c r="Z226" s="589"/>
      <c r="AA226" s="589"/>
      <c r="AB226" s="589"/>
      <c r="AC226" s="589"/>
      <c r="AD226" s="589"/>
      <c r="AE226" s="589"/>
      <c r="AF226" s="589"/>
      <c r="AG226" s="589"/>
      <c r="AH226" s="589"/>
      <c r="AI226" s="589"/>
      <c r="AJ226" s="589"/>
      <c r="AK226" s="589"/>
      <c r="AL226" s="589"/>
      <c r="AM226" s="589"/>
      <c r="AN226" s="589"/>
      <c r="AO226" s="589"/>
      <c r="AP226" s="589"/>
      <c r="AQ226" s="589"/>
      <c r="AR226" s="589"/>
      <c r="AS226" s="589"/>
      <c r="AT226" s="589"/>
      <c r="AU226" s="589"/>
      <c r="AV226" s="589"/>
      <c r="AW226" s="589"/>
      <c r="AX226" s="589"/>
      <c r="AY226" s="589"/>
      <c r="AZ226" s="589"/>
      <c r="BA226" s="589"/>
      <c r="BB226" s="589"/>
      <c r="BC226" s="589"/>
      <c r="BD226" s="589"/>
      <c r="BE226" s="589"/>
      <c r="BF226" s="589"/>
      <c r="BG226" s="589"/>
      <c r="BH226" s="589"/>
      <c r="BI226" s="589"/>
      <c r="BJ226" s="589"/>
      <c r="BK226" s="589"/>
      <c r="BL226" s="589"/>
    </row>
    <row r="227" spans="1:64" ht="14.25" customHeight="1">
      <c r="A227" s="691" t="s">
        <v>564</v>
      </c>
      <c r="B227" s="589"/>
      <c r="C227" s="589"/>
      <c r="D227" s="589"/>
      <c r="E227" s="589"/>
      <c r="F227" s="591">
        <v>226</v>
      </c>
      <c r="G227" s="691" t="s">
        <v>197</v>
      </c>
      <c r="H227" s="691" t="s">
        <v>187</v>
      </c>
      <c r="I227" s="691" t="s">
        <v>217</v>
      </c>
      <c r="J227" s="691" t="s">
        <v>147</v>
      </c>
      <c r="K227" s="691" t="s">
        <v>125</v>
      </c>
      <c r="L227" s="691" t="s">
        <v>177</v>
      </c>
      <c r="M227" s="691" t="s">
        <v>167</v>
      </c>
      <c r="N227" s="691" t="s">
        <v>227</v>
      </c>
      <c r="O227" s="589"/>
      <c r="P227" s="717" cm="1">
        <f t="array" ref="P227">F227</f>
        <v>226</v>
      </c>
      <c r="Q227" s="620" t="str" cm="1">
        <f t="array" ref="Q227">RIGHT(G227,1)</f>
        <v>H</v>
      </c>
      <c r="R227" s="590" t="str" cm="1">
        <f t="array" ref="R227">RIGHT(H227,1)</f>
        <v>G</v>
      </c>
      <c r="S227" s="590" t="str" cm="1">
        <f t="array" ref="S227">RIGHT(I227,1)</f>
        <v>J</v>
      </c>
      <c r="T227" s="590" t="str" cm="1">
        <f t="array" ref="T227">RIGHT(J227,1)</f>
        <v>C</v>
      </c>
      <c r="U227" s="590" t="str" cm="1">
        <f t="array" ref="U227">RIGHT(K227,1)</f>
        <v>A</v>
      </c>
      <c r="V227" s="590" t="str" cm="1">
        <f t="array" ref="V227">RIGHT(L227,1)</f>
        <v>F</v>
      </c>
      <c r="W227" s="590" t="str" cm="1">
        <f t="array" ref="W227">RIGHT(M227,1)</f>
        <v>E</v>
      </c>
      <c r="X227" s="590" t="str" cm="1">
        <f t="array" ref="X227">RIGHT(N227,1)</f>
        <v>K</v>
      </c>
      <c r="Y227" s="708" cm="1">
        <f t="array" ref="Y227">COUNTIF($AA$2:$AA$9,Q227)+COUNTIF($AA$2:$AA$9,R227)+COUNTIF($AA$2:$AA$9,S227)+COUNTIF($AA$2:$AA$9,T227)+COUNTIF($AA$2:$AA$9,U227)+COUNTIF($AA$2:$AA$9,V227)+COUNTIF($AA$2:$AA$9,W227)+COUNTIF($AA$2:$AA$9,X227)</f>
        <v>5</v>
      </c>
      <c r="Z227" s="589"/>
      <c r="AA227" s="589"/>
      <c r="AB227" s="589"/>
      <c r="AC227" s="589"/>
      <c r="AD227" s="589"/>
      <c r="AE227" s="589"/>
      <c r="AF227" s="589"/>
      <c r="AG227" s="589"/>
      <c r="AH227" s="589"/>
      <c r="AI227" s="589"/>
      <c r="AJ227" s="589"/>
      <c r="AK227" s="589"/>
      <c r="AL227" s="589"/>
      <c r="AM227" s="589"/>
      <c r="AN227" s="589"/>
      <c r="AO227" s="589"/>
      <c r="AP227" s="589"/>
      <c r="AQ227" s="589"/>
      <c r="AR227" s="589"/>
      <c r="AS227" s="589"/>
      <c r="AT227" s="589"/>
      <c r="AU227" s="589"/>
      <c r="AV227" s="589"/>
      <c r="AW227" s="589"/>
      <c r="AX227" s="589"/>
      <c r="AY227" s="589"/>
      <c r="AZ227" s="589"/>
      <c r="BA227" s="589"/>
      <c r="BB227" s="589"/>
      <c r="BC227" s="589"/>
      <c r="BD227" s="589"/>
      <c r="BE227" s="589"/>
      <c r="BF227" s="589"/>
      <c r="BG227" s="589"/>
      <c r="BH227" s="589"/>
      <c r="BI227" s="589"/>
      <c r="BJ227" s="589"/>
      <c r="BK227" s="589"/>
      <c r="BL227" s="589"/>
    </row>
    <row r="228" spans="1:64" ht="14.25" customHeight="1">
      <c r="A228" s="691" t="s">
        <v>565</v>
      </c>
      <c r="B228" s="589"/>
      <c r="C228" s="589"/>
      <c r="D228" s="589"/>
      <c r="E228" s="589"/>
      <c r="F228" s="591">
        <v>227</v>
      </c>
      <c r="G228" s="691" t="s">
        <v>197</v>
      </c>
      <c r="H228" s="691" t="s">
        <v>187</v>
      </c>
      <c r="I228" s="691" t="s">
        <v>167</v>
      </c>
      <c r="J228" s="691" t="s">
        <v>147</v>
      </c>
      <c r="K228" s="691" t="s">
        <v>125</v>
      </c>
      <c r="L228" s="691" t="s">
        <v>177</v>
      </c>
      <c r="M228" s="691" t="s">
        <v>237</v>
      </c>
      <c r="N228" s="691" t="s">
        <v>207</v>
      </c>
      <c r="O228" s="589"/>
      <c r="P228" s="717" cm="1">
        <f t="array" ref="P228">F228</f>
        <v>227</v>
      </c>
      <c r="Q228" s="620" t="str" cm="1">
        <f t="array" ref="Q228">RIGHT(G228,1)</f>
        <v>H</v>
      </c>
      <c r="R228" s="590" t="str" cm="1">
        <f t="array" ref="R228">RIGHT(H228,1)</f>
        <v>G</v>
      </c>
      <c r="S228" s="590" t="str" cm="1">
        <f t="array" ref="S228">RIGHT(I228,1)</f>
        <v>E</v>
      </c>
      <c r="T228" s="590" t="str" cm="1">
        <f t="array" ref="T228">RIGHT(J228,1)</f>
        <v>C</v>
      </c>
      <c r="U228" s="590" t="str" cm="1">
        <f t="array" ref="U228">RIGHT(K228,1)</f>
        <v>A</v>
      </c>
      <c r="V228" s="590" t="str" cm="1">
        <f t="array" ref="V228">RIGHT(L228,1)</f>
        <v>F</v>
      </c>
      <c r="W228" s="590" t="str" cm="1">
        <f t="array" ref="W228">RIGHT(M228,1)</f>
        <v>L</v>
      </c>
      <c r="X228" s="590" t="str" cm="1">
        <f t="array" ref="X228">RIGHT(N228,1)</f>
        <v>I</v>
      </c>
      <c r="Y228" s="708" cm="1">
        <f t="array" ref="Y228">COUNTIF($AA$2:$AA$9,Q228)+COUNTIF($AA$2:$AA$9,R228)+COUNTIF($AA$2:$AA$9,S228)+COUNTIF($AA$2:$AA$9,T228)+COUNTIF($AA$2:$AA$9,U228)+COUNTIF($AA$2:$AA$9,V228)+COUNTIF($AA$2:$AA$9,W228)+COUNTIF($AA$2:$AA$9,X228)</f>
        <v>6</v>
      </c>
      <c r="Z228" s="589"/>
      <c r="AA228" s="589"/>
      <c r="AB228" s="589"/>
      <c r="AC228" s="589"/>
      <c r="AD228" s="589"/>
      <c r="AE228" s="589"/>
      <c r="AF228" s="589"/>
      <c r="AG228" s="589"/>
      <c r="AH228" s="589"/>
      <c r="AI228" s="589"/>
      <c r="AJ228" s="589"/>
      <c r="AK228" s="589"/>
      <c r="AL228" s="589"/>
      <c r="AM228" s="589"/>
      <c r="AN228" s="589"/>
      <c r="AO228" s="589"/>
      <c r="AP228" s="589"/>
      <c r="AQ228" s="589"/>
      <c r="AR228" s="589"/>
      <c r="AS228" s="589"/>
      <c r="AT228" s="589"/>
      <c r="AU228" s="589"/>
      <c r="AV228" s="589"/>
      <c r="AW228" s="589"/>
      <c r="AX228" s="589"/>
      <c r="AY228" s="589"/>
      <c r="AZ228" s="589"/>
      <c r="BA228" s="589"/>
      <c r="BB228" s="589"/>
      <c r="BC228" s="589"/>
      <c r="BD228" s="589"/>
      <c r="BE228" s="589"/>
      <c r="BF228" s="589"/>
      <c r="BG228" s="589"/>
      <c r="BH228" s="589"/>
      <c r="BI228" s="589"/>
      <c r="BJ228" s="589"/>
      <c r="BK228" s="589"/>
      <c r="BL228" s="589"/>
    </row>
    <row r="229" spans="1:64" ht="14.25" customHeight="1">
      <c r="A229" s="691" t="s">
        <v>566</v>
      </c>
      <c r="B229" s="589"/>
      <c r="C229" s="589"/>
      <c r="D229" s="589"/>
      <c r="E229" s="589"/>
      <c r="F229" s="591">
        <v>228</v>
      </c>
      <c r="G229" s="691" t="s">
        <v>197</v>
      </c>
      <c r="H229" s="691" t="s">
        <v>187</v>
      </c>
      <c r="I229" s="691" t="s">
        <v>167</v>
      </c>
      <c r="J229" s="691" t="s">
        <v>147</v>
      </c>
      <c r="K229" s="691" t="s">
        <v>125</v>
      </c>
      <c r="L229" s="691" t="s">
        <v>177</v>
      </c>
      <c r="M229" s="691" t="s">
        <v>207</v>
      </c>
      <c r="N229" s="691" t="s">
        <v>227</v>
      </c>
      <c r="O229" s="589"/>
      <c r="P229" s="717" cm="1">
        <f t="array" ref="P229">F229</f>
        <v>228</v>
      </c>
      <c r="Q229" s="620" t="str" cm="1">
        <f t="array" ref="Q229">RIGHT(G229,1)</f>
        <v>H</v>
      </c>
      <c r="R229" s="590" t="str" cm="1">
        <f t="array" ref="R229">RIGHT(H229,1)</f>
        <v>G</v>
      </c>
      <c r="S229" s="590" t="str" cm="1">
        <f t="array" ref="S229">RIGHT(I229,1)</f>
        <v>E</v>
      </c>
      <c r="T229" s="590" t="str" cm="1">
        <f t="array" ref="T229">RIGHT(J229,1)</f>
        <v>C</v>
      </c>
      <c r="U229" s="590" t="str" cm="1">
        <f t="array" ref="U229">RIGHT(K229,1)</f>
        <v>A</v>
      </c>
      <c r="V229" s="590" t="str" cm="1">
        <f t="array" ref="V229">RIGHT(L229,1)</f>
        <v>F</v>
      </c>
      <c r="W229" s="590" t="str" cm="1">
        <f t="array" ref="W229">RIGHT(M229,1)</f>
        <v>I</v>
      </c>
      <c r="X229" s="590" t="str" cm="1">
        <f t="array" ref="X229">RIGHT(N229,1)</f>
        <v>K</v>
      </c>
      <c r="Y229" s="708" cm="1">
        <f t="array" ref="Y229">COUNTIF($AA$2:$AA$9,Q229)+COUNTIF($AA$2:$AA$9,R229)+COUNTIF($AA$2:$AA$9,S229)+COUNTIF($AA$2:$AA$9,T229)+COUNTIF($AA$2:$AA$9,U229)+COUNTIF($AA$2:$AA$9,V229)+COUNTIF($AA$2:$AA$9,W229)+COUNTIF($AA$2:$AA$9,X229)</f>
        <v>5</v>
      </c>
      <c r="Z229" s="589"/>
      <c r="AA229" s="589"/>
      <c r="AB229" s="589"/>
      <c r="AC229" s="589"/>
      <c r="AD229" s="589"/>
      <c r="AE229" s="589"/>
      <c r="AF229" s="589"/>
      <c r="AG229" s="589"/>
      <c r="AH229" s="589"/>
      <c r="AI229" s="589"/>
      <c r="AJ229" s="589"/>
      <c r="AK229" s="589"/>
      <c r="AL229" s="589"/>
      <c r="AM229" s="589"/>
      <c r="AN229" s="589"/>
      <c r="AO229" s="589"/>
      <c r="AP229" s="589"/>
      <c r="AQ229" s="589"/>
      <c r="AR229" s="589"/>
      <c r="AS229" s="589"/>
      <c r="AT229" s="589"/>
      <c r="AU229" s="589"/>
      <c r="AV229" s="589"/>
      <c r="AW229" s="589"/>
      <c r="AX229" s="589"/>
      <c r="AY229" s="589"/>
      <c r="AZ229" s="589"/>
      <c r="BA229" s="589"/>
      <c r="BB229" s="589"/>
      <c r="BC229" s="589"/>
      <c r="BD229" s="589"/>
      <c r="BE229" s="589"/>
      <c r="BF229" s="589"/>
      <c r="BG229" s="589"/>
      <c r="BH229" s="589"/>
      <c r="BI229" s="589"/>
      <c r="BJ229" s="589"/>
      <c r="BK229" s="589"/>
      <c r="BL229" s="589"/>
    </row>
    <row r="230" spans="1:64" ht="14.25" customHeight="1">
      <c r="A230" s="691" t="s">
        <v>567</v>
      </c>
      <c r="B230" s="589"/>
      <c r="C230" s="589"/>
      <c r="D230" s="589"/>
      <c r="E230" s="589"/>
      <c r="F230" s="591">
        <v>229</v>
      </c>
      <c r="G230" s="691" t="s">
        <v>197</v>
      </c>
      <c r="H230" s="691" t="s">
        <v>187</v>
      </c>
      <c r="I230" s="691" t="s">
        <v>217</v>
      </c>
      <c r="J230" s="691" t="s">
        <v>147</v>
      </c>
      <c r="K230" s="691" t="s">
        <v>125</v>
      </c>
      <c r="L230" s="691" t="s">
        <v>177</v>
      </c>
      <c r="M230" s="691" t="s">
        <v>167</v>
      </c>
      <c r="N230" s="691" t="s">
        <v>207</v>
      </c>
      <c r="O230" s="589"/>
      <c r="P230" s="717" cm="1">
        <f t="array" ref="P230">F230</f>
        <v>229</v>
      </c>
      <c r="Q230" s="620" t="str" cm="1">
        <f t="array" ref="Q230">RIGHT(G230,1)</f>
        <v>H</v>
      </c>
      <c r="R230" s="590" t="str" cm="1">
        <f t="array" ref="R230">RIGHT(H230,1)</f>
        <v>G</v>
      </c>
      <c r="S230" s="590" t="str" cm="1">
        <f t="array" ref="S230">RIGHT(I230,1)</f>
        <v>J</v>
      </c>
      <c r="T230" s="590" t="str" cm="1">
        <f t="array" ref="T230">RIGHT(J230,1)</f>
        <v>C</v>
      </c>
      <c r="U230" s="590" t="str" cm="1">
        <f t="array" ref="U230">RIGHT(K230,1)</f>
        <v>A</v>
      </c>
      <c r="V230" s="590" t="str" cm="1">
        <f t="array" ref="V230">RIGHT(L230,1)</f>
        <v>F</v>
      </c>
      <c r="W230" s="590" t="str" cm="1">
        <f t="array" ref="W230">RIGHT(M230,1)</f>
        <v>E</v>
      </c>
      <c r="X230" s="590" t="str" cm="1">
        <f t="array" ref="X230">RIGHT(N230,1)</f>
        <v>I</v>
      </c>
      <c r="Y230" s="708" cm="1">
        <f t="array" ref="Y230">COUNTIF($AA$2:$AA$9,Q230)+COUNTIF($AA$2:$AA$9,R230)+COUNTIF($AA$2:$AA$9,S230)+COUNTIF($AA$2:$AA$9,T230)+COUNTIF($AA$2:$AA$9,U230)+COUNTIF($AA$2:$AA$9,V230)+COUNTIF($AA$2:$AA$9,W230)+COUNTIF($AA$2:$AA$9,X230)</f>
        <v>6</v>
      </c>
      <c r="Z230" s="589"/>
      <c r="AA230" s="589"/>
      <c r="AB230" s="589"/>
      <c r="AC230" s="589"/>
      <c r="AD230" s="589"/>
      <c r="AE230" s="589"/>
      <c r="AF230" s="589"/>
      <c r="AG230" s="589"/>
      <c r="AH230" s="589"/>
      <c r="AI230" s="589"/>
      <c r="AJ230" s="589"/>
      <c r="AK230" s="589"/>
      <c r="AL230" s="589"/>
      <c r="AM230" s="589"/>
      <c r="AN230" s="589"/>
      <c r="AO230" s="589"/>
      <c r="AP230" s="589"/>
      <c r="AQ230" s="589"/>
      <c r="AR230" s="589"/>
      <c r="AS230" s="589"/>
      <c r="AT230" s="589"/>
      <c r="AU230" s="589"/>
      <c r="AV230" s="589"/>
      <c r="AW230" s="589"/>
      <c r="AX230" s="589"/>
      <c r="AY230" s="589"/>
      <c r="AZ230" s="589"/>
      <c r="BA230" s="589"/>
      <c r="BB230" s="589"/>
      <c r="BC230" s="589"/>
      <c r="BD230" s="589"/>
      <c r="BE230" s="589"/>
      <c r="BF230" s="589"/>
      <c r="BG230" s="589"/>
      <c r="BH230" s="589"/>
      <c r="BI230" s="589"/>
      <c r="BJ230" s="589"/>
      <c r="BK230" s="589"/>
      <c r="BL230" s="589"/>
    </row>
    <row r="231" spans="1:64" ht="14.25" customHeight="1">
      <c r="A231" s="691" t="s">
        <v>568</v>
      </c>
      <c r="B231" s="589"/>
      <c r="C231" s="589"/>
      <c r="D231" s="589"/>
      <c r="E231" s="589"/>
      <c r="F231" s="591">
        <v>230</v>
      </c>
      <c r="G231" s="691" t="s">
        <v>197</v>
      </c>
      <c r="H231" s="691" t="s">
        <v>217</v>
      </c>
      <c r="I231" s="691" t="s">
        <v>207</v>
      </c>
      <c r="J231" s="691" t="s">
        <v>147</v>
      </c>
      <c r="K231" s="691" t="s">
        <v>125</v>
      </c>
      <c r="L231" s="691" t="s">
        <v>157</v>
      </c>
      <c r="M231" s="691" t="s">
        <v>237</v>
      </c>
      <c r="N231" s="691" t="s">
        <v>227</v>
      </c>
      <c r="O231" s="589"/>
      <c r="P231" s="717" cm="1">
        <f t="array" ref="P231">F231</f>
        <v>230</v>
      </c>
      <c r="Q231" s="620" t="str" cm="1">
        <f t="array" ref="Q231">RIGHT(G231,1)</f>
        <v>H</v>
      </c>
      <c r="R231" s="590" t="str" cm="1">
        <f t="array" ref="R231">RIGHT(H231,1)</f>
        <v>J</v>
      </c>
      <c r="S231" s="590" t="str" cm="1">
        <f t="array" ref="S231">RIGHT(I231,1)</f>
        <v>I</v>
      </c>
      <c r="T231" s="590" t="str" cm="1">
        <f t="array" ref="T231">RIGHT(J231,1)</f>
        <v>C</v>
      </c>
      <c r="U231" s="590" t="str" cm="1">
        <f t="array" ref="U231">RIGHT(K231,1)</f>
        <v>A</v>
      </c>
      <c r="V231" s="590" t="str" cm="1">
        <f t="array" ref="V231">RIGHT(L231,1)</f>
        <v>D</v>
      </c>
      <c r="W231" s="590" t="str" cm="1">
        <f t="array" ref="W231">RIGHT(M231,1)</f>
        <v>L</v>
      </c>
      <c r="X231" s="590" t="str" cm="1">
        <f t="array" ref="X231">RIGHT(N231,1)</f>
        <v>K</v>
      </c>
      <c r="Y231" s="708" cm="1">
        <f t="array" ref="Y231">COUNTIF($AA$2:$AA$9,Q231)+COUNTIF($AA$2:$AA$9,R231)+COUNTIF($AA$2:$AA$9,S231)+COUNTIF($AA$2:$AA$9,T231)+COUNTIF($AA$2:$AA$9,U231)+COUNTIF($AA$2:$AA$9,V231)+COUNTIF($AA$2:$AA$9,W231)+COUNTIF($AA$2:$AA$9,X231)</f>
        <v>6</v>
      </c>
      <c r="Z231" s="589"/>
      <c r="AA231" s="589"/>
      <c r="AB231" s="589"/>
      <c r="AC231" s="589"/>
      <c r="AD231" s="589"/>
      <c r="AE231" s="589"/>
      <c r="AF231" s="589"/>
      <c r="AG231" s="589"/>
      <c r="AH231" s="589"/>
      <c r="AI231" s="589"/>
      <c r="AJ231" s="589"/>
      <c r="AK231" s="589"/>
      <c r="AL231" s="589"/>
      <c r="AM231" s="589"/>
      <c r="AN231" s="589"/>
      <c r="AO231" s="589"/>
      <c r="AP231" s="589"/>
      <c r="AQ231" s="589"/>
      <c r="AR231" s="589"/>
      <c r="AS231" s="589"/>
      <c r="AT231" s="589"/>
      <c r="AU231" s="589"/>
      <c r="AV231" s="589"/>
      <c r="AW231" s="589"/>
      <c r="AX231" s="589"/>
      <c r="AY231" s="589"/>
      <c r="AZ231" s="589"/>
      <c r="BA231" s="589"/>
      <c r="BB231" s="589"/>
      <c r="BC231" s="589"/>
      <c r="BD231" s="589"/>
      <c r="BE231" s="589"/>
      <c r="BF231" s="589"/>
      <c r="BG231" s="589"/>
      <c r="BH231" s="589"/>
      <c r="BI231" s="589"/>
      <c r="BJ231" s="589"/>
      <c r="BK231" s="589"/>
      <c r="BL231" s="589"/>
    </row>
    <row r="232" spans="1:64" ht="14.25" customHeight="1">
      <c r="A232" s="691" t="s">
        <v>569</v>
      </c>
      <c r="B232" s="589"/>
      <c r="C232" s="589"/>
      <c r="D232" s="589"/>
      <c r="E232" s="589"/>
      <c r="F232" s="591">
        <v>231</v>
      </c>
      <c r="G232" s="691" t="s">
        <v>207</v>
      </c>
      <c r="H232" s="691" t="s">
        <v>187</v>
      </c>
      <c r="I232" s="691" t="s">
        <v>217</v>
      </c>
      <c r="J232" s="691" t="s">
        <v>147</v>
      </c>
      <c r="K232" s="691" t="s">
        <v>125</v>
      </c>
      <c r="L232" s="691" t="s">
        <v>157</v>
      </c>
      <c r="M232" s="691" t="s">
        <v>237</v>
      </c>
      <c r="N232" s="691" t="s">
        <v>227</v>
      </c>
      <c r="O232" s="589"/>
      <c r="P232" s="717" cm="1">
        <f t="array" ref="P232">F232</f>
        <v>231</v>
      </c>
      <c r="Q232" s="620" t="str" cm="1">
        <f t="array" ref="Q232">RIGHT(G232,1)</f>
        <v>I</v>
      </c>
      <c r="R232" s="590" t="str" cm="1">
        <f t="array" ref="R232">RIGHT(H232,1)</f>
        <v>G</v>
      </c>
      <c r="S232" s="590" t="str" cm="1">
        <f t="array" ref="S232">RIGHT(I232,1)</f>
        <v>J</v>
      </c>
      <c r="T232" s="590" t="str" cm="1">
        <f t="array" ref="T232">RIGHT(J232,1)</f>
        <v>C</v>
      </c>
      <c r="U232" s="590" t="str" cm="1">
        <f t="array" ref="U232">RIGHT(K232,1)</f>
        <v>A</v>
      </c>
      <c r="V232" s="590" t="str" cm="1">
        <f t="array" ref="V232">RIGHT(L232,1)</f>
        <v>D</v>
      </c>
      <c r="W232" s="590" t="str" cm="1">
        <f t="array" ref="W232">RIGHT(M232,1)</f>
        <v>L</v>
      </c>
      <c r="X232" s="590" t="str" cm="1">
        <f t="array" ref="X232">RIGHT(N232,1)</f>
        <v>K</v>
      </c>
      <c r="Y232" s="708" cm="1">
        <f t="array" ref="Y232">COUNTIF($AA$2:$AA$9,Q232)+COUNTIF($AA$2:$AA$9,R232)+COUNTIF($AA$2:$AA$9,S232)+COUNTIF($AA$2:$AA$9,T232)+COUNTIF($AA$2:$AA$9,U232)+COUNTIF($AA$2:$AA$9,V232)+COUNTIF($AA$2:$AA$9,W232)+COUNTIF($AA$2:$AA$9,X232)</f>
        <v>6</v>
      </c>
      <c r="Z232" s="589"/>
      <c r="AA232" s="589"/>
      <c r="AB232" s="589"/>
      <c r="AC232" s="589"/>
      <c r="AD232" s="589"/>
      <c r="AE232" s="589"/>
      <c r="AF232" s="589"/>
      <c r="AG232" s="589"/>
      <c r="AH232" s="589"/>
      <c r="AI232" s="589"/>
      <c r="AJ232" s="589"/>
      <c r="AK232" s="589"/>
      <c r="AL232" s="589"/>
      <c r="AM232" s="589"/>
      <c r="AN232" s="589"/>
      <c r="AO232" s="589"/>
      <c r="AP232" s="589"/>
      <c r="AQ232" s="589"/>
      <c r="AR232" s="589"/>
      <c r="AS232" s="589"/>
      <c r="AT232" s="589"/>
      <c r="AU232" s="589"/>
      <c r="AV232" s="589"/>
      <c r="AW232" s="589"/>
      <c r="AX232" s="589"/>
      <c r="AY232" s="589"/>
      <c r="AZ232" s="589"/>
      <c r="BA232" s="589"/>
      <c r="BB232" s="589"/>
      <c r="BC232" s="589"/>
      <c r="BD232" s="589"/>
      <c r="BE232" s="589"/>
      <c r="BF232" s="589"/>
      <c r="BG232" s="589"/>
      <c r="BH232" s="589"/>
      <c r="BI232" s="589"/>
      <c r="BJ232" s="589"/>
      <c r="BK232" s="589"/>
      <c r="BL232" s="589"/>
    </row>
    <row r="233" spans="1:64" ht="14.25" customHeight="1">
      <c r="A233" s="691" t="s">
        <v>570</v>
      </c>
      <c r="B233" s="589"/>
      <c r="C233" s="589"/>
      <c r="D233" s="589"/>
      <c r="E233" s="589"/>
      <c r="F233" s="591">
        <v>232</v>
      </c>
      <c r="G233" s="691" t="s">
        <v>197</v>
      </c>
      <c r="H233" s="691" t="s">
        <v>187</v>
      </c>
      <c r="I233" s="691" t="s">
        <v>217</v>
      </c>
      <c r="J233" s="691" t="s">
        <v>147</v>
      </c>
      <c r="K233" s="691" t="s">
        <v>125</v>
      </c>
      <c r="L233" s="691" t="s">
        <v>157</v>
      </c>
      <c r="M233" s="691" t="s">
        <v>237</v>
      </c>
      <c r="N233" s="691" t="s">
        <v>227</v>
      </c>
      <c r="O233" s="589"/>
      <c r="P233" s="717" cm="1">
        <f t="array" ref="P233">F233</f>
        <v>232</v>
      </c>
      <c r="Q233" s="620" t="str" cm="1">
        <f t="array" ref="Q233">RIGHT(G233,1)</f>
        <v>H</v>
      </c>
      <c r="R233" s="590" t="str" cm="1">
        <f t="array" ref="R233">RIGHT(H233,1)</f>
        <v>G</v>
      </c>
      <c r="S233" s="590" t="str" cm="1">
        <f t="array" ref="S233">RIGHT(I233,1)</f>
        <v>J</v>
      </c>
      <c r="T233" s="590" t="str" cm="1">
        <f t="array" ref="T233">RIGHT(J233,1)</f>
        <v>C</v>
      </c>
      <c r="U233" s="590" t="str" cm="1">
        <f t="array" ref="U233">RIGHT(K233,1)</f>
        <v>A</v>
      </c>
      <c r="V233" s="590" t="str" cm="1">
        <f t="array" ref="V233">RIGHT(L233,1)</f>
        <v>D</v>
      </c>
      <c r="W233" s="590" t="str" cm="1">
        <f t="array" ref="W233">RIGHT(M233,1)</f>
        <v>L</v>
      </c>
      <c r="X233" s="590" t="str" cm="1">
        <f t="array" ref="X233">RIGHT(N233,1)</f>
        <v>K</v>
      </c>
      <c r="Y233" s="708" cm="1">
        <f t="array" ref="Y233">COUNTIF($AA$2:$AA$9,Q233)+COUNTIF($AA$2:$AA$9,R233)+COUNTIF($AA$2:$AA$9,S233)+COUNTIF($AA$2:$AA$9,T233)+COUNTIF($AA$2:$AA$9,U233)+COUNTIF($AA$2:$AA$9,V233)+COUNTIF($AA$2:$AA$9,W233)+COUNTIF($AA$2:$AA$9,X233)</f>
        <v>5</v>
      </c>
      <c r="Z233" s="589"/>
      <c r="AA233" s="589"/>
      <c r="AB233" s="589"/>
      <c r="AC233" s="589"/>
      <c r="AD233" s="589"/>
      <c r="AE233" s="589"/>
      <c r="AF233" s="589"/>
      <c r="AG233" s="589"/>
      <c r="AH233" s="589"/>
      <c r="AI233" s="589"/>
      <c r="AJ233" s="589"/>
      <c r="AK233" s="589"/>
      <c r="AL233" s="589"/>
      <c r="AM233" s="589"/>
      <c r="AN233" s="589"/>
      <c r="AO233" s="589"/>
      <c r="AP233" s="589"/>
      <c r="AQ233" s="589"/>
      <c r="AR233" s="589"/>
      <c r="AS233" s="589"/>
      <c r="AT233" s="589"/>
      <c r="AU233" s="589"/>
      <c r="AV233" s="589"/>
      <c r="AW233" s="589"/>
      <c r="AX233" s="589"/>
      <c r="AY233" s="589"/>
      <c r="AZ233" s="589"/>
      <c r="BA233" s="589"/>
      <c r="BB233" s="589"/>
      <c r="BC233" s="589"/>
      <c r="BD233" s="589"/>
      <c r="BE233" s="589"/>
      <c r="BF233" s="589"/>
      <c r="BG233" s="589"/>
      <c r="BH233" s="589"/>
      <c r="BI233" s="589"/>
      <c r="BJ233" s="589"/>
      <c r="BK233" s="589"/>
      <c r="BL233" s="589"/>
    </row>
    <row r="234" spans="1:64" ht="14.25" customHeight="1">
      <c r="A234" s="691" t="s">
        <v>571</v>
      </c>
      <c r="B234" s="589"/>
      <c r="C234" s="589"/>
      <c r="D234" s="589"/>
      <c r="E234" s="589"/>
      <c r="F234" s="591">
        <v>233</v>
      </c>
      <c r="G234" s="691" t="s">
        <v>197</v>
      </c>
      <c r="H234" s="691" t="s">
        <v>187</v>
      </c>
      <c r="I234" s="691" t="s">
        <v>207</v>
      </c>
      <c r="J234" s="691" t="s">
        <v>147</v>
      </c>
      <c r="K234" s="691" t="s">
        <v>125</v>
      </c>
      <c r="L234" s="691" t="s">
        <v>157</v>
      </c>
      <c r="M234" s="691" t="s">
        <v>237</v>
      </c>
      <c r="N234" s="691" t="s">
        <v>227</v>
      </c>
      <c r="O234" s="589"/>
      <c r="P234" s="717" cm="1">
        <f t="array" ref="P234">F234</f>
        <v>233</v>
      </c>
      <c r="Q234" s="620" t="str" cm="1">
        <f t="array" ref="Q234">RIGHT(G234,1)</f>
        <v>H</v>
      </c>
      <c r="R234" s="590" t="str" cm="1">
        <f t="array" ref="R234">RIGHT(H234,1)</f>
        <v>G</v>
      </c>
      <c r="S234" s="590" t="str" cm="1">
        <f t="array" ref="S234">RIGHT(I234,1)</f>
        <v>I</v>
      </c>
      <c r="T234" s="590" t="str" cm="1">
        <f t="array" ref="T234">RIGHT(J234,1)</f>
        <v>C</v>
      </c>
      <c r="U234" s="590" t="str" cm="1">
        <f t="array" ref="U234">RIGHT(K234,1)</f>
        <v>A</v>
      </c>
      <c r="V234" s="590" t="str" cm="1">
        <f t="array" ref="V234">RIGHT(L234,1)</f>
        <v>D</v>
      </c>
      <c r="W234" s="590" t="str" cm="1">
        <f t="array" ref="W234">RIGHT(M234,1)</f>
        <v>L</v>
      </c>
      <c r="X234" s="590" t="str" cm="1">
        <f t="array" ref="X234">RIGHT(N234,1)</f>
        <v>K</v>
      </c>
      <c r="Y234" s="708" cm="1">
        <f t="array" ref="Y234">COUNTIF($AA$2:$AA$9,Q234)+COUNTIF($AA$2:$AA$9,R234)+COUNTIF($AA$2:$AA$9,S234)+COUNTIF($AA$2:$AA$9,T234)+COUNTIF($AA$2:$AA$9,U234)+COUNTIF($AA$2:$AA$9,V234)+COUNTIF($AA$2:$AA$9,W234)+COUNTIF($AA$2:$AA$9,X234)</f>
        <v>5</v>
      </c>
      <c r="Z234" s="589"/>
      <c r="AA234" s="589"/>
      <c r="AB234" s="589"/>
      <c r="AC234" s="589"/>
      <c r="AD234" s="589"/>
      <c r="AE234" s="589"/>
      <c r="AF234" s="589"/>
      <c r="AG234" s="589"/>
      <c r="AH234" s="589"/>
      <c r="AI234" s="589"/>
      <c r="AJ234" s="589"/>
      <c r="AK234" s="589"/>
      <c r="AL234" s="589"/>
      <c r="AM234" s="589"/>
      <c r="AN234" s="589"/>
      <c r="AO234" s="589"/>
      <c r="AP234" s="589"/>
      <c r="AQ234" s="589"/>
      <c r="AR234" s="589"/>
      <c r="AS234" s="589"/>
      <c r="AT234" s="589"/>
      <c r="AU234" s="589"/>
      <c r="AV234" s="589"/>
      <c r="AW234" s="589"/>
      <c r="AX234" s="589"/>
      <c r="AY234" s="589"/>
      <c r="AZ234" s="589"/>
      <c r="BA234" s="589"/>
      <c r="BB234" s="589"/>
      <c r="BC234" s="589"/>
      <c r="BD234" s="589"/>
      <c r="BE234" s="589"/>
      <c r="BF234" s="589"/>
      <c r="BG234" s="589"/>
      <c r="BH234" s="589"/>
      <c r="BI234" s="589"/>
      <c r="BJ234" s="589"/>
      <c r="BK234" s="589"/>
      <c r="BL234" s="589"/>
    </row>
    <row r="235" spans="1:64" ht="14.25" customHeight="1">
      <c r="A235" s="691" t="s">
        <v>572</v>
      </c>
      <c r="B235" s="589"/>
      <c r="C235" s="589"/>
      <c r="D235" s="589"/>
      <c r="E235" s="589"/>
      <c r="F235" s="591">
        <v>234</v>
      </c>
      <c r="G235" s="691" t="s">
        <v>197</v>
      </c>
      <c r="H235" s="691" t="s">
        <v>187</v>
      </c>
      <c r="I235" s="691" t="s">
        <v>217</v>
      </c>
      <c r="J235" s="691" t="s">
        <v>147</v>
      </c>
      <c r="K235" s="691" t="s">
        <v>125</v>
      </c>
      <c r="L235" s="691" t="s">
        <v>157</v>
      </c>
      <c r="M235" s="691" t="s">
        <v>237</v>
      </c>
      <c r="N235" s="691" t="s">
        <v>207</v>
      </c>
      <c r="O235" s="589"/>
      <c r="P235" s="717" cm="1">
        <f t="array" ref="P235">F235</f>
        <v>234</v>
      </c>
      <c r="Q235" s="620" t="str" cm="1">
        <f t="array" ref="Q235">RIGHT(G235,1)</f>
        <v>H</v>
      </c>
      <c r="R235" s="590" t="str" cm="1">
        <f t="array" ref="R235">RIGHT(H235,1)</f>
        <v>G</v>
      </c>
      <c r="S235" s="590" t="str" cm="1">
        <f t="array" ref="S235">RIGHT(I235,1)</f>
        <v>J</v>
      </c>
      <c r="T235" s="590" t="str" cm="1">
        <f t="array" ref="T235">RIGHT(J235,1)</f>
        <v>C</v>
      </c>
      <c r="U235" s="590" t="str" cm="1">
        <f t="array" ref="U235">RIGHT(K235,1)</f>
        <v>A</v>
      </c>
      <c r="V235" s="590" t="str" cm="1">
        <f t="array" ref="V235">RIGHT(L235,1)</f>
        <v>D</v>
      </c>
      <c r="W235" s="590" t="str" cm="1">
        <f t="array" ref="W235">RIGHT(M235,1)</f>
        <v>L</v>
      </c>
      <c r="X235" s="590" t="str" cm="1">
        <f t="array" ref="X235">RIGHT(N235,1)</f>
        <v>I</v>
      </c>
      <c r="Y235" s="708" cm="1">
        <f t="array" ref="Y235">COUNTIF($AA$2:$AA$9,Q235)+COUNTIF($AA$2:$AA$9,R235)+COUNTIF($AA$2:$AA$9,S235)+COUNTIF($AA$2:$AA$9,T235)+COUNTIF($AA$2:$AA$9,U235)+COUNTIF($AA$2:$AA$9,V235)+COUNTIF($AA$2:$AA$9,W235)+COUNTIF($AA$2:$AA$9,X235)</f>
        <v>6</v>
      </c>
      <c r="Z235" s="589"/>
      <c r="AA235" s="589"/>
      <c r="AB235" s="589"/>
      <c r="AC235" s="589"/>
      <c r="AD235" s="589"/>
      <c r="AE235" s="589"/>
      <c r="AF235" s="589"/>
      <c r="AG235" s="589"/>
      <c r="AH235" s="589"/>
      <c r="AI235" s="589"/>
      <c r="AJ235" s="589"/>
      <c r="AK235" s="589"/>
      <c r="AL235" s="589"/>
      <c r="AM235" s="589"/>
      <c r="AN235" s="589"/>
      <c r="AO235" s="589"/>
      <c r="AP235" s="589"/>
      <c r="AQ235" s="589"/>
      <c r="AR235" s="589"/>
      <c r="AS235" s="589"/>
      <c r="AT235" s="589"/>
      <c r="AU235" s="589"/>
      <c r="AV235" s="589"/>
      <c r="AW235" s="589"/>
      <c r="AX235" s="589"/>
      <c r="AY235" s="589"/>
      <c r="AZ235" s="589"/>
      <c r="BA235" s="589"/>
      <c r="BB235" s="589"/>
      <c r="BC235" s="589"/>
      <c r="BD235" s="589"/>
      <c r="BE235" s="589"/>
      <c r="BF235" s="589"/>
      <c r="BG235" s="589"/>
      <c r="BH235" s="589"/>
      <c r="BI235" s="589"/>
      <c r="BJ235" s="589"/>
      <c r="BK235" s="589"/>
      <c r="BL235" s="589"/>
    </row>
    <row r="236" spans="1:64" ht="14.25" customHeight="1">
      <c r="A236" s="691" t="s">
        <v>573</v>
      </c>
      <c r="B236" s="589"/>
      <c r="C236" s="589"/>
      <c r="D236" s="589"/>
      <c r="E236" s="589"/>
      <c r="F236" s="591">
        <v>235</v>
      </c>
      <c r="G236" s="691" t="s">
        <v>197</v>
      </c>
      <c r="H236" s="691" t="s">
        <v>187</v>
      </c>
      <c r="I236" s="691" t="s">
        <v>217</v>
      </c>
      <c r="J236" s="691" t="s">
        <v>147</v>
      </c>
      <c r="K236" s="691" t="s">
        <v>125</v>
      </c>
      <c r="L236" s="691" t="s">
        <v>157</v>
      </c>
      <c r="M236" s="691" t="s">
        <v>207</v>
      </c>
      <c r="N236" s="691" t="s">
        <v>227</v>
      </c>
      <c r="O236" s="589"/>
      <c r="P236" s="717" cm="1">
        <f t="array" ref="P236">F236</f>
        <v>235</v>
      </c>
      <c r="Q236" s="620" t="str" cm="1">
        <f t="array" ref="Q236">RIGHT(G236,1)</f>
        <v>H</v>
      </c>
      <c r="R236" s="590" t="str" cm="1">
        <f t="array" ref="R236">RIGHT(H236,1)</f>
        <v>G</v>
      </c>
      <c r="S236" s="590" t="str" cm="1">
        <f t="array" ref="S236">RIGHT(I236,1)</f>
        <v>J</v>
      </c>
      <c r="T236" s="590" t="str" cm="1">
        <f t="array" ref="T236">RIGHT(J236,1)</f>
        <v>C</v>
      </c>
      <c r="U236" s="590" t="str" cm="1">
        <f t="array" ref="U236">RIGHT(K236,1)</f>
        <v>A</v>
      </c>
      <c r="V236" s="590" t="str" cm="1">
        <f t="array" ref="V236">RIGHT(L236,1)</f>
        <v>D</v>
      </c>
      <c r="W236" s="590" t="str" cm="1">
        <f t="array" ref="W236">RIGHT(M236,1)</f>
        <v>I</v>
      </c>
      <c r="X236" s="590" t="str" cm="1">
        <f t="array" ref="X236">RIGHT(N236,1)</f>
        <v>K</v>
      </c>
      <c r="Y236" s="708" cm="1">
        <f t="array" ref="Y236">COUNTIF($AA$2:$AA$9,Q236)+COUNTIF($AA$2:$AA$9,R236)+COUNTIF($AA$2:$AA$9,S236)+COUNTIF($AA$2:$AA$9,T236)+COUNTIF($AA$2:$AA$9,U236)+COUNTIF($AA$2:$AA$9,V236)+COUNTIF($AA$2:$AA$9,W236)+COUNTIF($AA$2:$AA$9,X236)</f>
        <v>5</v>
      </c>
      <c r="Z236" s="589"/>
      <c r="AA236" s="589"/>
      <c r="AB236" s="589"/>
      <c r="AC236" s="589"/>
      <c r="AD236" s="589"/>
      <c r="AE236" s="589"/>
      <c r="AF236" s="589"/>
      <c r="AG236" s="589"/>
      <c r="AH236" s="589"/>
      <c r="AI236" s="589"/>
      <c r="AJ236" s="589"/>
      <c r="AK236" s="589"/>
      <c r="AL236" s="589"/>
      <c r="AM236" s="589"/>
      <c r="AN236" s="589"/>
      <c r="AO236" s="589"/>
      <c r="AP236" s="589"/>
      <c r="AQ236" s="589"/>
      <c r="AR236" s="589"/>
      <c r="AS236" s="589"/>
      <c r="AT236" s="589"/>
      <c r="AU236" s="589"/>
      <c r="AV236" s="589"/>
      <c r="AW236" s="589"/>
      <c r="AX236" s="589"/>
      <c r="AY236" s="589"/>
      <c r="AZ236" s="589"/>
      <c r="BA236" s="589"/>
      <c r="BB236" s="589"/>
      <c r="BC236" s="589"/>
      <c r="BD236" s="589"/>
      <c r="BE236" s="589"/>
      <c r="BF236" s="589"/>
      <c r="BG236" s="589"/>
      <c r="BH236" s="589"/>
      <c r="BI236" s="589"/>
      <c r="BJ236" s="589"/>
      <c r="BK236" s="589"/>
      <c r="BL236" s="589"/>
    </row>
    <row r="237" spans="1:64" ht="14.25" customHeight="1">
      <c r="A237" s="691" t="s">
        <v>574</v>
      </c>
      <c r="B237" s="589"/>
      <c r="C237" s="589"/>
      <c r="D237" s="589"/>
      <c r="E237" s="589"/>
      <c r="F237" s="591">
        <v>236</v>
      </c>
      <c r="G237" s="691" t="s">
        <v>147</v>
      </c>
      <c r="H237" s="691" t="s">
        <v>217</v>
      </c>
      <c r="I237" s="691" t="s">
        <v>207</v>
      </c>
      <c r="J237" s="691" t="s">
        <v>157</v>
      </c>
      <c r="K237" s="691" t="s">
        <v>125</v>
      </c>
      <c r="L237" s="691" t="s">
        <v>177</v>
      </c>
      <c r="M237" s="691" t="s">
        <v>237</v>
      </c>
      <c r="N237" s="691" t="s">
        <v>227</v>
      </c>
      <c r="O237" s="589"/>
      <c r="P237" s="717" cm="1">
        <f t="array" ref="P237">F237</f>
        <v>236</v>
      </c>
      <c r="Q237" s="620" t="str" cm="1">
        <f t="array" ref="Q237">RIGHT(G237,1)</f>
        <v>C</v>
      </c>
      <c r="R237" s="590" t="str" cm="1">
        <f t="array" ref="R237">RIGHT(H237,1)</f>
        <v>J</v>
      </c>
      <c r="S237" s="590" t="str" cm="1">
        <f t="array" ref="S237">RIGHT(I237,1)</f>
        <v>I</v>
      </c>
      <c r="T237" s="590" t="str" cm="1">
        <f t="array" ref="T237">RIGHT(J237,1)</f>
        <v>D</v>
      </c>
      <c r="U237" s="590" t="str" cm="1">
        <f t="array" ref="U237">RIGHT(K237,1)</f>
        <v>A</v>
      </c>
      <c r="V237" s="590" t="str" cm="1">
        <f t="array" ref="V237">RIGHT(L237,1)</f>
        <v>F</v>
      </c>
      <c r="W237" s="590" t="str" cm="1">
        <f t="array" ref="W237">RIGHT(M237,1)</f>
        <v>L</v>
      </c>
      <c r="X237" s="590" t="str" cm="1">
        <f t="array" ref="X237">RIGHT(N237,1)</f>
        <v>K</v>
      </c>
      <c r="Y237" s="708" cm="1">
        <f t="array" ref="Y237">COUNTIF($AA$2:$AA$9,Q237)+COUNTIF($AA$2:$AA$9,R237)+COUNTIF($AA$2:$AA$9,S237)+COUNTIF($AA$2:$AA$9,T237)+COUNTIF($AA$2:$AA$9,U237)+COUNTIF($AA$2:$AA$9,V237)+COUNTIF($AA$2:$AA$9,W237)+COUNTIF($AA$2:$AA$9,X237)</f>
        <v>7</v>
      </c>
      <c r="Z237" s="589"/>
      <c r="AA237" s="589"/>
      <c r="AB237" s="589"/>
      <c r="AC237" s="589"/>
      <c r="AD237" s="589"/>
      <c r="AE237" s="589"/>
      <c r="AF237" s="589"/>
      <c r="AG237" s="589"/>
      <c r="AH237" s="589"/>
      <c r="AI237" s="589"/>
      <c r="AJ237" s="589"/>
      <c r="AK237" s="589"/>
      <c r="AL237" s="589"/>
      <c r="AM237" s="589"/>
      <c r="AN237" s="589"/>
      <c r="AO237" s="589"/>
      <c r="AP237" s="589"/>
      <c r="AQ237" s="589"/>
      <c r="AR237" s="589"/>
      <c r="AS237" s="589"/>
      <c r="AT237" s="589"/>
      <c r="AU237" s="589"/>
      <c r="AV237" s="589"/>
      <c r="AW237" s="589"/>
      <c r="AX237" s="589"/>
      <c r="AY237" s="589"/>
      <c r="AZ237" s="589"/>
      <c r="BA237" s="589"/>
      <c r="BB237" s="589"/>
      <c r="BC237" s="589"/>
      <c r="BD237" s="589"/>
      <c r="BE237" s="589"/>
      <c r="BF237" s="589"/>
      <c r="BG237" s="589"/>
      <c r="BH237" s="589"/>
      <c r="BI237" s="589"/>
      <c r="BJ237" s="589"/>
      <c r="BK237" s="589"/>
      <c r="BL237" s="589"/>
    </row>
    <row r="238" spans="1:64" ht="14.25" customHeight="1">
      <c r="A238" s="691" t="s">
        <v>575</v>
      </c>
      <c r="B238" s="589"/>
      <c r="C238" s="589"/>
      <c r="D238" s="589"/>
      <c r="E238" s="589"/>
      <c r="F238" s="591">
        <v>237</v>
      </c>
      <c r="G238" s="691" t="s">
        <v>197</v>
      </c>
      <c r="H238" s="691" t="s">
        <v>217</v>
      </c>
      <c r="I238" s="691" t="s">
        <v>177</v>
      </c>
      <c r="J238" s="691" t="s">
        <v>147</v>
      </c>
      <c r="K238" s="691" t="s">
        <v>125</v>
      </c>
      <c r="L238" s="691" t="s">
        <v>157</v>
      </c>
      <c r="M238" s="691" t="s">
        <v>237</v>
      </c>
      <c r="N238" s="691" t="s">
        <v>227</v>
      </c>
      <c r="O238" s="589"/>
      <c r="P238" s="717" cm="1">
        <f t="array" ref="P238">F238</f>
        <v>237</v>
      </c>
      <c r="Q238" s="620" t="str" cm="1">
        <f t="array" ref="Q238">RIGHT(G238,1)</f>
        <v>H</v>
      </c>
      <c r="R238" s="590" t="str" cm="1">
        <f t="array" ref="R238">RIGHT(H238,1)</f>
        <v>J</v>
      </c>
      <c r="S238" s="590" t="str" cm="1">
        <f t="array" ref="S238">RIGHT(I238,1)</f>
        <v>F</v>
      </c>
      <c r="T238" s="590" t="str" cm="1">
        <f t="array" ref="T238">RIGHT(J238,1)</f>
        <v>C</v>
      </c>
      <c r="U238" s="590" t="str" cm="1">
        <f t="array" ref="U238">RIGHT(K238,1)</f>
        <v>A</v>
      </c>
      <c r="V238" s="590" t="str" cm="1">
        <f t="array" ref="V238">RIGHT(L238,1)</f>
        <v>D</v>
      </c>
      <c r="W238" s="590" t="str" cm="1">
        <f t="array" ref="W238">RIGHT(M238,1)</f>
        <v>L</v>
      </c>
      <c r="X238" s="590" t="str" cm="1">
        <f t="array" ref="X238">RIGHT(N238,1)</f>
        <v>K</v>
      </c>
      <c r="Y238" s="708" cm="1">
        <f t="array" ref="Y238">COUNTIF($AA$2:$AA$9,Q238)+COUNTIF($AA$2:$AA$9,R238)+COUNTIF($AA$2:$AA$9,S238)+COUNTIF($AA$2:$AA$9,T238)+COUNTIF($AA$2:$AA$9,U238)+COUNTIF($AA$2:$AA$9,V238)+COUNTIF($AA$2:$AA$9,W238)+COUNTIF($AA$2:$AA$9,X238)</f>
        <v>6</v>
      </c>
      <c r="Z238" s="589"/>
      <c r="AA238" s="589"/>
      <c r="AB238" s="589"/>
      <c r="AC238" s="589"/>
      <c r="AD238" s="589"/>
      <c r="AE238" s="589"/>
      <c r="AF238" s="589"/>
      <c r="AG238" s="589"/>
      <c r="AH238" s="589"/>
      <c r="AI238" s="589"/>
      <c r="AJ238" s="589"/>
      <c r="AK238" s="589"/>
      <c r="AL238" s="589"/>
      <c r="AM238" s="589"/>
      <c r="AN238" s="589"/>
      <c r="AO238" s="589"/>
      <c r="AP238" s="589"/>
      <c r="AQ238" s="589"/>
      <c r="AR238" s="589"/>
      <c r="AS238" s="589"/>
      <c r="AT238" s="589"/>
      <c r="AU238" s="589"/>
      <c r="AV238" s="589"/>
      <c r="AW238" s="589"/>
      <c r="AX238" s="589"/>
      <c r="AY238" s="589"/>
      <c r="AZ238" s="589"/>
      <c r="BA238" s="589"/>
      <c r="BB238" s="589"/>
      <c r="BC238" s="589"/>
      <c r="BD238" s="589"/>
      <c r="BE238" s="589"/>
      <c r="BF238" s="589"/>
      <c r="BG238" s="589"/>
      <c r="BH238" s="589"/>
      <c r="BI238" s="589"/>
      <c r="BJ238" s="589"/>
      <c r="BK238" s="589"/>
      <c r="BL238" s="589"/>
    </row>
    <row r="239" spans="1:64" ht="14.25" customHeight="1">
      <c r="A239" s="691" t="s">
        <v>576</v>
      </c>
      <c r="B239" s="589"/>
      <c r="C239" s="589"/>
      <c r="D239" s="589"/>
      <c r="E239" s="589"/>
      <c r="F239" s="591">
        <v>238</v>
      </c>
      <c r="G239" s="691" t="s">
        <v>197</v>
      </c>
      <c r="H239" s="691" t="s">
        <v>177</v>
      </c>
      <c r="I239" s="691" t="s">
        <v>207</v>
      </c>
      <c r="J239" s="691" t="s">
        <v>147</v>
      </c>
      <c r="K239" s="691" t="s">
        <v>125</v>
      </c>
      <c r="L239" s="691" t="s">
        <v>157</v>
      </c>
      <c r="M239" s="691" t="s">
        <v>237</v>
      </c>
      <c r="N239" s="691" t="s">
        <v>227</v>
      </c>
      <c r="O239" s="589"/>
      <c r="P239" s="717" cm="1">
        <f t="array" ref="P239">F239</f>
        <v>238</v>
      </c>
      <c r="Q239" s="620" t="str" cm="1">
        <f t="array" ref="Q239">RIGHT(G239,1)</f>
        <v>H</v>
      </c>
      <c r="R239" s="590" t="str" cm="1">
        <f t="array" ref="R239">RIGHT(H239,1)</f>
        <v>F</v>
      </c>
      <c r="S239" s="590" t="str" cm="1">
        <f t="array" ref="S239">RIGHT(I239,1)</f>
        <v>I</v>
      </c>
      <c r="T239" s="590" t="str" cm="1">
        <f t="array" ref="T239">RIGHT(J239,1)</f>
        <v>C</v>
      </c>
      <c r="U239" s="590" t="str" cm="1">
        <f t="array" ref="U239">RIGHT(K239,1)</f>
        <v>A</v>
      </c>
      <c r="V239" s="590" t="str" cm="1">
        <f t="array" ref="V239">RIGHT(L239,1)</f>
        <v>D</v>
      </c>
      <c r="W239" s="590" t="str" cm="1">
        <f t="array" ref="W239">RIGHT(M239,1)</f>
        <v>L</v>
      </c>
      <c r="X239" s="590" t="str" cm="1">
        <f t="array" ref="X239">RIGHT(N239,1)</f>
        <v>K</v>
      </c>
      <c r="Y239" s="708" cm="1">
        <f t="array" ref="Y239">COUNTIF($AA$2:$AA$9,Q239)+COUNTIF($AA$2:$AA$9,R239)+COUNTIF($AA$2:$AA$9,S239)+COUNTIF($AA$2:$AA$9,T239)+COUNTIF($AA$2:$AA$9,U239)+COUNTIF($AA$2:$AA$9,V239)+COUNTIF($AA$2:$AA$9,W239)+COUNTIF($AA$2:$AA$9,X239)</f>
        <v>6</v>
      </c>
      <c r="Z239" s="589"/>
      <c r="AA239" s="589"/>
      <c r="AB239" s="589"/>
      <c r="AC239" s="589"/>
      <c r="AD239" s="589"/>
      <c r="AE239" s="589"/>
      <c r="AF239" s="589"/>
      <c r="AG239" s="589"/>
      <c r="AH239" s="589"/>
      <c r="AI239" s="589"/>
      <c r="AJ239" s="589"/>
      <c r="AK239" s="589"/>
      <c r="AL239" s="589"/>
      <c r="AM239" s="589"/>
      <c r="AN239" s="589"/>
      <c r="AO239" s="589"/>
      <c r="AP239" s="589"/>
      <c r="AQ239" s="589"/>
      <c r="AR239" s="589"/>
      <c r="AS239" s="589"/>
      <c r="AT239" s="589"/>
      <c r="AU239" s="589"/>
      <c r="AV239" s="589"/>
      <c r="AW239" s="589"/>
      <c r="AX239" s="589"/>
      <c r="AY239" s="589"/>
      <c r="AZ239" s="589"/>
      <c r="BA239" s="589"/>
      <c r="BB239" s="589"/>
      <c r="BC239" s="589"/>
      <c r="BD239" s="589"/>
      <c r="BE239" s="589"/>
      <c r="BF239" s="589"/>
      <c r="BG239" s="589"/>
      <c r="BH239" s="589"/>
      <c r="BI239" s="589"/>
      <c r="BJ239" s="589"/>
      <c r="BK239" s="589"/>
      <c r="BL239" s="589"/>
    </row>
    <row r="240" spans="1:64" ht="14.25" customHeight="1">
      <c r="A240" s="691" t="s">
        <v>577</v>
      </c>
      <c r="B240" s="589"/>
      <c r="C240" s="589"/>
      <c r="D240" s="589"/>
      <c r="E240" s="589"/>
      <c r="F240" s="591">
        <v>239</v>
      </c>
      <c r="G240" s="691" t="s">
        <v>197</v>
      </c>
      <c r="H240" s="691" t="s">
        <v>217</v>
      </c>
      <c r="I240" s="691" t="s">
        <v>177</v>
      </c>
      <c r="J240" s="691" t="s">
        <v>147</v>
      </c>
      <c r="K240" s="691" t="s">
        <v>125</v>
      </c>
      <c r="L240" s="691" t="s">
        <v>157</v>
      </c>
      <c r="M240" s="691" t="s">
        <v>237</v>
      </c>
      <c r="N240" s="691" t="s">
        <v>207</v>
      </c>
      <c r="O240" s="589"/>
      <c r="P240" s="717" cm="1">
        <f t="array" ref="P240">F240</f>
        <v>239</v>
      </c>
      <c r="Q240" s="620" t="str" cm="1">
        <f t="array" ref="Q240">RIGHT(G240,1)</f>
        <v>H</v>
      </c>
      <c r="R240" s="590" t="str" cm="1">
        <f t="array" ref="R240">RIGHT(H240,1)</f>
        <v>J</v>
      </c>
      <c r="S240" s="590" t="str" cm="1">
        <f t="array" ref="S240">RIGHT(I240,1)</f>
        <v>F</v>
      </c>
      <c r="T240" s="590" t="str" cm="1">
        <f t="array" ref="T240">RIGHT(J240,1)</f>
        <v>C</v>
      </c>
      <c r="U240" s="590" t="str" cm="1">
        <f t="array" ref="U240">RIGHT(K240,1)</f>
        <v>A</v>
      </c>
      <c r="V240" s="590" t="str" cm="1">
        <f t="array" ref="V240">RIGHT(L240,1)</f>
        <v>D</v>
      </c>
      <c r="W240" s="590" t="str" cm="1">
        <f t="array" ref="W240">RIGHT(M240,1)</f>
        <v>L</v>
      </c>
      <c r="X240" s="590" t="str" cm="1">
        <f t="array" ref="X240">RIGHT(N240,1)</f>
        <v>I</v>
      </c>
      <c r="Y240" s="708" cm="1">
        <f t="array" ref="Y240">COUNTIF($AA$2:$AA$9,Q240)+COUNTIF($AA$2:$AA$9,R240)+COUNTIF($AA$2:$AA$9,S240)+COUNTIF($AA$2:$AA$9,T240)+COUNTIF($AA$2:$AA$9,U240)+COUNTIF($AA$2:$AA$9,V240)+COUNTIF($AA$2:$AA$9,W240)+COUNTIF($AA$2:$AA$9,X240)</f>
        <v>7</v>
      </c>
      <c r="Z240" s="589"/>
      <c r="AA240" s="589"/>
      <c r="AB240" s="589"/>
      <c r="AC240" s="589"/>
      <c r="AD240" s="589"/>
      <c r="AE240" s="589"/>
      <c r="AF240" s="589"/>
      <c r="AG240" s="589"/>
      <c r="AH240" s="589"/>
      <c r="AI240" s="589"/>
      <c r="AJ240" s="589"/>
      <c r="AK240" s="589"/>
      <c r="AL240" s="589"/>
      <c r="AM240" s="589"/>
      <c r="AN240" s="589"/>
      <c r="AO240" s="589"/>
      <c r="AP240" s="589"/>
      <c r="AQ240" s="589"/>
      <c r="AR240" s="589"/>
      <c r="AS240" s="589"/>
      <c r="AT240" s="589"/>
      <c r="AU240" s="589"/>
      <c r="AV240" s="589"/>
      <c r="AW240" s="589"/>
      <c r="AX240" s="589"/>
      <c r="AY240" s="589"/>
      <c r="AZ240" s="589"/>
      <c r="BA240" s="589"/>
      <c r="BB240" s="589"/>
      <c r="BC240" s="589"/>
      <c r="BD240" s="589"/>
      <c r="BE240" s="589"/>
      <c r="BF240" s="589"/>
      <c r="BG240" s="589"/>
      <c r="BH240" s="589"/>
      <c r="BI240" s="589"/>
      <c r="BJ240" s="589"/>
      <c r="BK240" s="589"/>
      <c r="BL240" s="589"/>
    </row>
    <row r="241" spans="1:64" ht="14.25" customHeight="1">
      <c r="A241" s="691" t="s">
        <v>578</v>
      </c>
      <c r="B241" s="589"/>
      <c r="C241" s="589"/>
      <c r="D241" s="589"/>
      <c r="E241" s="589"/>
      <c r="F241" s="591">
        <v>240</v>
      </c>
      <c r="G241" s="691" t="s">
        <v>197</v>
      </c>
      <c r="H241" s="691" t="s">
        <v>217</v>
      </c>
      <c r="I241" s="691" t="s">
        <v>177</v>
      </c>
      <c r="J241" s="691" t="s">
        <v>147</v>
      </c>
      <c r="K241" s="691" t="s">
        <v>125</v>
      </c>
      <c r="L241" s="691" t="s">
        <v>157</v>
      </c>
      <c r="M241" s="691" t="s">
        <v>207</v>
      </c>
      <c r="N241" s="691" t="s">
        <v>227</v>
      </c>
      <c r="O241" s="589"/>
      <c r="P241" s="717" cm="1">
        <f t="array" ref="P241">F241</f>
        <v>240</v>
      </c>
      <c r="Q241" s="620" t="str" cm="1">
        <f t="array" ref="Q241">RIGHT(G241,1)</f>
        <v>H</v>
      </c>
      <c r="R241" s="590" t="str" cm="1">
        <f t="array" ref="R241">RIGHT(H241,1)</f>
        <v>J</v>
      </c>
      <c r="S241" s="590" t="str" cm="1">
        <f t="array" ref="S241">RIGHT(I241,1)</f>
        <v>F</v>
      </c>
      <c r="T241" s="590" t="str" cm="1">
        <f t="array" ref="T241">RIGHT(J241,1)</f>
        <v>C</v>
      </c>
      <c r="U241" s="590" t="str" cm="1">
        <f t="array" ref="U241">RIGHT(K241,1)</f>
        <v>A</v>
      </c>
      <c r="V241" s="590" t="str" cm="1">
        <f t="array" ref="V241">RIGHT(L241,1)</f>
        <v>D</v>
      </c>
      <c r="W241" s="590" t="str" cm="1">
        <f t="array" ref="W241">RIGHT(M241,1)</f>
        <v>I</v>
      </c>
      <c r="X241" s="590" t="str" cm="1">
        <f t="array" ref="X241">RIGHT(N241,1)</f>
        <v>K</v>
      </c>
      <c r="Y241" s="708" cm="1">
        <f t="array" ref="Y241">COUNTIF($AA$2:$AA$9,Q241)+COUNTIF($AA$2:$AA$9,R241)+COUNTIF($AA$2:$AA$9,S241)+COUNTIF($AA$2:$AA$9,T241)+COUNTIF($AA$2:$AA$9,U241)+COUNTIF($AA$2:$AA$9,V241)+COUNTIF($AA$2:$AA$9,W241)+COUNTIF($AA$2:$AA$9,X241)</f>
        <v>6</v>
      </c>
      <c r="Z241" s="589"/>
      <c r="AA241" s="589"/>
      <c r="AB241" s="589"/>
      <c r="AC241" s="589"/>
      <c r="AD241" s="589"/>
      <c r="AE241" s="589"/>
      <c r="AF241" s="589"/>
      <c r="AG241" s="589"/>
      <c r="AH241" s="589"/>
      <c r="AI241" s="589"/>
      <c r="AJ241" s="589"/>
      <c r="AK241" s="589"/>
      <c r="AL241" s="589"/>
      <c r="AM241" s="589"/>
      <c r="AN241" s="589"/>
      <c r="AO241" s="589"/>
      <c r="AP241" s="589"/>
      <c r="AQ241" s="589"/>
      <c r="AR241" s="589"/>
      <c r="AS241" s="589"/>
      <c r="AT241" s="589"/>
      <c r="AU241" s="589"/>
      <c r="AV241" s="589"/>
      <c r="AW241" s="589"/>
      <c r="AX241" s="589"/>
      <c r="AY241" s="589"/>
      <c r="AZ241" s="589"/>
      <c r="BA241" s="589"/>
      <c r="BB241" s="589"/>
      <c r="BC241" s="589"/>
      <c r="BD241" s="589"/>
      <c r="BE241" s="589"/>
      <c r="BF241" s="589"/>
      <c r="BG241" s="589"/>
      <c r="BH241" s="589"/>
      <c r="BI241" s="589"/>
      <c r="BJ241" s="589"/>
      <c r="BK241" s="589"/>
      <c r="BL241" s="589"/>
    </row>
    <row r="242" spans="1:64" ht="14.25" customHeight="1">
      <c r="A242" s="691" t="s">
        <v>579</v>
      </c>
      <c r="B242" s="589"/>
      <c r="C242" s="589"/>
      <c r="D242" s="589"/>
      <c r="E242" s="589"/>
      <c r="F242" s="591">
        <v>241</v>
      </c>
      <c r="G242" s="691" t="s">
        <v>147</v>
      </c>
      <c r="H242" s="691" t="s">
        <v>187</v>
      </c>
      <c r="I242" s="691" t="s">
        <v>217</v>
      </c>
      <c r="J242" s="691" t="s">
        <v>157</v>
      </c>
      <c r="K242" s="691" t="s">
        <v>125</v>
      </c>
      <c r="L242" s="691" t="s">
        <v>177</v>
      </c>
      <c r="M242" s="691" t="s">
        <v>237</v>
      </c>
      <c r="N242" s="691" t="s">
        <v>227</v>
      </c>
      <c r="O242" s="589"/>
      <c r="P242" s="717" cm="1">
        <f t="array" ref="P242">F242</f>
        <v>241</v>
      </c>
      <c r="Q242" s="620" t="str" cm="1">
        <f t="array" ref="Q242">RIGHT(G242,1)</f>
        <v>C</v>
      </c>
      <c r="R242" s="590" t="str" cm="1">
        <f t="array" ref="R242">RIGHT(H242,1)</f>
        <v>G</v>
      </c>
      <c r="S242" s="590" t="str" cm="1">
        <f t="array" ref="S242">RIGHT(I242,1)</f>
        <v>J</v>
      </c>
      <c r="T242" s="590" t="str" cm="1">
        <f t="array" ref="T242">RIGHT(J242,1)</f>
        <v>D</v>
      </c>
      <c r="U242" s="590" t="str" cm="1">
        <f t="array" ref="U242">RIGHT(K242,1)</f>
        <v>A</v>
      </c>
      <c r="V242" s="590" t="str" cm="1">
        <f t="array" ref="V242">RIGHT(L242,1)</f>
        <v>F</v>
      </c>
      <c r="W242" s="590" t="str" cm="1">
        <f t="array" ref="W242">RIGHT(M242,1)</f>
        <v>L</v>
      </c>
      <c r="X242" s="590" t="str" cm="1">
        <f t="array" ref="X242">RIGHT(N242,1)</f>
        <v>K</v>
      </c>
      <c r="Y242" s="708" cm="1">
        <f t="array" ref="Y242">COUNTIF($AA$2:$AA$9,Q242)+COUNTIF($AA$2:$AA$9,R242)+COUNTIF($AA$2:$AA$9,S242)+COUNTIF($AA$2:$AA$9,T242)+COUNTIF($AA$2:$AA$9,U242)+COUNTIF($AA$2:$AA$9,V242)+COUNTIF($AA$2:$AA$9,W242)+COUNTIF($AA$2:$AA$9,X242)</f>
        <v>6</v>
      </c>
      <c r="Z242" s="589"/>
      <c r="AA242" s="589"/>
      <c r="AB242" s="589"/>
      <c r="AC242" s="589"/>
      <c r="AD242" s="589"/>
      <c r="AE242" s="589"/>
      <c r="AF242" s="589"/>
      <c r="AG242" s="589"/>
      <c r="AH242" s="589"/>
      <c r="AI242" s="589"/>
      <c r="AJ242" s="589"/>
      <c r="AK242" s="589"/>
      <c r="AL242" s="589"/>
      <c r="AM242" s="589"/>
      <c r="AN242" s="589"/>
      <c r="AO242" s="589"/>
      <c r="AP242" s="589"/>
      <c r="AQ242" s="589"/>
      <c r="AR242" s="589"/>
      <c r="AS242" s="589"/>
      <c r="AT242" s="589"/>
      <c r="AU242" s="589"/>
      <c r="AV242" s="589"/>
      <c r="AW242" s="589"/>
      <c r="AX242" s="589"/>
      <c r="AY242" s="589"/>
      <c r="AZ242" s="589"/>
      <c r="BA242" s="589"/>
      <c r="BB242" s="589"/>
      <c r="BC242" s="589"/>
      <c r="BD242" s="589"/>
      <c r="BE242" s="589"/>
      <c r="BF242" s="589"/>
      <c r="BG242" s="589"/>
      <c r="BH242" s="589"/>
      <c r="BI242" s="589"/>
      <c r="BJ242" s="589"/>
      <c r="BK242" s="589"/>
      <c r="BL242" s="589"/>
    </row>
    <row r="243" spans="1:64" ht="14.25" customHeight="1">
      <c r="A243" s="691" t="s">
        <v>580</v>
      </c>
      <c r="B243" s="589"/>
      <c r="C243" s="589"/>
      <c r="D243" s="589"/>
      <c r="E243" s="589"/>
      <c r="F243" s="591">
        <v>242</v>
      </c>
      <c r="G243" s="691" t="s">
        <v>147</v>
      </c>
      <c r="H243" s="691" t="s">
        <v>187</v>
      </c>
      <c r="I243" s="691" t="s">
        <v>207</v>
      </c>
      <c r="J243" s="691" t="s">
        <v>157</v>
      </c>
      <c r="K243" s="691" t="s">
        <v>125</v>
      </c>
      <c r="L243" s="691" t="s">
        <v>177</v>
      </c>
      <c r="M243" s="691" t="s">
        <v>237</v>
      </c>
      <c r="N243" s="691" t="s">
        <v>227</v>
      </c>
      <c r="O243" s="589"/>
      <c r="P243" s="717" cm="1">
        <f t="array" ref="P243">F243</f>
        <v>242</v>
      </c>
      <c r="Q243" s="620" t="str" cm="1">
        <f t="array" ref="Q243">RIGHT(G243,1)</f>
        <v>C</v>
      </c>
      <c r="R243" s="590" t="str" cm="1">
        <f t="array" ref="R243">RIGHT(H243,1)</f>
        <v>G</v>
      </c>
      <c r="S243" s="590" t="str" cm="1">
        <f t="array" ref="S243">RIGHT(I243,1)</f>
        <v>I</v>
      </c>
      <c r="T243" s="590" t="str" cm="1">
        <f t="array" ref="T243">RIGHT(J243,1)</f>
        <v>D</v>
      </c>
      <c r="U243" s="590" t="str" cm="1">
        <f t="array" ref="U243">RIGHT(K243,1)</f>
        <v>A</v>
      </c>
      <c r="V243" s="590" t="str" cm="1">
        <f t="array" ref="V243">RIGHT(L243,1)</f>
        <v>F</v>
      </c>
      <c r="W243" s="590" t="str" cm="1">
        <f t="array" ref="W243">RIGHT(M243,1)</f>
        <v>L</v>
      </c>
      <c r="X243" s="590" t="str" cm="1">
        <f t="array" ref="X243">RIGHT(N243,1)</f>
        <v>K</v>
      </c>
      <c r="Y243" s="708" cm="1">
        <f t="array" ref="Y243">COUNTIF($AA$2:$AA$9,Q243)+COUNTIF($AA$2:$AA$9,R243)+COUNTIF($AA$2:$AA$9,S243)+COUNTIF($AA$2:$AA$9,T243)+COUNTIF($AA$2:$AA$9,U243)+COUNTIF($AA$2:$AA$9,V243)+COUNTIF($AA$2:$AA$9,W243)+COUNTIF($AA$2:$AA$9,X243)</f>
        <v>6</v>
      </c>
      <c r="Z243" s="589"/>
      <c r="AA243" s="589"/>
      <c r="AB243" s="589"/>
      <c r="AC243" s="589"/>
      <c r="AD243" s="589"/>
      <c r="AE243" s="589"/>
      <c r="AF243" s="589"/>
      <c r="AG243" s="589"/>
      <c r="AH243" s="589"/>
      <c r="AI243" s="589"/>
      <c r="AJ243" s="589"/>
      <c r="AK243" s="589"/>
      <c r="AL243" s="589"/>
      <c r="AM243" s="589"/>
      <c r="AN243" s="589"/>
      <c r="AO243" s="589"/>
      <c r="AP243" s="589"/>
      <c r="AQ243" s="589"/>
      <c r="AR243" s="589"/>
      <c r="AS243" s="589"/>
      <c r="AT243" s="589"/>
      <c r="AU243" s="589"/>
      <c r="AV243" s="589"/>
      <c r="AW243" s="589"/>
      <c r="AX243" s="589"/>
      <c r="AY243" s="589"/>
      <c r="AZ243" s="589"/>
      <c r="BA243" s="589"/>
      <c r="BB243" s="589"/>
      <c r="BC243" s="589"/>
      <c r="BD243" s="589"/>
      <c r="BE243" s="589"/>
      <c r="BF243" s="589"/>
      <c r="BG243" s="589"/>
      <c r="BH243" s="589"/>
      <c r="BI243" s="589"/>
      <c r="BJ243" s="589"/>
      <c r="BK243" s="589"/>
      <c r="BL243" s="589"/>
    </row>
    <row r="244" spans="1:64" ht="14.25" customHeight="1">
      <c r="A244" s="691" t="s">
        <v>581</v>
      </c>
      <c r="B244" s="589"/>
      <c r="C244" s="589"/>
      <c r="D244" s="589"/>
      <c r="E244" s="589"/>
      <c r="F244" s="591">
        <v>243</v>
      </c>
      <c r="G244" s="691" t="s">
        <v>147</v>
      </c>
      <c r="H244" s="691" t="s">
        <v>187</v>
      </c>
      <c r="I244" s="691" t="s">
        <v>217</v>
      </c>
      <c r="J244" s="691" t="s">
        <v>157</v>
      </c>
      <c r="K244" s="691" t="s">
        <v>125</v>
      </c>
      <c r="L244" s="691" t="s">
        <v>177</v>
      </c>
      <c r="M244" s="691" t="s">
        <v>237</v>
      </c>
      <c r="N244" s="691" t="s">
        <v>207</v>
      </c>
      <c r="O244" s="589"/>
      <c r="P244" s="717" cm="1">
        <f t="array" ref="P244">F244</f>
        <v>243</v>
      </c>
      <c r="Q244" s="620" t="str" cm="1">
        <f t="array" ref="Q244">RIGHT(G244,1)</f>
        <v>C</v>
      </c>
      <c r="R244" s="590" t="str" cm="1">
        <f t="array" ref="R244">RIGHT(H244,1)</f>
        <v>G</v>
      </c>
      <c r="S244" s="590" t="str" cm="1">
        <f t="array" ref="S244">RIGHT(I244,1)</f>
        <v>J</v>
      </c>
      <c r="T244" s="590" t="str" cm="1">
        <f t="array" ref="T244">RIGHT(J244,1)</f>
        <v>D</v>
      </c>
      <c r="U244" s="590" t="str" cm="1">
        <f t="array" ref="U244">RIGHT(K244,1)</f>
        <v>A</v>
      </c>
      <c r="V244" s="590" t="str" cm="1">
        <f t="array" ref="V244">RIGHT(L244,1)</f>
        <v>F</v>
      </c>
      <c r="W244" s="590" t="str" cm="1">
        <f t="array" ref="W244">RIGHT(M244,1)</f>
        <v>L</v>
      </c>
      <c r="X244" s="590" t="str" cm="1">
        <f t="array" ref="X244">RIGHT(N244,1)</f>
        <v>I</v>
      </c>
      <c r="Y244" s="708" cm="1">
        <f t="array" ref="Y244">COUNTIF($AA$2:$AA$9,Q244)+COUNTIF($AA$2:$AA$9,R244)+COUNTIF($AA$2:$AA$9,S244)+COUNTIF($AA$2:$AA$9,T244)+COUNTIF($AA$2:$AA$9,U244)+COUNTIF($AA$2:$AA$9,V244)+COUNTIF($AA$2:$AA$9,W244)+COUNTIF($AA$2:$AA$9,X244)</f>
        <v>7</v>
      </c>
      <c r="Z244" s="589"/>
      <c r="AA244" s="589"/>
      <c r="AB244" s="589"/>
      <c r="AC244" s="589"/>
      <c r="AD244" s="589"/>
      <c r="AE244" s="589"/>
      <c r="AF244" s="589"/>
      <c r="AG244" s="589"/>
      <c r="AH244" s="589"/>
      <c r="AI244" s="589"/>
      <c r="AJ244" s="589"/>
      <c r="AK244" s="589"/>
      <c r="AL244" s="589"/>
      <c r="AM244" s="589"/>
      <c r="AN244" s="589"/>
      <c r="AO244" s="589"/>
      <c r="AP244" s="589"/>
      <c r="AQ244" s="589"/>
      <c r="AR244" s="589"/>
      <c r="AS244" s="589"/>
      <c r="AT244" s="589"/>
      <c r="AU244" s="589"/>
      <c r="AV244" s="589"/>
      <c r="AW244" s="589"/>
      <c r="AX244" s="589"/>
      <c r="AY244" s="589"/>
      <c r="AZ244" s="589"/>
      <c r="BA244" s="589"/>
      <c r="BB244" s="589"/>
      <c r="BC244" s="589"/>
      <c r="BD244" s="589"/>
      <c r="BE244" s="589"/>
      <c r="BF244" s="589"/>
      <c r="BG244" s="589"/>
      <c r="BH244" s="589"/>
      <c r="BI244" s="589"/>
      <c r="BJ244" s="589"/>
      <c r="BK244" s="589"/>
      <c r="BL244" s="589"/>
    </row>
    <row r="245" spans="1:64" ht="14.25" customHeight="1">
      <c r="A245" s="691" t="s">
        <v>582</v>
      </c>
      <c r="B245" s="589"/>
      <c r="C245" s="589"/>
      <c r="D245" s="589"/>
      <c r="E245" s="589"/>
      <c r="F245" s="591">
        <v>244</v>
      </c>
      <c r="G245" s="691" t="s">
        <v>147</v>
      </c>
      <c r="H245" s="691" t="s">
        <v>187</v>
      </c>
      <c r="I245" s="691" t="s">
        <v>217</v>
      </c>
      <c r="J245" s="691" t="s">
        <v>157</v>
      </c>
      <c r="K245" s="691" t="s">
        <v>125</v>
      </c>
      <c r="L245" s="691" t="s">
        <v>177</v>
      </c>
      <c r="M245" s="691" t="s">
        <v>207</v>
      </c>
      <c r="N245" s="691" t="s">
        <v>227</v>
      </c>
      <c r="O245" s="589"/>
      <c r="P245" s="717" cm="1">
        <f t="array" ref="P245">F245</f>
        <v>244</v>
      </c>
      <c r="Q245" s="620" t="str" cm="1">
        <f t="array" ref="Q245">RIGHT(G245,1)</f>
        <v>C</v>
      </c>
      <c r="R245" s="590" t="str" cm="1">
        <f t="array" ref="R245">RIGHT(H245,1)</f>
        <v>G</v>
      </c>
      <c r="S245" s="590" t="str" cm="1">
        <f t="array" ref="S245">RIGHT(I245,1)</f>
        <v>J</v>
      </c>
      <c r="T245" s="590" t="str" cm="1">
        <f t="array" ref="T245">RIGHT(J245,1)</f>
        <v>D</v>
      </c>
      <c r="U245" s="590" t="str" cm="1">
        <f t="array" ref="U245">RIGHT(K245,1)</f>
        <v>A</v>
      </c>
      <c r="V245" s="590" t="str" cm="1">
        <f t="array" ref="V245">RIGHT(L245,1)</f>
        <v>F</v>
      </c>
      <c r="W245" s="590" t="str" cm="1">
        <f t="array" ref="W245">RIGHT(M245,1)</f>
        <v>I</v>
      </c>
      <c r="X245" s="590" t="str" cm="1">
        <f t="array" ref="X245">RIGHT(N245,1)</f>
        <v>K</v>
      </c>
      <c r="Y245" s="708" cm="1">
        <f t="array" ref="Y245">COUNTIF($AA$2:$AA$9,Q245)+COUNTIF($AA$2:$AA$9,R245)+COUNTIF($AA$2:$AA$9,S245)+COUNTIF($AA$2:$AA$9,T245)+COUNTIF($AA$2:$AA$9,U245)+COUNTIF($AA$2:$AA$9,V245)+COUNTIF($AA$2:$AA$9,W245)+COUNTIF($AA$2:$AA$9,X245)</f>
        <v>6</v>
      </c>
      <c r="Z245" s="589"/>
      <c r="AA245" s="589"/>
      <c r="AB245" s="589"/>
      <c r="AC245" s="589"/>
      <c r="AD245" s="589"/>
      <c r="AE245" s="589"/>
      <c r="AF245" s="589"/>
      <c r="AG245" s="589"/>
      <c r="AH245" s="589"/>
      <c r="AI245" s="589"/>
      <c r="AJ245" s="589"/>
      <c r="AK245" s="589"/>
      <c r="AL245" s="589"/>
      <c r="AM245" s="589"/>
      <c r="AN245" s="589"/>
      <c r="AO245" s="589"/>
      <c r="AP245" s="589"/>
      <c r="AQ245" s="589"/>
      <c r="AR245" s="589"/>
      <c r="AS245" s="589"/>
      <c r="AT245" s="589"/>
      <c r="AU245" s="589"/>
      <c r="AV245" s="589"/>
      <c r="AW245" s="589"/>
      <c r="AX245" s="589"/>
      <c r="AY245" s="589"/>
      <c r="AZ245" s="589"/>
      <c r="BA245" s="589"/>
      <c r="BB245" s="589"/>
      <c r="BC245" s="589"/>
      <c r="BD245" s="589"/>
      <c r="BE245" s="589"/>
      <c r="BF245" s="589"/>
      <c r="BG245" s="589"/>
      <c r="BH245" s="589"/>
      <c r="BI245" s="589"/>
      <c r="BJ245" s="589"/>
      <c r="BK245" s="589"/>
      <c r="BL245" s="589"/>
    </row>
    <row r="246" spans="1:64" ht="14.25" customHeight="1">
      <c r="A246" s="691" t="s">
        <v>583</v>
      </c>
      <c r="B246" s="589"/>
      <c r="C246" s="589"/>
      <c r="D246" s="589"/>
      <c r="E246" s="589"/>
      <c r="F246" s="591">
        <v>245</v>
      </c>
      <c r="G246" s="691" t="s">
        <v>197</v>
      </c>
      <c r="H246" s="691" t="s">
        <v>187</v>
      </c>
      <c r="I246" s="691" t="s">
        <v>177</v>
      </c>
      <c r="J246" s="691" t="s">
        <v>147</v>
      </c>
      <c r="K246" s="691" t="s">
        <v>125</v>
      </c>
      <c r="L246" s="691" t="s">
        <v>157</v>
      </c>
      <c r="M246" s="691" t="s">
        <v>237</v>
      </c>
      <c r="N246" s="691" t="s">
        <v>227</v>
      </c>
      <c r="O246" s="589"/>
      <c r="P246" s="717" cm="1">
        <f t="array" ref="P246">F246</f>
        <v>245</v>
      </c>
      <c r="Q246" s="620" t="str" cm="1">
        <f t="array" ref="Q246">RIGHT(G246,1)</f>
        <v>H</v>
      </c>
      <c r="R246" s="590" t="str" cm="1">
        <f t="array" ref="R246">RIGHT(H246,1)</f>
        <v>G</v>
      </c>
      <c r="S246" s="590" t="str" cm="1">
        <f t="array" ref="S246">RIGHT(I246,1)</f>
        <v>F</v>
      </c>
      <c r="T246" s="590" t="str" cm="1">
        <f t="array" ref="T246">RIGHT(J246,1)</f>
        <v>C</v>
      </c>
      <c r="U246" s="590" t="str" cm="1">
        <f t="array" ref="U246">RIGHT(K246,1)</f>
        <v>A</v>
      </c>
      <c r="V246" s="590" t="str" cm="1">
        <f t="array" ref="V246">RIGHT(L246,1)</f>
        <v>D</v>
      </c>
      <c r="W246" s="590" t="str" cm="1">
        <f t="array" ref="W246">RIGHT(M246,1)</f>
        <v>L</v>
      </c>
      <c r="X246" s="590" t="str" cm="1">
        <f t="array" ref="X246">RIGHT(N246,1)</f>
        <v>K</v>
      </c>
      <c r="Y246" s="708" cm="1">
        <f t="array" ref="Y246">COUNTIF($AA$2:$AA$9,Q246)+COUNTIF($AA$2:$AA$9,R246)+COUNTIF($AA$2:$AA$9,S246)+COUNTIF($AA$2:$AA$9,T246)+COUNTIF($AA$2:$AA$9,U246)+COUNTIF($AA$2:$AA$9,V246)+COUNTIF($AA$2:$AA$9,W246)+COUNTIF($AA$2:$AA$9,X246)</f>
        <v>5</v>
      </c>
      <c r="Z246" s="589"/>
      <c r="AA246" s="589"/>
      <c r="AB246" s="589"/>
      <c r="AC246" s="589"/>
      <c r="AD246" s="589"/>
      <c r="AE246" s="589"/>
      <c r="AF246" s="589"/>
      <c r="AG246" s="589"/>
      <c r="AH246" s="589"/>
      <c r="AI246" s="589"/>
      <c r="AJ246" s="589"/>
      <c r="AK246" s="589"/>
      <c r="AL246" s="589"/>
      <c r="AM246" s="589"/>
      <c r="AN246" s="589"/>
      <c r="AO246" s="589"/>
      <c r="AP246" s="589"/>
      <c r="AQ246" s="589"/>
      <c r="AR246" s="589"/>
      <c r="AS246" s="589"/>
      <c r="AT246" s="589"/>
      <c r="AU246" s="589"/>
      <c r="AV246" s="589"/>
      <c r="AW246" s="589"/>
      <c r="AX246" s="589"/>
      <c r="AY246" s="589"/>
      <c r="AZ246" s="589"/>
      <c r="BA246" s="589"/>
      <c r="BB246" s="589"/>
      <c r="BC246" s="589"/>
      <c r="BD246" s="589"/>
      <c r="BE246" s="589"/>
      <c r="BF246" s="589"/>
      <c r="BG246" s="589"/>
      <c r="BH246" s="589"/>
      <c r="BI246" s="589"/>
      <c r="BJ246" s="589"/>
      <c r="BK246" s="589"/>
      <c r="BL246" s="589"/>
    </row>
    <row r="247" spans="1:64" ht="14.25" customHeight="1">
      <c r="A247" s="691" t="s">
        <v>584</v>
      </c>
      <c r="B247" s="589"/>
      <c r="C247" s="589"/>
      <c r="D247" s="589"/>
      <c r="E247" s="589"/>
      <c r="F247" s="591">
        <v>246</v>
      </c>
      <c r="G247" s="691" t="s">
        <v>147</v>
      </c>
      <c r="H247" s="691" t="s">
        <v>187</v>
      </c>
      <c r="I247" s="691" t="s">
        <v>217</v>
      </c>
      <c r="J247" s="691" t="s">
        <v>157</v>
      </c>
      <c r="K247" s="691" t="s">
        <v>125</v>
      </c>
      <c r="L247" s="691" t="s">
        <v>177</v>
      </c>
      <c r="M247" s="691" t="s">
        <v>237</v>
      </c>
      <c r="N247" s="691" t="s">
        <v>197</v>
      </c>
      <c r="O247" s="589"/>
      <c r="P247" s="717" cm="1">
        <f t="array" ref="P247">F247</f>
        <v>246</v>
      </c>
      <c r="Q247" s="620" t="str" cm="1">
        <f t="array" ref="Q247">RIGHT(G247,1)</f>
        <v>C</v>
      </c>
      <c r="R247" s="590" t="str" cm="1">
        <f t="array" ref="R247">RIGHT(H247,1)</f>
        <v>G</v>
      </c>
      <c r="S247" s="590" t="str" cm="1">
        <f t="array" ref="S247">RIGHT(I247,1)</f>
        <v>J</v>
      </c>
      <c r="T247" s="590" t="str" cm="1">
        <f t="array" ref="T247">RIGHT(J247,1)</f>
        <v>D</v>
      </c>
      <c r="U247" s="590" t="str" cm="1">
        <f t="array" ref="U247">RIGHT(K247,1)</f>
        <v>A</v>
      </c>
      <c r="V247" s="590" t="str" cm="1">
        <f t="array" ref="V247">RIGHT(L247,1)</f>
        <v>F</v>
      </c>
      <c r="W247" s="590" t="str" cm="1">
        <f t="array" ref="W247">RIGHT(M247,1)</f>
        <v>L</v>
      </c>
      <c r="X247" s="590" t="str" cm="1">
        <f t="array" ref="X247">RIGHT(N247,1)</f>
        <v>H</v>
      </c>
      <c r="Y247" s="708" cm="1">
        <f t="array" ref="Y247">COUNTIF($AA$2:$AA$9,Q247)+COUNTIF($AA$2:$AA$9,R247)+COUNTIF($AA$2:$AA$9,S247)+COUNTIF($AA$2:$AA$9,T247)+COUNTIF($AA$2:$AA$9,U247)+COUNTIF($AA$2:$AA$9,V247)+COUNTIF($AA$2:$AA$9,W247)+COUNTIF($AA$2:$AA$9,X247)</f>
        <v>6</v>
      </c>
      <c r="Z247" s="589"/>
      <c r="AA247" s="589"/>
      <c r="AB247" s="589"/>
      <c r="AC247" s="589"/>
      <c r="AD247" s="589"/>
      <c r="AE247" s="589"/>
      <c r="AF247" s="589"/>
      <c r="AG247" s="589"/>
      <c r="AH247" s="589"/>
      <c r="AI247" s="589"/>
      <c r="AJ247" s="589"/>
      <c r="AK247" s="589"/>
      <c r="AL247" s="589"/>
      <c r="AM247" s="589"/>
      <c r="AN247" s="589"/>
      <c r="AO247" s="589"/>
      <c r="AP247" s="589"/>
      <c r="AQ247" s="589"/>
      <c r="AR247" s="589"/>
      <c r="AS247" s="589"/>
      <c r="AT247" s="589"/>
      <c r="AU247" s="589"/>
      <c r="AV247" s="589"/>
      <c r="AW247" s="589"/>
      <c r="AX247" s="589"/>
      <c r="AY247" s="589"/>
      <c r="AZ247" s="589"/>
      <c r="BA247" s="589"/>
      <c r="BB247" s="589"/>
      <c r="BC247" s="589"/>
      <c r="BD247" s="589"/>
      <c r="BE247" s="589"/>
      <c r="BF247" s="589"/>
      <c r="BG247" s="589"/>
      <c r="BH247" s="589"/>
      <c r="BI247" s="589"/>
      <c r="BJ247" s="589"/>
      <c r="BK247" s="589"/>
      <c r="BL247" s="589"/>
    </row>
    <row r="248" spans="1:64" ht="14.25" customHeight="1">
      <c r="A248" s="691" t="s">
        <v>585</v>
      </c>
      <c r="B248" s="589"/>
      <c r="C248" s="589"/>
      <c r="D248" s="589"/>
      <c r="E248" s="589"/>
      <c r="F248" s="591">
        <v>247</v>
      </c>
      <c r="G248" s="691" t="s">
        <v>197</v>
      </c>
      <c r="H248" s="691" t="s">
        <v>187</v>
      </c>
      <c r="I248" s="691" t="s">
        <v>217</v>
      </c>
      <c r="J248" s="691" t="s">
        <v>147</v>
      </c>
      <c r="K248" s="691" t="s">
        <v>125</v>
      </c>
      <c r="L248" s="691" t="s">
        <v>177</v>
      </c>
      <c r="M248" s="691" t="s">
        <v>157</v>
      </c>
      <c r="N248" s="691" t="s">
        <v>227</v>
      </c>
      <c r="O248" s="589"/>
      <c r="P248" s="717" cm="1">
        <f t="array" ref="P248">F248</f>
        <v>247</v>
      </c>
      <c r="Q248" s="620" t="str" cm="1">
        <f t="array" ref="Q248">RIGHT(G248,1)</f>
        <v>H</v>
      </c>
      <c r="R248" s="590" t="str" cm="1">
        <f t="array" ref="R248">RIGHT(H248,1)</f>
        <v>G</v>
      </c>
      <c r="S248" s="590" t="str" cm="1">
        <f t="array" ref="S248">RIGHT(I248,1)</f>
        <v>J</v>
      </c>
      <c r="T248" s="590" t="str" cm="1">
        <f t="array" ref="T248">RIGHT(J248,1)</f>
        <v>C</v>
      </c>
      <c r="U248" s="590" t="str" cm="1">
        <f t="array" ref="U248">RIGHT(K248,1)</f>
        <v>A</v>
      </c>
      <c r="V248" s="590" t="str" cm="1">
        <f t="array" ref="V248">RIGHT(L248,1)</f>
        <v>F</v>
      </c>
      <c r="W248" s="590" t="str" cm="1">
        <f t="array" ref="W248">RIGHT(M248,1)</f>
        <v>D</v>
      </c>
      <c r="X248" s="590" t="str" cm="1">
        <f t="array" ref="X248">RIGHT(N248,1)</f>
        <v>K</v>
      </c>
      <c r="Y248" s="708" cm="1">
        <f t="array" ref="Y248">COUNTIF($AA$2:$AA$9,Q248)+COUNTIF($AA$2:$AA$9,R248)+COUNTIF($AA$2:$AA$9,S248)+COUNTIF($AA$2:$AA$9,T248)+COUNTIF($AA$2:$AA$9,U248)+COUNTIF($AA$2:$AA$9,V248)+COUNTIF($AA$2:$AA$9,W248)+COUNTIF($AA$2:$AA$9,X248)</f>
        <v>5</v>
      </c>
      <c r="Z248" s="589"/>
      <c r="AA248" s="589"/>
      <c r="AB248" s="589"/>
      <c r="AC248" s="589"/>
      <c r="AD248" s="589"/>
      <c r="AE248" s="589"/>
      <c r="AF248" s="589"/>
      <c r="AG248" s="589"/>
      <c r="AH248" s="589"/>
      <c r="AI248" s="589"/>
      <c r="AJ248" s="589"/>
      <c r="AK248" s="589"/>
      <c r="AL248" s="589"/>
      <c r="AM248" s="589"/>
      <c r="AN248" s="589"/>
      <c r="AO248" s="589"/>
      <c r="AP248" s="589"/>
      <c r="AQ248" s="589"/>
      <c r="AR248" s="589"/>
      <c r="AS248" s="589"/>
      <c r="AT248" s="589"/>
      <c r="AU248" s="589"/>
      <c r="AV248" s="589"/>
      <c r="AW248" s="589"/>
      <c r="AX248" s="589"/>
      <c r="AY248" s="589"/>
      <c r="AZ248" s="589"/>
      <c r="BA248" s="589"/>
      <c r="BB248" s="589"/>
      <c r="BC248" s="589"/>
      <c r="BD248" s="589"/>
      <c r="BE248" s="589"/>
      <c r="BF248" s="589"/>
      <c r="BG248" s="589"/>
      <c r="BH248" s="589"/>
      <c r="BI248" s="589"/>
      <c r="BJ248" s="589"/>
      <c r="BK248" s="589"/>
      <c r="BL248" s="589"/>
    </row>
    <row r="249" spans="1:64" ht="14.25" customHeight="1">
      <c r="A249" s="691" t="s">
        <v>586</v>
      </c>
      <c r="B249" s="589"/>
      <c r="C249" s="589"/>
      <c r="D249" s="589"/>
      <c r="E249" s="589"/>
      <c r="F249" s="591">
        <v>248</v>
      </c>
      <c r="G249" s="691" t="s">
        <v>197</v>
      </c>
      <c r="H249" s="691" t="s">
        <v>187</v>
      </c>
      <c r="I249" s="691" t="s">
        <v>177</v>
      </c>
      <c r="J249" s="691" t="s">
        <v>147</v>
      </c>
      <c r="K249" s="691" t="s">
        <v>125</v>
      </c>
      <c r="L249" s="691" t="s">
        <v>157</v>
      </c>
      <c r="M249" s="691" t="s">
        <v>237</v>
      </c>
      <c r="N249" s="691" t="s">
        <v>207</v>
      </c>
      <c r="O249" s="589"/>
      <c r="P249" s="717" cm="1">
        <f t="array" ref="P249">F249</f>
        <v>248</v>
      </c>
      <c r="Q249" s="620" t="str" cm="1">
        <f t="array" ref="Q249">RIGHT(G249,1)</f>
        <v>H</v>
      </c>
      <c r="R249" s="590" t="str" cm="1">
        <f t="array" ref="R249">RIGHT(H249,1)</f>
        <v>G</v>
      </c>
      <c r="S249" s="590" t="str" cm="1">
        <f t="array" ref="S249">RIGHT(I249,1)</f>
        <v>F</v>
      </c>
      <c r="T249" s="590" t="str" cm="1">
        <f t="array" ref="T249">RIGHT(J249,1)</f>
        <v>C</v>
      </c>
      <c r="U249" s="590" t="str" cm="1">
        <f t="array" ref="U249">RIGHT(K249,1)</f>
        <v>A</v>
      </c>
      <c r="V249" s="590" t="str" cm="1">
        <f t="array" ref="V249">RIGHT(L249,1)</f>
        <v>D</v>
      </c>
      <c r="W249" s="590" t="str" cm="1">
        <f t="array" ref="W249">RIGHT(M249,1)</f>
        <v>L</v>
      </c>
      <c r="X249" s="590" t="str" cm="1">
        <f t="array" ref="X249">RIGHT(N249,1)</f>
        <v>I</v>
      </c>
      <c r="Y249" s="708" cm="1">
        <f t="array" ref="Y249">COUNTIF($AA$2:$AA$9,Q249)+COUNTIF($AA$2:$AA$9,R249)+COUNTIF($AA$2:$AA$9,S249)+COUNTIF($AA$2:$AA$9,T249)+COUNTIF($AA$2:$AA$9,U249)+COUNTIF($AA$2:$AA$9,V249)+COUNTIF($AA$2:$AA$9,W249)+COUNTIF($AA$2:$AA$9,X249)</f>
        <v>6</v>
      </c>
      <c r="Z249" s="589"/>
      <c r="AA249" s="589"/>
      <c r="AB249" s="589"/>
      <c r="AC249" s="589"/>
      <c r="AD249" s="589"/>
      <c r="AE249" s="589"/>
      <c r="AF249" s="589"/>
      <c r="AG249" s="589"/>
      <c r="AH249" s="589"/>
      <c r="AI249" s="589"/>
      <c r="AJ249" s="589"/>
      <c r="AK249" s="589"/>
      <c r="AL249" s="589"/>
      <c r="AM249" s="589"/>
      <c r="AN249" s="589"/>
      <c r="AO249" s="589"/>
      <c r="AP249" s="589"/>
      <c r="AQ249" s="589"/>
      <c r="AR249" s="589"/>
      <c r="AS249" s="589"/>
      <c r="AT249" s="589"/>
      <c r="AU249" s="589"/>
      <c r="AV249" s="589"/>
      <c r="AW249" s="589"/>
      <c r="AX249" s="589"/>
      <c r="AY249" s="589"/>
      <c r="AZ249" s="589"/>
      <c r="BA249" s="589"/>
      <c r="BB249" s="589"/>
      <c r="BC249" s="589"/>
      <c r="BD249" s="589"/>
      <c r="BE249" s="589"/>
      <c r="BF249" s="589"/>
      <c r="BG249" s="589"/>
      <c r="BH249" s="589"/>
      <c r="BI249" s="589"/>
      <c r="BJ249" s="589"/>
      <c r="BK249" s="589"/>
      <c r="BL249" s="589"/>
    </row>
    <row r="250" spans="1:64" ht="14.25" customHeight="1">
      <c r="A250" s="691" t="s">
        <v>587</v>
      </c>
      <c r="B250" s="589"/>
      <c r="C250" s="589"/>
      <c r="D250" s="589"/>
      <c r="E250" s="589"/>
      <c r="F250" s="591">
        <v>249</v>
      </c>
      <c r="G250" s="691" t="s">
        <v>197</v>
      </c>
      <c r="H250" s="691" t="s">
        <v>187</v>
      </c>
      <c r="I250" s="691" t="s">
        <v>177</v>
      </c>
      <c r="J250" s="691" t="s">
        <v>147</v>
      </c>
      <c r="K250" s="691" t="s">
        <v>125</v>
      </c>
      <c r="L250" s="691" t="s">
        <v>157</v>
      </c>
      <c r="M250" s="691" t="s">
        <v>207</v>
      </c>
      <c r="N250" s="691" t="s">
        <v>227</v>
      </c>
      <c r="O250" s="589"/>
      <c r="P250" s="717" cm="1">
        <f t="array" ref="P250">F250</f>
        <v>249</v>
      </c>
      <c r="Q250" s="620" t="str" cm="1">
        <f t="array" ref="Q250">RIGHT(G250,1)</f>
        <v>H</v>
      </c>
      <c r="R250" s="590" t="str" cm="1">
        <f t="array" ref="R250">RIGHT(H250,1)</f>
        <v>G</v>
      </c>
      <c r="S250" s="590" t="str" cm="1">
        <f t="array" ref="S250">RIGHT(I250,1)</f>
        <v>F</v>
      </c>
      <c r="T250" s="590" t="str" cm="1">
        <f t="array" ref="T250">RIGHT(J250,1)</f>
        <v>C</v>
      </c>
      <c r="U250" s="590" t="str" cm="1">
        <f t="array" ref="U250">RIGHT(K250,1)</f>
        <v>A</v>
      </c>
      <c r="V250" s="590" t="str" cm="1">
        <f t="array" ref="V250">RIGHT(L250,1)</f>
        <v>D</v>
      </c>
      <c r="W250" s="590" t="str" cm="1">
        <f t="array" ref="W250">RIGHT(M250,1)</f>
        <v>I</v>
      </c>
      <c r="X250" s="590" t="str" cm="1">
        <f t="array" ref="X250">RIGHT(N250,1)</f>
        <v>K</v>
      </c>
      <c r="Y250" s="708" cm="1">
        <f t="array" ref="Y250">COUNTIF($AA$2:$AA$9,Q250)+COUNTIF($AA$2:$AA$9,R250)+COUNTIF($AA$2:$AA$9,S250)+COUNTIF($AA$2:$AA$9,T250)+COUNTIF($AA$2:$AA$9,U250)+COUNTIF($AA$2:$AA$9,V250)+COUNTIF($AA$2:$AA$9,W250)+COUNTIF($AA$2:$AA$9,X250)</f>
        <v>5</v>
      </c>
      <c r="Z250" s="589"/>
      <c r="AA250" s="589"/>
      <c r="AB250" s="589"/>
      <c r="AC250" s="589"/>
      <c r="AD250" s="589"/>
      <c r="AE250" s="589"/>
      <c r="AF250" s="589"/>
      <c r="AG250" s="589"/>
      <c r="AH250" s="589"/>
      <c r="AI250" s="589"/>
      <c r="AJ250" s="589"/>
      <c r="AK250" s="589"/>
      <c r="AL250" s="589"/>
      <c r="AM250" s="589"/>
      <c r="AN250" s="589"/>
      <c r="AO250" s="589"/>
      <c r="AP250" s="589"/>
      <c r="AQ250" s="589"/>
      <c r="AR250" s="589"/>
      <c r="AS250" s="589"/>
      <c r="AT250" s="589"/>
      <c r="AU250" s="589"/>
      <c r="AV250" s="589"/>
      <c r="AW250" s="589"/>
      <c r="AX250" s="589"/>
      <c r="AY250" s="589"/>
      <c r="AZ250" s="589"/>
      <c r="BA250" s="589"/>
      <c r="BB250" s="589"/>
      <c r="BC250" s="589"/>
      <c r="BD250" s="589"/>
      <c r="BE250" s="589"/>
      <c r="BF250" s="589"/>
      <c r="BG250" s="589"/>
      <c r="BH250" s="589"/>
      <c r="BI250" s="589"/>
      <c r="BJ250" s="589"/>
      <c r="BK250" s="589"/>
      <c r="BL250" s="589"/>
    </row>
    <row r="251" spans="1:64" ht="14.25" customHeight="1">
      <c r="A251" s="691" t="s">
        <v>588</v>
      </c>
      <c r="B251" s="589"/>
      <c r="C251" s="589"/>
      <c r="D251" s="589"/>
      <c r="E251" s="589"/>
      <c r="F251" s="591">
        <v>250</v>
      </c>
      <c r="G251" s="691" t="s">
        <v>197</v>
      </c>
      <c r="H251" s="691" t="s">
        <v>187</v>
      </c>
      <c r="I251" s="691" t="s">
        <v>217</v>
      </c>
      <c r="J251" s="691" t="s">
        <v>147</v>
      </c>
      <c r="K251" s="691" t="s">
        <v>125</v>
      </c>
      <c r="L251" s="691" t="s">
        <v>177</v>
      </c>
      <c r="M251" s="691" t="s">
        <v>157</v>
      </c>
      <c r="N251" s="691" t="s">
        <v>207</v>
      </c>
      <c r="O251" s="589"/>
      <c r="P251" s="717" cm="1">
        <f t="array" ref="P251">F251</f>
        <v>250</v>
      </c>
      <c r="Q251" s="620" t="str" cm="1">
        <f t="array" ref="Q251">RIGHT(G251,1)</f>
        <v>H</v>
      </c>
      <c r="R251" s="590" t="str" cm="1">
        <f t="array" ref="R251">RIGHT(H251,1)</f>
        <v>G</v>
      </c>
      <c r="S251" s="590" t="str" cm="1">
        <f t="array" ref="S251">RIGHT(I251,1)</f>
        <v>J</v>
      </c>
      <c r="T251" s="590" t="str" cm="1">
        <f t="array" ref="T251">RIGHT(J251,1)</f>
        <v>C</v>
      </c>
      <c r="U251" s="590" t="str" cm="1">
        <f t="array" ref="U251">RIGHT(K251,1)</f>
        <v>A</v>
      </c>
      <c r="V251" s="590" t="str" cm="1">
        <f t="array" ref="V251">RIGHT(L251,1)</f>
        <v>F</v>
      </c>
      <c r="W251" s="590" t="str" cm="1">
        <f t="array" ref="W251">RIGHT(M251,1)</f>
        <v>D</v>
      </c>
      <c r="X251" s="590" t="str" cm="1">
        <f t="array" ref="X251">RIGHT(N251,1)</f>
        <v>I</v>
      </c>
      <c r="Y251" s="708" cm="1">
        <f t="array" ref="Y251">COUNTIF($AA$2:$AA$9,Q251)+COUNTIF($AA$2:$AA$9,R251)+COUNTIF($AA$2:$AA$9,S251)+COUNTIF($AA$2:$AA$9,T251)+COUNTIF($AA$2:$AA$9,U251)+COUNTIF($AA$2:$AA$9,V251)+COUNTIF($AA$2:$AA$9,W251)+COUNTIF($AA$2:$AA$9,X251)</f>
        <v>6</v>
      </c>
      <c r="Z251" s="589"/>
      <c r="AA251" s="589"/>
      <c r="AB251" s="589"/>
      <c r="AC251" s="589"/>
      <c r="AD251" s="589"/>
      <c r="AE251" s="589"/>
      <c r="AF251" s="589"/>
      <c r="AG251" s="589"/>
      <c r="AH251" s="589"/>
      <c r="AI251" s="589"/>
      <c r="AJ251" s="589"/>
      <c r="AK251" s="589"/>
      <c r="AL251" s="589"/>
      <c r="AM251" s="589"/>
      <c r="AN251" s="589"/>
      <c r="AO251" s="589"/>
      <c r="AP251" s="589"/>
      <c r="AQ251" s="589"/>
      <c r="AR251" s="589"/>
      <c r="AS251" s="589"/>
      <c r="AT251" s="589"/>
      <c r="AU251" s="589"/>
      <c r="AV251" s="589"/>
      <c r="AW251" s="589"/>
      <c r="AX251" s="589"/>
      <c r="AY251" s="589"/>
      <c r="AZ251" s="589"/>
      <c r="BA251" s="589"/>
      <c r="BB251" s="589"/>
      <c r="BC251" s="589"/>
      <c r="BD251" s="589"/>
      <c r="BE251" s="589"/>
      <c r="BF251" s="589"/>
      <c r="BG251" s="589"/>
      <c r="BH251" s="589"/>
      <c r="BI251" s="589"/>
      <c r="BJ251" s="589"/>
      <c r="BK251" s="589"/>
      <c r="BL251" s="589"/>
    </row>
    <row r="252" spans="1:64" ht="14.25" customHeight="1">
      <c r="A252" s="691" t="s">
        <v>589</v>
      </c>
      <c r="B252" s="589"/>
      <c r="C252" s="589"/>
      <c r="D252" s="589"/>
      <c r="E252" s="589"/>
      <c r="F252" s="591">
        <v>251</v>
      </c>
      <c r="G252" s="691" t="s">
        <v>167</v>
      </c>
      <c r="H252" s="691" t="s">
        <v>217</v>
      </c>
      <c r="I252" s="691" t="s">
        <v>207</v>
      </c>
      <c r="J252" s="691" t="s">
        <v>147</v>
      </c>
      <c r="K252" s="691" t="s">
        <v>125</v>
      </c>
      <c r="L252" s="691" t="s">
        <v>157</v>
      </c>
      <c r="M252" s="691" t="s">
        <v>237</v>
      </c>
      <c r="N252" s="691" t="s">
        <v>227</v>
      </c>
      <c r="O252" s="589"/>
      <c r="P252" s="717" cm="1">
        <f t="array" ref="P252">F252</f>
        <v>251</v>
      </c>
      <c r="Q252" s="620" t="str" cm="1">
        <f t="array" ref="Q252">RIGHT(G252,1)</f>
        <v>E</v>
      </c>
      <c r="R252" s="590" t="str" cm="1">
        <f t="array" ref="R252">RIGHT(H252,1)</f>
        <v>J</v>
      </c>
      <c r="S252" s="590" t="str" cm="1">
        <f t="array" ref="S252">RIGHT(I252,1)</f>
        <v>I</v>
      </c>
      <c r="T252" s="590" t="str" cm="1">
        <f t="array" ref="T252">RIGHT(J252,1)</f>
        <v>C</v>
      </c>
      <c r="U252" s="590" t="str" cm="1">
        <f t="array" ref="U252">RIGHT(K252,1)</f>
        <v>A</v>
      </c>
      <c r="V252" s="590" t="str" cm="1">
        <f t="array" ref="V252">RIGHT(L252,1)</f>
        <v>D</v>
      </c>
      <c r="W252" s="590" t="str" cm="1">
        <f t="array" ref="W252">RIGHT(M252,1)</f>
        <v>L</v>
      </c>
      <c r="X252" s="590" t="str" cm="1">
        <f t="array" ref="X252">RIGHT(N252,1)</f>
        <v>K</v>
      </c>
      <c r="Y252" s="708" cm="1">
        <f t="array" ref="Y252">COUNTIF($AA$2:$AA$9,Q252)+COUNTIF($AA$2:$AA$9,R252)+COUNTIF($AA$2:$AA$9,S252)+COUNTIF($AA$2:$AA$9,T252)+COUNTIF($AA$2:$AA$9,U252)+COUNTIF($AA$2:$AA$9,V252)+COUNTIF($AA$2:$AA$9,W252)+COUNTIF($AA$2:$AA$9,X252)</f>
        <v>7</v>
      </c>
      <c r="Z252" s="589"/>
      <c r="AA252" s="589"/>
      <c r="AB252" s="589"/>
      <c r="AC252" s="589"/>
      <c r="AD252" s="589"/>
      <c r="AE252" s="589"/>
      <c r="AF252" s="589"/>
      <c r="AG252" s="589"/>
      <c r="AH252" s="589"/>
      <c r="AI252" s="589"/>
      <c r="AJ252" s="589"/>
      <c r="AK252" s="589"/>
      <c r="AL252" s="589"/>
      <c r="AM252" s="589"/>
      <c r="AN252" s="589"/>
      <c r="AO252" s="589"/>
      <c r="AP252" s="589"/>
      <c r="AQ252" s="589"/>
      <c r="AR252" s="589"/>
      <c r="AS252" s="589"/>
      <c r="AT252" s="589"/>
      <c r="AU252" s="589"/>
      <c r="AV252" s="589"/>
      <c r="AW252" s="589"/>
      <c r="AX252" s="589"/>
      <c r="AY252" s="589"/>
      <c r="AZ252" s="589"/>
      <c r="BA252" s="589"/>
      <c r="BB252" s="589"/>
      <c r="BC252" s="589"/>
      <c r="BD252" s="589"/>
      <c r="BE252" s="589"/>
      <c r="BF252" s="589"/>
      <c r="BG252" s="589"/>
      <c r="BH252" s="589"/>
      <c r="BI252" s="589"/>
      <c r="BJ252" s="589"/>
      <c r="BK252" s="589"/>
      <c r="BL252" s="589"/>
    </row>
    <row r="253" spans="1:64" ht="14.25" customHeight="1">
      <c r="A253" s="691" t="s">
        <v>590</v>
      </c>
      <c r="B253" s="589"/>
      <c r="C253" s="589"/>
      <c r="D253" s="589"/>
      <c r="E253" s="589"/>
      <c r="F253" s="591">
        <v>252</v>
      </c>
      <c r="G253" s="691" t="s">
        <v>197</v>
      </c>
      <c r="H253" s="691" t="s">
        <v>217</v>
      </c>
      <c r="I253" s="691" t="s">
        <v>167</v>
      </c>
      <c r="J253" s="691" t="s">
        <v>147</v>
      </c>
      <c r="K253" s="691" t="s">
        <v>125</v>
      </c>
      <c r="L253" s="691" t="s">
        <v>157</v>
      </c>
      <c r="M253" s="691" t="s">
        <v>237</v>
      </c>
      <c r="N253" s="691" t="s">
        <v>227</v>
      </c>
      <c r="O253" s="589"/>
      <c r="P253" s="717" cm="1">
        <f t="array" ref="P253">F253</f>
        <v>252</v>
      </c>
      <c r="Q253" s="620" t="str" cm="1">
        <f t="array" ref="Q253">RIGHT(G253,1)</f>
        <v>H</v>
      </c>
      <c r="R253" s="590" t="str" cm="1">
        <f t="array" ref="R253">RIGHT(H253,1)</f>
        <v>J</v>
      </c>
      <c r="S253" s="590" t="str" cm="1">
        <f t="array" ref="S253">RIGHT(I253,1)</f>
        <v>E</v>
      </c>
      <c r="T253" s="590" t="str" cm="1">
        <f t="array" ref="T253">RIGHT(J253,1)</f>
        <v>C</v>
      </c>
      <c r="U253" s="590" t="str" cm="1">
        <f t="array" ref="U253">RIGHT(K253,1)</f>
        <v>A</v>
      </c>
      <c r="V253" s="590" t="str" cm="1">
        <f t="array" ref="V253">RIGHT(L253,1)</f>
        <v>D</v>
      </c>
      <c r="W253" s="590" t="str" cm="1">
        <f t="array" ref="W253">RIGHT(M253,1)</f>
        <v>L</v>
      </c>
      <c r="X253" s="590" t="str" cm="1">
        <f t="array" ref="X253">RIGHT(N253,1)</f>
        <v>K</v>
      </c>
      <c r="Y253" s="708" cm="1">
        <f t="array" ref="Y253">COUNTIF($AA$2:$AA$9,Q253)+COUNTIF($AA$2:$AA$9,R253)+COUNTIF($AA$2:$AA$9,S253)+COUNTIF($AA$2:$AA$9,T253)+COUNTIF($AA$2:$AA$9,U253)+COUNTIF($AA$2:$AA$9,V253)+COUNTIF($AA$2:$AA$9,W253)+COUNTIF($AA$2:$AA$9,X253)</f>
        <v>6</v>
      </c>
      <c r="Z253" s="589"/>
      <c r="AA253" s="589"/>
      <c r="AB253" s="589"/>
      <c r="AC253" s="589"/>
      <c r="AD253" s="589"/>
      <c r="AE253" s="589"/>
      <c r="AF253" s="589"/>
      <c r="AG253" s="589"/>
      <c r="AH253" s="589"/>
      <c r="AI253" s="589"/>
      <c r="AJ253" s="589"/>
      <c r="AK253" s="589"/>
      <c r="AL253" s="589"/>
      <c r="AM253" s="589"/>
      <c r="AN253" s="589"/>
      <c r="AO253" s="589"/>
      <c r="AP253" s="589"/>
      <c r="AQ253" s="589"/>
      <c r="AR253" s="589"/>
      <c r="AS253" s="589"/>
      <c r="AT253" s="589"/>
      <c r="AU253" s="589"/>
      <c r="AV253" s="589"/>
      <c r="AW253" s="589"/>
      <c r="AX253" s="589"/>
      <c r="AY253" s="589"/>
      <c r="AZ253" s="589"/>
      <c r="BA253" s="589"/>
      <c r="BB253" s="589"/>
      <c r="BC253" s="589"/>
      <c r="BD253" s="589"/>
      <c r="BE253" s="589"/>
      <c r="BF253" s="589"/>
      <c r="BG253" s="589"/>
      <c r="BH253" s="589"/>
      <c r="BI253" s="589"/>
      <c r="BJ253" s="589"/>
      <c r="BK253" s="589"/>
      <c r="BL253" s="589"/>
    </row>
    <row r="254" spans="1:64" ht="14.25" customHeight="1">
      <c r="A254" s="691" t="s">
        <v>591</v>
      </c>
      <c r="B254" s="589"/>
      <c r="C254" s="589"/>
      <c r="D254" s="589"/>
      <c r="E254" s="589"/>
      <c r="F254" s="591">
        <v>253</v>
      </c>
      <c r="G254" s="691" t="s">
        <v>197</v>
      </c>
      <c r="H254" s="691" t="s">
        <v>167</v>
      </c>
      <c r="I254" s="691" t="s">
        <v>207</v>
      </c>
      <c r="J254" s="691" t="s">
        <v>147</v>
      </c>
      <c r="K254" s="691" t="s">
        <v>125</v>
      </c>
      <c r="L254" s="691" t="s">
        <v>157</v>
      </c>
      <c r="M254" s="691" t="s">
        <v>237</v>
      </c>
      <c r="N254" s="691" t="s">
        <v>227</v>
      </c>
      <c r="O254" s="589"/>
      <c r="P254" s="717" cm="1">
        <f t="array" ref="P254">F254</f>
        <v>253</v>
      </c>
      <c r="Q254" s="620" t="str" cm="1">
        <f t="array" ref="Q254">RIGHT(G254,1)</f>
        <v>H</v>
      </c>
      <c r="R254" s="590" t="str" cm="1">
        <f t="array" ref="R254">RIGHT(H254,1)</f>
        <v>E</v>
      </c>
      <c r="S254" s="590" t="str" cm="1">
        <f t="array" ref="S254">RIGHT(I254,1)</f>
        <v>I</v>
      </c>
      <c r="T254" s="590" t="str" cm="1">
        <f t="array" ref="T254">RIGHT(J254,1)</f>
        <v>C</v>
      </c>
      <c r="U254" s="590" t="str" cm="1">
        <f t="array" ref="U254">RIGHT(K254,1)</f>
        <v>A</v>
      </c>
      <c r="V254" s="590" t="str" cm="1">
        <f t="array" ref="V254">RIGHT(L254,1)</f>
        <v>D</v>
      </c>
      <c r="W254" s="590" t="str" cm="1">
        <f t="array" ref="W254">RIGHT(M254,1)</f>
        <v>L</v>
      </c>
      <c r="X254" s="590" t="str" cm="1">
        <f t="array" ref="X254">RIGHT(N254,1)</f>
        <v>K</v>
      </c>
      <c r="Y254" s="708" cm="1">
        <f t="array" ref="Y254">COUNTIF($AA$2:$AA$9,Q254)+COUNTIF($AA$2:$AA$9,R254)+COUNTIF($AA$2:$AA$9,S254)+COUNTIF($AA$2:$AA$9,T254)+COUNTIF($AA$2:$AA$9,U254)+COUNTIF($AA$2:$AA$9,V254)+COUNTIF($AA$2:$AA$9,W254)+COUNTIF($AA$2:$AA$9,X254)</f>
        <v>6</v>
      </c>
      <c r="Z254" s="589"/>
      <c r="AA254" s="589"/>
      <c r="AB254" s="589"/>
      <c r="AC254" s="589"/>
      <c r="AD254" s="589"/>
      <c r="AE254" s="589"/>
      <c r="AF254" s="589"/>
      <c r="AG254" s="589"/>
      <c r="AH254" s="589"/>
      <c r="AI254" s="589"/>
      <c r="AJ254" s="589"/>
      <c r="AK254" s="589"/>
      <c r="AL254" s="589"/>
      <c r="AM254" s="589"/>
      <c r="AN254" s="589"/>
      <c r="AO254" s="589"/>
      <c r="AP254" s="589"/>
      <c r="AQ254" s="589"/>
      <c r="AR254" s="589"/>
      <c r="AS254" s="589"/>
      <c r="AT254" s="589"/>
      <c r="AU254" s="589"/>
      <c r="AV254" s="589"/>
      <c r="AW254" s="589"/>
      <c r="AX254" s="589"/>
      <c r="AY254" s="589"/>
      <c r="AZ254" s="589"/>
      <c r="BA254" s="589"/>
      <c r="BB254" s="589"/>
      <c r="BC254" s="589"/>
      <c r="BD254" s="589"/>
      <c r="BE254" s="589"/>
      <c r="BF254" s="589"/>
      <c r="BG254" s="589"/>
      <c r="BH254" s="589"/>
      <c r="BI254" s="589"/>
      <c r="BJ254" s="589"/>
      <c r="BK254" s="589"/>
      <c r="BL254" s="589"/>
    </row>
    <row r="255" spans="1:64" ht="14.25" customHeight="1">
      <c r="A255" s="691" t="s">
        <v>592</v>
      </c>
      <c r="B255" s="589"/>
      <c r="C255" s="589"/>
      <c r="D255" s="589"/>
      <c r="E255" s="589"/>
      <c r="F255" s="591">
        <v>254</v>
      </c>
      <c r="G255" s="691" t="s">
        <v>197</v>
      </c>
      <c r="H255" s="691" t="s">
        <v>217</v>
      </c>
      <c r="I255" s="691" t="s">
        <v>167</v>
      </c>
      <c r="J255" s="691" t="s">
        <v>147</v>
      </c>
      <c r="K255" s="691" t="s">
        <v>125</v>
      </c>
      <c r="L255" s="691" t="s">
        <v>157</v>
      </c>
      <c r="M255" s="691" t="s">
        <v>237</v>
      </c>
      <c r="N255" s="691" t="s">
        <v>207</v>
      </c>
      <c r="O255" s="589"/>
      <c r="P255" s="717" cm="1">
        <f t="array" ref="P255">F255</f>
        <v>254</v>
      </c>
      <c r="Q255" s="620" t="str" cm="1">
        <f t="array" ref="Q255">RIGHT(G255,1)</f>
        <v>H</v>
      </c>
      <c r="R255" s="590" t="str" cm="1">
        <f t="array" ref="R255">RIGHT(H255,1)</f>
        <v>J</v>
      </c>
      <c r="S255" s="590" t="str" cm="1">
        <f t="array" ref="S255">RIGHT(I255,1)</f>
        <v>E</v>
      </c>
      <c r="T255" s="590" t="str" cm="1">
        <f t="array" ref="T255">RIGHT(J255,1)</f>
        <v>C</v>
      </c>
      <c r="U255" s="590" t="str" cm="1">
        <f t="array" ref="U255">RIGHT(K255,1)</f>
        <v>A</v>
      </c>
      <c r="V255" s="590" t="str" cm="1">
        <f t="array" ref="V255">RIGHT(L255,1)</f>
        <v>D</v>
      </c>
      <c r="W255" s="590" t="str" cm="1">
        <f t="array" ref="W255">RIGHT(M255,1)</f>
        <v>L</v>
      </c>
      <c r="X255" s="590" t="str" cm="1">
        <f t="array" ref="X255">RIGHT(N255,1)</f>
        <v>I</v>
      </c>
      <c r="Y255" s="708" cm="1">
        <f t="array" ref="Y255">COUNTIF($AA$2:$AA$9,Q255)+COUNTIF($AA$2:$AA$9,R255)+COUNTIF($AA$2:$AA$9,S255)+COUNTIF($AA$2:$AA$9,T255)+COUNTIF($AA$2:$AA$9,U255)+COUNTIF($AA$2:$AA$9,V255)+COUNTIF($AA$2:$AA$9,W255)+COUNTIF($AA$2:$AA$9,X255)</f>
        <v>7</v>
      </c>
      <c r="Z255" s="589"/>
      <c r="AA255" s="589"/>
      <c r="AB255" s="589"/>
      <c r="AC255" s="589"/>
      <c r="AD255" s="589"/>
      <c r="AE255" s="589"/>
      <c r="AF255" s="589"/>
      <c r="AG255" s="589"/>
      <c r="AH255" s="589"/>
      <c r="AI255" s="589"/>
      <c r="AJ255" s="589"/>
      <c r="AK255" s="589"/>
      <c r="AL255" s="589"/>
      <c r="AM255" s="589"/>
      <c r="AN255" s="589"/>
      <c r="AO255" s="589"/>
      <c r="AP255" s="589"/>
      <c r="AQ255" s="589"/>
      <c r="AR255" s="589"/>
      <c r="AS255" s="589"/>
      <c r="AT255" s="589"/>
      <c r="AU255" s="589"/>
      <c r="AV255" s="589"/>
      <c r="AW255" s="589"/>
      <c r="AX255" s="589"/>
      <c r="AY255" s="589"/>
      <c r="AZ255" s="589"/>
      <c r="BA255" s="589"/>
      <c r="BB255" s="589"/>
      <c r="BC255" s="589"/>
      <c r="BD255" s="589"/>
      <c r="BE255" s="589"/>
      <c r="BF255" s="589"/>
      <c r="BG255" s="589"/>
      <c r="BH255" s="589"/>
      <c r="BI255" s="589"/>
      <c r="BJ255" s="589"/>
      <c r="BK255" s="589"/>
      <c r="BL255" s="589"/>
    </row>
    <row r="256" spans="1:64" ht="14.25" customHeight="1">
      <c r="A256" s="691" t="s">
        <v>593</v>
      </c>
      <c r="B256" s="589"/>
      <c r="C256" s="589"/>
      <c r="D256" s="589"/>
      <c r="E256" s="589"/>
      <c r="F256" s="591">
        <v>255</v>
      </c>
      <c r="G256" s="691" t="s">
        <v>197</v>
      </c>
      <c r="H256" s="691" t="s">
        <v>217</v>
      </c>
      <c r="I256" s="691" t="s">
        <v>167</v>
      </c>
      <c r="J256" s="691" t="s">
        <v>147</v>
      </c>
      <c r="K256" s="691" t="s">
        <v>125</v>
      </c>
      <c r="L256" s="691" t="s">
        <v>157</v>
      </c>
      <c r="M256" s="691" t="s">
        <v>207</v>
      </c>
      <c r="N256" s="691" t="s">
        <v>227</v>
      </c>
      <c r="O256" s="589"/>
      <c r="P256" s="717" cm="1">
        <f t="array" ref="P256">F256</f>
        <v>255</v>
      </c>
      <c r="Q256" s="620" t="str" cm="1">
        <f t="array" ref="Q256">RIGHT(G256,1)</f>
        <v>H</v>
      </c>
      <c r="R256" s="590" t="str" cm="1">
        <f t="array" ref="R256">RIGHT(H256,1)</f>
        <v>J</v>
      </c>
      <c r="S256" s="590" t="str" cm="1">
        <f t="array" ref="S256">RIGHT(I256,1)</f>
        <v>E</v>
      </c>
      <c r="T256" s="590" t="str" cm="1">
        <f t="array" ref="T256">RIGHT(J256,1)</f>
        <v>C</v>
      </c>
      <c r="U256" s="590" t="str" cm="1">
        <f t="array" ref="U256">RIGHT(K256,1)</f>
        <v>A</v>
      </c>
      <c r="V256" s="590" t="str" cm="1">
        <f t="array" ref="V256">RIGHT(L256,1)</f>
        <v>D</v>
      </c>
      <c r="W256" s="590" t="str" cm="1">
        <f t="array" ref="W256">RIGHT(M256,1)</f>
        <v>I</v>
      </c>
      <c r="X256" s="590" t="str" cm="1">
        <f t="array" ref="X256">RIGHT(N256,1)</f>
        <v>K</v>
      </c>
      <c r="Y256" s="708" cm="1">
        <f t="array" ref="Y256">COUNTIF($AA$2:$AA$9,Q256)+COUNTIF($AA$2:$AA$9,R256)+COUNTIF($AA$2:$AA$9,S256)+COUNTIF($AA$2:$AA$9,T256)+COUNTIF($AA$2:$AA$9,U256)+COUNTIF($AA$2:$AA$9,V256)+COUNTIF($AA$2:$AA$9,W256)+COUNTIF($AA$2:$AA$9,X256)</f>
        <v>6</v>
      </c>
      <c r="Z256" s="589"/>
      <c r="AA256" s="589"/>
      <c r="AB256" s="589"/>
      <c r="AC256" s="589"/>
      <c r="AD256" s="589"/>
      <c r="AE256" s="589"/>
      <c r="AF256" s="589"/>
      <c r="AG256" s="589"/>
      <c r="AH256" s="589"/>
      <c r="AI256" s="589"/>
      <c r="AJ256" s="589"/>
      <c r="AK256" s="589"/>
      <c r="AL256" s="589"/>
      <c r="AM256" s="589"/>
      <c r="AN256" s="589"/>
      <c r="AO256" s="589"/>
      <c r="AP256" s="589"/>
      <c r="AQ256" s="589"/>
      <c r="AR256" s="589"/>
      <c r="AS256" s="589"/>
      <c r="AT256" s="589"/>
      <c r="AU256" s="589"/>
      <c r="AV256" s="589"/>
      <c r="AW256" s="589"/>
      <c r="AX256" s="589"/>
      <c r="AY256" s="589"/>
      <c r="AZ256" s="589"/>
      <c r="BA256" s="589"/>
      <c r="BB256" s="589"/>
      <c r="BC256" s="589"/>
      <c r="BD256" s="589"/>
      <c r="BE256" s="589"/>
      <c r="BF256" s="589"/>
      <c r="BG256" s="589"/>
      <c r="BH256" s="589"/>
      <c r="BI256" s="589"/>
      <c r="BJ256" s="589"/>
      <c r="BK256" s="589"/>
      <c r="BL256" s="589"/>
    </row>
    <row r="257" spans="1:64" ht="14.25" customHeight="1">
      <c r="A257" s="691" t="s">
        <v>594</v>
      </c>
      <c r="B257" s="589"/>
      <c r="C257" s="589"/>
      <c r="D257" s="589"/>
      <c r="E257" s="589"/>
      <c r="F257" s="591">
        <v>256</v>
      </c>
      <c r="G257" s="691" t="s">
        <v>167</v>
      </c>
      <c r="H257" s="691" t="s">
        <v>187</v>
      </c>
      <c r="I257" s="691" t="s">
        <v>217</v>
      </c>
      <c r="J257" s="691" t="s">
        <v>147</v>
      </c>
      <c r="K257" s="691" t="s">
        <v>125</v>
      </c>
      <c r="L257" s="691" t="s">
        <v>157</v>
      </c>
      <c r="M257" s="691" t="s">
        <v>237</v>
      </c>
      <c r="N257" s="691" t="s">
        <v>227</v>
      </c>
      <c r="O257" s="589"/>
      <c r="P257" s="717" cm="1">
        <f t="array" ref="P257">F257</f>
        <v>256</v>
      </c>
      <c r="Q257" s="620" t="str" cm="1">
        <f t="array" ref="Q257">RIGHT(G257,1)</f>
        <v>E</v>
      </c>
      <c r="R257" s="590" t="str" cm="1">
        <f t="array" ref="R257">RIGHT(H257,1)</f>
        <v>G</v>
      </c>
      <c r="S257" s="590" t="str" cm="1">
        <f t="array" ref="S257">RIGHT(I257,1)</f>
        <v>J</v>
      </c>
      <c r="T257" s="590" t="str" cm="1">
        <f t="array" ref="T257">RIGHT(J257,1)</f>
        <v>C</v>
      </c>
      <c r="U257" s="590" t="str" cm="1">
        <f t="array" ref="U257">RIGHT(K257,1)</f>
        <v>A</v>
      </c>
      <c r="V257" s="590" t="str" cm="1">
        <f t="array" ref="V257">RIGHT(L257,1)</f>
        <v>D</v>
      </c>
      <c r="W257" s="590" t="str" cm="1">
        <f t="array" ref="W257">RIGHT(M257,1)</f>
        <v>L</v>
      </c>
      <c r="X257" s="590" t="str" cm="1">
        <f t="array" ref="X257">RIGHT(N257,1)</f>
        <v>K</v>
      </c>
      <c r="Y257" s="708" cm="1">
        <f t="array" ref="Y257">COUNTIF($AA$2:$AA$9,Q257)+COUNTIF($AA$2:$AA$9,R257)+COUNTIF($AA$2:$AA$9,S257)+COUNTIF($AA$2:$AA$9,T257)+COUNTIF($AA$2:$AA$9,U257)+COUNTIF($AA$2:$AA$9,V257)+COUNTIF($AA$2:$AA$9,W257)+COUNTIF($AA$2:$AA$9,X257)</f>
        <v>6</v>
      </c>
      <c r="Z257" s="589"/>
      <c r="AA257" s="589"/>
      <c r="AB257" s="589"/>
      <c r="AC257" s="589"/>
      <c r="AD257" s="589"/>
      <c r="AE257" s="589"/>
      <c r="AF257" s="589"/>
      <c r="AG257" s="589"/>
      <c r="AH257" s="589"/>
      <c r="AI257" s="589"/>
      <c r="AJ257" s="589"/>
      <c r="AK257" s="589"/>
      <c r="AL257" s="589"/>
      <c r="AM257" s="589"/>
      <c r="AN257" s="589"/>
      <c r="AO257" s="589"/>
      <c r="AP257" s="589"/>
      <c r="AQ257" s="589"/>
      <c r="AR257" s="589"/>
      <c r="AS257" s="589"/>
      <c r="AT257" s="589"/>
      <c r="AU257" s="589"/>
      <c r="AV257" s="589"/>
      <c r="AW257" s="589"/>
      <c r="AX257" s="589"/>
      <c r="AY257" s="589"/>
      <c r="AZ257" s="589"/>
      <c r="BA257" s="589"/>
      <c r="BB257" s="589"/>
      <c r="BC257" s="589"/>
      <c r="BD257" s="589"/>
      <c r="BE257" s="589"/>
      <c r="BF257" s="589"/>
      <c r="BG257" s="589"/>
      <c r="BH257" s="589"/>
      <c r="BI257" s="589"/>
      <c r="BJ257" s="589"/>
      <c r="BK257" s="589"/>
      <c r="BL257" s="589"/>
    </row>
    <row r="258" spans="1:64" ht="14.25" customHeight="1">
      <c r="A258" s="691" t="s">
        <v>595</v>
      </c>
      <c r="B258" s="589"/>
      <c r="C258" s="589"/>
      <c r="D258" s="589"/>
      <c r="E258" s="589"/>
      <c r="F258" s="591">
        <v>257</v>
      </c>
      <c r="G258" s="691" t="s">
        <v>167</v>
      </c>
      <c r="H258" s="691" t="s">
        <v>187</v>
      </c>
      <c r="I258" s="691" t="s">
        <v>207</v>
      </c>
      <c r="J258" s="691" t="s">
        <v>147</v>
      </c>
      <c r="K258" s="691" t="s">
        <v>125</v>
      </c>
      <c r="L258" s="691" t="s">
        <v>157</v>
      </c>
      <c r="M258" s="691" t="s">
        <v>237</v>
      </c>
      <c r="N258" s="691" t="s">
        <v>227</v>
      </c>
      <c r="O258" s="589"/>
      <c r="P258" s="717" cm="1">
        <f t="array" ref="P258">F258</f>
        <v>257</v>
      </c>
      <c r="Q258" s="620" t="str" cm="1">
        <f t="array" ref="Q258">RIGHT(G258,1)</f>
        <v>E</v>
      </c>
      <c r="R258" s="590" t="str" cm="1">
        <f t="array" ref="R258">RIGHT(H258,1)</f>
        <v>G</v>
      </c>
      <c r="S258" s="590" t="str" cm="1">
        <f t="array" ref="S258">RIGHT(I258,1)</f>
        <v>I</v>
      </c>
      <c r="T258" s="590" t="str" cm="1">
        <f t="array" ref="T258">RIGHT(J258,1)</f>
        <v>C</v>
      </c>
      <c r="U258" s="590" t="str" cm="1">
        <f t="array" ref="U258">RIGHT(K258,1)</f>
        <v>A</v>
      </c>
      <c r="V258" s="590" t="str" cm="1">
        <f t="array" ref="V258">RIGHT(L258,1)</f>
        <v>D</v>
      </c>
      <c r="W258" s="590" t="str" cm="1">
        <f t="array" ref="W258">RIGHT(M258,1)</f>
        <v>L</v>
      </c>
      <c r="X258" s="590" t="str" cm="1">
        <f t="array" ref="X258">RIGHT(N258,1)</f>
        <v>K</v>
      </c>
      <c r="Y258" s="708" cm="1">
        <f t="array" ref="Y258">COUNTIF($AA$2:$AA$9,Q258)+COUNTIF($AA$2:$AA$9,R258)+COUNTIF($AA$2:$AA$9,S258)+COUNTIF($AA$2:$AA$9,T258)+COUNTIF($AA$2:$AA$9,U258)+COUNTIF($AA$2:$AA$9,V258)+COUNTIF($AA$2:$AA$9,W258)+COUNTIF($AA$2:$AA$9,X258)</f>
        <v>6</v>
      </c>
      <c r="Z258" s="589"/>
      <c r="AA258" s="589"/>
      <c r="AB258" s="589"/>
      <c r="AC258" s="589"/>
      <c r="AD258" s="589"/>
      <c r="AE258" s="589"/>
      <c r="AF258" s="589"/>
      <c r="AG258" s="589"/>
      <c r="AH258" s="589"/>
      <c r="AI258" s="589"/>
      <c r="AJ258" s="589"/>
      <c r="AK258" s="589"/>
      <c r="AL258" s="589"/>
      <c r="AM258" s="589"/>
      <c r="AN258" s="589"/>
      <c r="AO258" s="589"/>
      <c r="AP258" s="589"/>
      <c r="AQ258" s="589"/>
      <c r="AR258" s="589"/>
      <c r="AS258" s="589"/>
      <c r="AT258" s="589"/>
      <c r="AU258" s="589"/>
      <c r="AV258" s="589"/>
      <c r="AW258" s="589"/>
      <c r="AX258" s="589"/>
      <c r="AY258" s="589"/>
      <c r="AZ258" s="589"/>
      <c r="BA258" s="589"/>
      <c r="BB258" s="589"/>
      <c r="BC258" s="589"/>
      <c r="BD258" s="589"/>
      <c r="BE258" s="589"/>
      <c r="BF258" s="589"/>
      <c r="BG258" s="589"/>
      <c r="BH258" s="589"/>
      <c r="BI258" s="589"/>
      <c r="BJ258" s="589"/>
      <c r="BK258" s="589"/>
      <c r="BL258" s="589"/>
    </row>
    <row r="259" spans="1:64" ht="14.25" customHeight="1">
      <c r="A259" s="691" t="s">
        <v>596</v>
      </c>
      <c r="B259" s="589"/>
      <c r="C259" s="589"/>
      <c r="D259" s="589"/>
      <c r="E259" s="589"/>
      <c r="F259" s="591">
        <v>258</v>
      </c>
      <c r="G259" s="691" t="s">
        <v>167</v>
      </c>
      <c r="H259" s="691" t="s">
        <v>187</v>
      </c>
      <c r="I259" s="691" t="s">
        <v>217</v>
      </c>
      <c r="J259" s="691" t="s">
        <v>147</v>
      </c>
      <c r="K259" s="691" t="s">
        <v>125</v>
      </c>
      <c r="L259" s="691" t="s">
        <v>157</v>
      </c>
      <c r="M259" s="691" t="s">
        <v>237</v>
      </c>
      <c r="N259" s="691" t="s">
        <v>207</v>
      </c>
      <c r="O259" s="589"/>
      <c r="P259" s="717" cm="1">
        <f t="array" ref="P259">F259</f>
        <v>258</v>
      </c>
      <c r="Q259" s="620" t="str" cm="1">
        <f t="array" ref="Q259">RIGHT(G259,1)</f>
        <v>E</v>
      </c>
      <c r="R259" s="590" t="str" cm="1">
        <f t="array" ref="R259">RIGHT(H259,1)</f>
        <v>G</v>
      </c>
      <c r="S259" s="590" t="str" cm="1">
        <f t="array" ref="S259">RIGHT(I259,1)</f>
        <v>J</v>
      </c>
      <c r="T259" s="590" t="str" cm="1">
        <f t="array" ref="T259">RIGHT(J259,1)</f>
        <v>C</v>
      </c>
      <c r="U259" s="590" t="str" cm="1">
        <f t="array" ref="U259">RIGHT(K259,1)</f>
        <v>A</v>
      </c>
      <c r="V259" s="590" t="str" cm="1">
        <f t="array" ref="V259">RIGHT(L259,1)</f>
        <v>D</v>
      </c>
      <c r="W259" s="590" t="str" cm="1">
        <f t="array" ref="W259">RIGHT(M259,1)</f>
        <v>L</v>
      </c>
      <c r="X259" s="590" t="str" cm="1">
        <f t="array" ref="X259">RIGHT(N259,1)</f>
        <v>I</v>
      </c>
      <c r="Y259" s="708" cm="1">
        <f t="array" ref="Y259">COUNTIF($AA$2:$AA$9,Q259)+COUNTIF($AA$2:$AA$9,R259)+COUNTIF($AA$2:$AA$9,S259)+COUNTIF($AA$2:$AA$9,T259)+COUNTIF($AA$2:$AA$9,U259)+COUNTIF($AA$2:$AA$9,V259)+COUNTIF($AA$2:$AA$9,W259)+COUNTIF($AA$2:$AA$9,X259)</f>
        <v>7</v>
      </c>
      <c r="Z259" s="589"/>
      <c r="AA259" s="589"/>
      <c r="AB259" s="589"/>
      <c r="AC259" s="589"/>
      <c r="AD259" s="589"/>
      <c r="AE259" s="589"/>
      <c r="AF259" s="589"/>
      <c r="AG259" s="589"/>
      <c r="AH259" s="589"/>
      <c r="AI259" s="589"/>
      <c r="AJ259" s="589"/>
      <c r="AK259" s="589"/>
      <c r="AL259" s="589"/>
      <c r="AM259" s="589"/>
      <c r="AN259" s="589"/>
      <c r="AO259" s="589"/>
      <c r="AP259" s="589"/>
      <c r="AQ259" s="589"/>
      <c r="AR259" s="589"/>
      <c r="AS259" s="589"/>
      <c r="AT259" s="589"/>
      <c r="AU259" s="589"/>
      <c r="AV259" s="589"/>
      <c r="AW259" s="589"/>
      <c r="AX259" s="589"/>
      <c r="AY259" s="589"/>
      <c r="AZ259" s="589"/>
      <c r="BA259" s="589"/>
      <c r="BB259" s="589"/>
      <c r="BC259" s="589"/>
      <c r="BD259" s="589"/>
      <c r="BE259" s="589"/>
      <c r="BF259" s="589"/>
      <c r="BG259" s="589"/>
      <c r="BH259" s="589"/>
      <c r="BI259" s="589"/>
      <c r="BJ259" s="589"/>
      <c r="BK259" s="589"/>
      <c r="BL259" s="589"/>
    </row>
    <row r="260" spans="1:64" ht="14.25" customHeight="1">
      <c r="A260" s="691" t="s">
        <v>597</v>
      </c>
      <c r="B260" s="589"/>
      <c r="C260" s="589"/>
      <c r="D260" s="589"/>
      <c r="E260" s="589"/>
      <c r="F260" s="591">
        <v>259</v>
      </c>
      <c r="G260" s="691" t="s">
        <v>167</v>
      </c>
      <c r="H260" s="691" t="s">
        <v>187</v>
      </c>
      <c r="I260" s="691" t="s">
        <v>217</v>
      </c>
      <c r="J260" s="691" t="s">
        <v>147</v>
      </c>
      <c r="K260" s="691" t="s">
        <v>125</v>
      </c>
      <c r="L260" s="691" t="s">
        <v>157</v>
      </c>
      <c r="M260" s="691" t="s">
        <v>207</v>
      </c>
      <c r="N260" s="691" t="s">
        <v>227</v>
      </c>
      <c r="O260" s="589"/>
      <c r="P260" s="717" cm="1">
        <f t="array" ref="P260">F260</f>
        <v>259</v>
      </c>
      <c r="Q260" s="620" t="str" cm="1">
        <f t="array" ref="Q260">RIGHT(G260,1)</f>
        <v>E</v>
      </c>
      <c r="R260" s="590" t="str" cm="1">
        <f t="array" ref="R260">RIGHT(H260,1)</f>
        <v>G</v>
      </c>
      <c r="S260" s="590" t="str" cm="1">
        <f t="array" ref="S260">RIGHT(I260,1)</f>
        <v>J</v>
      </c>
      <c r="T260" s="590" t="str" cm="1">
        <f t="array" ref="T260">RIGHT(J260,1)</f>
        <v>C</v>
      </c>
      <c r="U260" s="590" t="str" cm="1">
        <f t="array" ref="U260">RIGHT(K260,1)</f>
        <v>A</v>
      </c>
      <c r="V260" s="590" t="str" cm="1">
        <f t="array" ref="V260">RIGHT(L260,1)</f>
        <v>D</v>
      </c>
      <c r="W260" s="590" t="str" cm="1">
        <f t="array" ref="W260">RIGHT(M260,1)</f>
        <v>I</v>
      </c>
      <c r="X260" s="590" t="str" cm="1">
        <f t="array" ref="X260">RIGHT(N260,1)</f>
        <v>K</v>
      </c>
      <c r="Y260" s="708" cm="1">
        <f t="array" ref="Y260">COUNTIF($AA$2:$AA$9,Q260)+COUNTIF($AA$2:$AA$9,R260)+COUNTIF($AA$2:$AA$9,S260)+COUNTIF($AA$2:$AA$9,T260)+COUNTIF($AA$2:$AA$9,U260)+COUNTIF($AA$2:$AA$9,V260)+COUNTIF($AA$2:$AA$9,W260)+COUNTIF($AA$2:$AA$9,X260)</f>
        <v>6</v>
      </c>
      <c r="Z260" s="589"/>
      <c r="AA260" s="589"/>
      <c r="AB260" s="589"/>
      <c r="AC260" s="589"/>
      <c r="AD260" s="589"/>
      <c r="AE260" s="589"/>
      <c r="AF260" s="589"/>
      <c r="AG260" s="589"/>
      <c r="AH260" s="589"/>
      <c r="AI260" s="589"/>
      <c r="AJ260" s="589"/>
      <c r="AK260" s="589"/>
      <c r="AL260" s="589"/>
      <c r="AM260" s="589"/>
      <c r="AN260" s="589"/>
      <c r="AO260" s="589"/>
      <c r="AP260" s="589"/>
      <c r="AQ260" s="589"/>
      <c r="AR260" s="589"/>
      <c r="AS260" s="589"/>
      <c r="AT260" s="589"/>
      <c r="AU260" s="589"/>
      <c r="AV260" s="589"/>
      <c r="AW260" s="589"/>
      <c r="AX260" s="589"/>
      <c r="AY260" s="589"/>
      <c r="AZ260" s="589"/>
      <c r="BA260" s="589"/>
      <c r="BB260" s="589"/>
      <c r="BC260" s="589"/>
      <c r="BD260" s="589"/>
      <c r="BE260" s="589"/>
      <c r="BF260" s="589"/>
      <c r="BG260" s="589"/>
      <c r="BH260" s="589"/>
      <c r="BI260" s="589"/>
      <c r="BJ260" s="589"/>
      <c r="BK260" s="589"/>
      <c r="BL260" s="589"/>
    </row>
    <row r="261" spans="1:64" ht="14.25" customHeight="1">
      <c r="A261" s="691" t="s">
        <v>598</v>
      </c>
      <c r="B261" s="589"/>
      <c r="C261" s="589"/>
      <c r="D261" s="589"/>
      <c r="E261" s="589"/>
      <c r="F261" s="591">
        <v>260</v>
      </c>
      <c r="G261" s="691" t="s">
        <v>197</v>
      </c>
      <c r="H261" s="691" t="s">
        <v>187</v>
      </c>
      <c r="I261" s="691" t="s">
        <v>167</v>
      </c>
      <c r="J261" s="691" t="s">
        <v>147</v>
      </c>
      <c r="K261" s="691" t="s">
        <v>125</v>
      </c>
      <c r="L261" s="691" t="s">
        <v>157</v>
      </c>
      <c r="M261" s="691" t="s">
        <v>237</v>
      </c>
      <c r="N261" s="691" t="s">
        <v>227</v>
      </c>
      <c r="O261" s="589"/>
      <c r="P261" s="717" cm="1">
        <f t="array" ref="P261">F261</f>
        <v>260</v>
      </c>
      <c r="Q261" s="620" t="str" cm="1">
        <f t="array" ref="Q261">RIGHT(G261,1)</f>
        <v>H</v>
      </c>
      <c r="R261" s="590" t="str" cm="1">
        <f t="array" ref="R261">RIGHT(H261,1)</f>
        <v>G</v>
      </c>
      <c r="S261" s="590" t="str" cm="1">
        <f t="array" ref="S261">RIGHT(I261,1)</f>
        <v>E</v>
      </c>
      <c r="T261" s="590" t="str" cm="1">
        <f t="array" ref="T261">RIGHT(J261,1)</f>
        <v>C</v>
      </c>
      <c r="U261" s="590" t="str" cm="1">
        <f t="array" ref="U261">RIGHT(K261,1)</f>
        <v>A</v>
      </c>
      <c r="V261" s="590" t="str" cm="1">
        <f t="array" ref="V261">RIGHT(L261,1)</f>
        <v>D</v>
      </c>
      <c r="W261" s="590" t="str" cm="1">
        <f t="array" ref="W261">RIGHT(M261,1)</f>
        <v>L</v>
      </c>
      <c r="X261" s="590" t="str" cm="1">
        <f t="array" ref="X261">RIGHT(N261,1)</f>
        <v>K</v>
      </c>
      <c r="Y261" s="708" cm="1">
        <f t="array" ref="Y261">COUNTIF($AA$2:$AA$9,Q261)+COUNTIF($AA$2:$AA$9,R261)+COUNTIF($AA$2:$AA$9,S261)+COUNTIF($AA$2:$AA$9,T261)+COUNTIF($AA$2:$AA$9,U261)+COUNTIF($AA$2:$AA$9,V261)+COUNTIF($AA$2:$AA$9,W261)+COUNTIF($AA$2:$AA$9,X261)</f>
        <v>5</v>
      </c>
      <c r="Z261" s="589"/>
      <c r="AA261" s="589"/>
      <c r="AB261" s="589"/>
      <c r="AC261" s="589"/>
      <c r="AD261" s="589"/>
      <c r="AE261" s="589"/>
      <c r="AF261" s="589"/>
      <c r="AG261" s="589"/>
      <c r="AH261" s="589"/>
      <c r="AI261" s="589"/>
      <c r="AJ261" s="589"/>
      <c r="AK261" s="589"/>
      <c r="AL261" s="589"/>
      <c r="AM261" s="589"/>
      <c r="AN261" s="589"/>
      <c r="AO261" s="589"/>
      <c r="AP261" s="589"/>
      <c r="AQ261" s="589"/>
      <c r="AR261" s="589"/>
      <c r="AS261" s="589"/>
      <c r="AT261" s="589"/>
      <c r="AU261" s="589"/>
      <c r="AV261" s="589"/>
      <c r="AW261" s="589"/>
      <c r="AX261" s="589"/>
      <c r="AY261" s="589"/>
      <c r="AZ261" s="589"/>
      <c r="BA261" s="589"/>
      <c r="BB261" s="589"/>
      <c r="BC261" s="589"/>
      <c r="BD261" s="589"/>
      <c r="BE261" s="589"/>
      <c r="BF261" s="589"/>
      <c r="BG261" s="589"/>
      <c r="BH261" s="589"/>
      <c r="BI261" s="589"/>
      <c r="BJ261" s="589"/>
      <c r="BK261" s="589"/>
      <c r="BL261" s="589"/>
    </row>
    <row r="262" spans="1:64" ht="14.25" customHeight="1">
      <c r="A262" s="691" t="s">
        <v>599</v>
      </c>
      <c r="B262" s="589"/>
      <c r="C262" s="589"/>
      <c r="D262" s="589"/>
      <c r="E262" s="589"/>
      <c r="F262" s="591">
        <v>261</v>
      </c>
      <c r="G262" s="691" t="s">
        <v>197</v>
      </c>
      <c r="H262" s="691" t="s">
        <v>187</v>
      </c>
      <c r="I262" s="691" t="s">
        <v>217</v>
      </c>
      <c r="J262" s="691" t="s">
        <v>147</v>
      </c>
      <c r="K262" s="691" t="s">
        <v>125</v>
      </c>
      <c r="L262" s="691" t="s">
        <v>157</v>
      </c>
      <c r="M262" s="691" t="s">
        <v>237</v>
      </c>
      <c r="N262" s="691" t="s">
        <v>167</v>
      </c>
      <c r="O262" s="589"/>
      <c r="P262" s="717" cm="1">
        <f t="array" ref="P262">F262</f>
        <v>261</v>
      </c>
      <c r="Q262" s="620" t="str" cm="1">
        <f t="array" ref="Q262">RIGHT(G262,1)</f>
        <v>H</v>
      </c>
      <c r="R262" s="590" t="str" cm="1">
        <f t="array" ref="R262">RIGHT(H262,1)</f>
        <v>G</v>
      </c>
      <c r="S262" s="590" t="str" cm="1">
        <f t="array" ref="S262">RIGHT(I262,1)</f>
        <v>J</v>
      </c>
      <c r="T262" s="590" t="str" cm="1">
        <f t="array" ref="T262">RIGHT(J262,1)</f>
        <v>C</v>
      </c>
      <c r="U262" s="590" t="str" cm="1">
        <f t="array" ref="U262">RIGHT(K262,1)</f>
        <v>A</v>
      </c>
      <c r="V262" s="590" t="str" cm="1">
        <f t="array" ref="V262">RIGHT(L262,1)</f>
        <v>D</v>
      </c>
      <c r="W262" s="590" t="str" cm="1">
        <f t="array" ref="W262">RIGHT(M262,1)</f>
        <v>L</v>
      </c>
      <c r="X262" s="590" t="str" cm="1">
        <f t="array" ref="X262">RIGHT(N262,1)</f>
        <v>E</v>
      </c>
      <c r="Y262" s="708" cm="1">
        <f t="array" ref="Y262">COUNTIF($AA$2:$AA$9,Q262)+COUNTIF($AA$2:$AA$9,R262)+COUNTIF($AA$2:$AA$9,S262)+COUNTIF($AA$2:$AA$9,T262)+COUNTIF($AA$2:$AA$9,U262)+COUNTIF($AA$2:$AA$9,V262)+COUNTIF($AA$2:$AA$9,W262)+COUNTIF($AA$2:$AA$9,X262)</f>
        <v>6</v>
      </c>
      <c r="Z262" s="589"/>
      <c r="AA262" s="589"/>
      <c r="AB262" s="589"/>
      <c r="AC262" s="589"/>
      <c r="AD262" s="589"/>
      <c r="AE262" s="589"/>
      <c r="AF262" s="589"/>
      <c r="AG262" s="589"/>
      <c r="AH262" s="589"/>
      <c r="AI262" s="589"/>
      <c r="AJ262" s="589"/>
      <c r="AK262" s="589"/>
      <c r="AL262" s="589"/>
      <c r="AM262" s="589"/>
      <c r="AN262" s="589"/>
      <c r="AO262" s="589"/>
      <c r="AP262" s="589"/>
      <c r="AQ262" s="589"/>
      <c r="AR262" s="589"/>
      <c r="AS262" s="589"/>
      <c r="AT262" s="589"/>
      <c r="AU262" s="589"/>
      <c r="AV262" s="589"/>
      <c r="AW262" s="589"/>
      <c r="AX262" s="589"/>
      <c r="AY262" s="589"/>
      <c r="AZ262" s="589"/>
      <c r="BA262" s="589"/>
      <c r="BB262" s="589"/>
      <c r="BC262" s="589"/>
      <c r="BD262" s="589"/>
      <c r="BE262" s="589"/>
      <c r="BF262" s="589"/>
      <c r="BG262" s="589"/>
      <c r="BH262" s="589"/>
      <c r="BI262" s="589"/>
      <c r="BJ262" s="589"/>
      <c r="BK262" s="589"/>
      <c r="BL262" s="589"/>
    </row>
    <row r="263" spans="1:64" ht="14.25" customHeight="1">
      <c r="A263" s="691" t="s">
        <v>600</v>
      </c>
      <c r="B263" s="589"/>
      <c r="C263" s="589"/>
      <c r="D263" s="589"/>
      <c r="E263" s="589"/>
      <c r="F263" s="591">
        <v>262</v>
      </c>
      <c r="G263" s="691" t="s">
        <v>197</v>
      </c>
      <c r="H263" s="691" t="s">
        <v>187</v>
      </c>
      <c r="I263" s="691" t="s">
        <v>217</v>
      </c>
      <c r="J263" s="691" t="s">
        <v>147</v>
      </c>
      <c r="K263" s="691" t="s">
        <v>125</v>
      </c>
      <c r="L263" s="691" t="s">
        <v>157</v>
      </c>
      <c r="M263" s="691" t="s">
        <v>167</v>
      </c>
      <c r="N263" s="691" t="s">
        <v>227</v>
      </c>
      <c r="O263" s="589"/>
      <c r="P263" s="717" cm="1">
        <f t="array" ref="P263">F263</f>
        <v>262</v>
      </c>
      <c r="Q263" s="620" t="str" cm="1">
        <f t="array" ref="Q263">RIGHT(G263,1)</f>
        <v>H</v>
      </c>
      <c r="R263" s="590" t="str" cm="1">
        <f t="array" ref="R263">RIGHT(H263,1)</f>
        <v>G</v>
      </c>
      <c r="S263" s="590" t="str" cm="1">
        <f t="array" ref="S263">RIGHT(I263,1)</f>
        <v>J</v>
      </c>
      <c r="T263" s="590" t="str" cm="1">
        <f t="array" ref="T263">RIGHT(J263,1)</f>
        <v>C</v>
      </c>
      <c r="U263" s="590" t="str" cm="1">
        <f t="array" ref="U263">RIGHT(K263,1)</f>
        <v>A</v>
      </c>
      <c r="V263" s="590" t="str" cm="1">
        <f t="array" ref="V263">RIGHT(L263,1)</f>
        <v>D</v>
      </c>
      <c r="W263" s="590" t="str" cm="1">
        <f t="array" ref="W263">RIGHT(M263,1)</f>
        <v>E</v>
      </c>
      <c r="X263" s="590" t="str" cm="1">
        <f t="array" ref="X263">RIGHT(N263,1)</f>
        <v>K</v>
      </c>
      <c r="Y263" s="708" cm="1">
        <f t="array" ref="Y263">COUNTIF($AA$2:$AA$9,Q263)+COUNTIF($AA$2:$AA$9,R263)+COUNTIF($AA$2:$AA$9,S263)+COUNTIF($AA$2:$AA$9,T263)+COUNTIF($AA$2:$AA$9,U263)+COUNTIF($AA$2:$AA$9,V263)+COUNTIF($AA$2:$AA$9,W263)+COUNTIF($AA$2:$AA$9,X263)</f>
        <v>5</v>
      </c>
      <c r="Z263" s="589"/>
      <c r="AA263" s="589"/>
      <c r="AB263" s="589"/>
      <c r="AC263" s="589"/>
      <c r="AD263" s="589"/>
      <c r="AE263" s="589"/>
      <c r="AF263" s="589"/>
      <c r="AG263" s="589"/>
      <c r="AH263" s="589"/>
      <c r="AI263" s="589"/>
      <c r="AJ263" s="589"/>
      <c r="AK263" s="589"/>
      <c r="AL263" s="589"/>
      <c r="AM263" s="589"/>
      <c r="AN263" s="589"/>
      <c r="AO263" s="589"/>
      <c r="AP263" s="589"/>
      <c r="AQ263" s="589"/>
      <c r="AR263" s="589"/>
      <c r="AS263" s="589"/>
      <c r="AT263" s="589"/>
      <c r="AU263" s="589"/>
      <c r="AV263" s="589"/>
      <c r="AW263" s="589"/>
      <c r="AX263" s="589"/>
      <c r="AY263" s="589"/>
      <c r="AZ263" s="589"/>
      <c r="BA263" s="589"/>
      <c r="BB263" s="589"/>
      <c r="BC263" s="589"/>
      <c r="BD263" s="589"/>
      <c r="BE263" s="589"/>
      <c r="BF263" s="589"/>
      <c r="BG263" s="589"/>
      <c r="BH263" s="589"/>
      <c r="BI263" s="589"/>
      <c r="BJ263" s="589"/>
      <c r="BK263" s="589"/>
      <c r="BL263" s="589"/>
    </row>
    <row r="264" spans="1:64" ht="14.25" customHeight="1">
      <c r="A264" s="691" t="s">
        <v>601</v>
      </c>
      <c r="B264" s="589"/>
      <c r="C264" s="589"/>
      <c r="D264" s="589"/>
      <c r="E264" s="589"/>
      <c r="F264" s="591">
        <v>263</v>
      </c>
      <c r="G264" s="691" t="s">
        <v>197</v>
      </c>
      <c r="H264" s="691" t="s">
        <v>187</v>
      </c>
      <c r="I264" s="691" t="s">
        <v>167</v>
      </c>
      <c r="J264" s="691" t="s">
        <v>147</v>
      </c>
      <c r="K264" s="691" t="s">
        <v>125</v>
      </c>
      <c r="L264" s="691" t="s">
        <v>157</v>
      </c>
      <c r="M264" s="691" t="s">
        <v>237</v>
      </c>
      <c r="N264" s="691" t="s">
        <v>207</v>
      </c>
      <c r="O264" s="589"/>
      <c r="P264" s="717" cm="1">
        <f t="array" ref="P264">F264</f>
        <v>263</v>
      </c>
      <c r="Q264" s="620" t="str" cm="1">
        <f t="array" ref="Q264">RIGHT(G264,1)</f>
        <v>H</v>
      </c>
      <c r="R264" s="590" t="str" cm="1">
        <f t="array" ref="R264">RIGHT(H264,1)</f>
        <v>G</v>
      </c>
      <c r="S264" s="590" t="str" cm="1">
        <f t="array" ref="S264">RIGHT(I264,1)</f>
        <v>E</v>
      </c>
      <c r="T264" s="590" t="str" cm="1">
        <f t="array" ref="T264">RIGHT(J264,1)</f>
        <v>C</v>
      </c>
      <c r="U264" s="590" t="str" cm="1">
        <f t="array" ref="U264">RIGHT(K264,1)</f>
        <v>A</v>
      </c>
      <c r="V264" s="590" t="str" cm="1">
        <f t="array" ref="V264">RIGHT(L264,1)</f>
        <v>D</v>
      </c>
      <c r="W264" s="590" t="str" cm="1">
        <f t="array" ref="W264">RIGHT(M264,1)</f>
        <v>L</v>
      </c>
      <c r="X264" s="590" t="str" cm="1">
        <f t="array" ref="X264">RIGHT(N264,1)</f>
        <v>I</v>
      </c>
      <c r="Y264" s="708" cm="1">
        <f t="array" ref="Y264">COUNTIF($AA$2:$AA$9,Q264)+COUNTIF($AA$2:$AA$9,R264)+COUNTIF($AA$2:$AA$9,S264)+COUNTIF($AA$2:$AA$9,T264)+COUNTIF($AA$2:$AA$9,U264)+COUNTIF($AA$2:$AA$9,V264)+COUNTIF($AA$2:$AA$9,W264)+COUNTIF($AA$2:$AA$9,X264)</f>
        <v>6</v>
      </c>
      <c r="Z264" s="589"/>
      <c r="AA264" s="589"/>
      <c r="AB264" s="589"/>
      <c r="AC264" s="589"/>
      <c r="AD264" s="589"/>
      <c r="AE264" s="589"/>
      <c r="AF264" s="589"/>
      <c r="AG264" s="589"/>
      <c r="AH264" s="589"/>
      <c r="AI264" s="589"/>
      <c r="AJ264" s="589"/>
      <c r="AK264" s="589"/>
      <c r="AL264" s="589"/>
      <c r="AM264" s="589"/>
      <c r="AN264" s="589"/>
      <c r="AO264" s="589"/>
      <c r="AP264" s="589"/>
      <c r="AQ264" s="589"/>
      <c r="AR264" s="589"/>
      <c r="AS264" s="589"/>
      <c r="AT264" s="589"/>
      <c r="AU264" s="589"/>
      <c r="AV264" s="589"/>
      <c r="AW264" s="589"/>
      <c r="AX264" s="589"/>
      <c r="AY264" s="589"/>
      <c r="AZ264" s="589"/>
      <c r="BA264" s="589"/>
      <c r="BB264" s="589"/>
      <c r="BC264" s="589"/>
      <c r="BD264" s="589"/>
      <c r="BE264" s="589"/>
      <c r="BF264" s="589"/>
      <c r="BG264" s="589"/>
      <c r="BH264" s="589"/>
      <c r="BI264" s="589"/>
      <c r="BJ264" s="589"/>
      <c r="BK264" s="589"/>
      <c r="BL264" s="589"/>
    </row>
    <row r="265" spans="1:64" ht="14.25" customHeight="1">
      <c r="A265" s="691" t="s">
        <v>602</v>
      </c>
      <c r="B265" s="589"/>
      <c r="C265" s="589"/>
      <c r="D265" s="589"/>
      <c r="E265" s="589"/>
      <c r="F265" s="591">
        <v>264</v>
      </c>
      <c r="G265" s="691" t="s">
        <v>197</v>
      </c>
      <c r="H265" s="691" t="s">
        <v>187</v>
      </c>
      <c r="I265" s="691" t="s">
        <v>167</v>
      </c>
      <c r="J265" s="691" t="s">
        <v>147</v>
      </c>
      <c r="K265" s="691" t="s">
        <v>125</v>
      </c>
      <c r="L265" s="691" t="s">
        <v>157</v>
      </c>
      <c r="M265" s="691" t="s">
        <v>207</v>
      </c>
      <c r="N265" s="691" t="s">
        <v>227</v>
      </c>
      <c r="O265" s="589"/>
      <c r="P265" s="717" cm="1">
        <f t="array" ref="P265">F265</f>
        <v>264</v>
      </c>
      <c r="Q265" s="620" t="str" cm="1">
        <f t="array" ref="Q265">RIGHT(G265,1)</f>
        <v>H</v>
      </c>
      <c r="R265" s="590" t="str" cm="1">
        <f t="array" ref="R265">RIGHT(H265,1)</f>
        <v>G</v>
      </c>
      <c r="S265" s="590" t="str" cm="1">
        <f t="array" ref="S265">RIGHT(I265,1)</f>
        <v>E</v>
      </c>
      <c r="T265" s="590" t="str" cm="1">
        <f t="array" ref="T265">RIGHT(J265,1)</f>
        <v>C</v>
      </c>
      <c r="U265" s="590" t="str" cm="1">
        <f t="array" ref="U265">RIGHT(K265,1)</f>
        <v>A</v>
      </c>
      <c r="V265" s="590" t="str" cm="1">
        <f t="array" ref="V265">RIGHT(L265,1)</f>
        <v>D</v>
      </c>
      <c r="W265" s="590" t="str" cm="1">
        <f t="array" ref="W265">RIGHT(M265,1)</f>
        <v>I</v>
      </c>
      <c r="X265" s="590" t="str" cm="1">
        <f t="array" ref="X265">RIGHT(N265,1)</f>
        <v>K</v>
      </c>
      <c r="Y265" s="708" cm="1">
        <f t="array" ref="Y265">COUNTIF($AA$2:$AA$9,Q265)+COUNTIF($AA$2:$AA$9,R265)+COUNTIF($AA$2:$AA$9,S265)+COUNTIF($AA$2:$AA$9,T265)+COUNTIF($AA$2:$AA$9,U265)+COUNTIF($AA$2:$AA$9,V265)+COUNTIF($AA$2:$AA$9,W265)+COUNTIF($AA$2:$AA$9,X265)</f>
        <v>5</v>
      </c>
      <c r="Z265" s="589"/>
      <c r="AA265" s="589"/>
      <c r="AB265" s="589"/>
      <c r="AC265" s="589"/>
      <c r="AD265" s="589"/>
      <c r="AE265" s="589"/>
      <c r="AF265" s="589"/>
      <c r="AG265" s="589"/>
      <c r="AH265" s="589"/>
      <c r="AI265" s="589"/>
      <c r="AJ265" s="589"/>
      <c r="AK265" s="589"/>
      <c r="AL265" s="589"/>
      <c r="AM265" s="589"/>
      <c r="AN265" s="589"/>
      <c r="AO265" s="589"/>
      <c r="AP265" s="589"/>
      <c r="AQ265" s="589"/>
      <c r="AR265" s="589"/>
      <c r="AS265" s="589"/>
      <c r="AT265" s="589"/>
      <c r="AU265" s="589"/>
      <c r="AV265" s="589"/>
      <c r="AW265" s="589"/>
      <c r="AX265" s="589"/>
      <c r="AY265" s="589"/>
      <c r="AZ265" s="589"/>
      <c r="BA265" s="589"/>
      <c r="BB265" s="589"/>
      <c r="BC265" s="589"/>
      <c r="BD265" s="589"/>
      <c r="BE265" s="589"/>
      <c r="BF265" s="589"/>
      <c r="BG265" s="589"/>
      <c r="BH265" s="589"/>
      <c r="BI265" s="589"/>
      <c r="BJ265" s="589"/>
      <c r="BK265" s="589"/>
      <c r="BL265" s="589"/>
    </row>
    <row r="266" spans="1:64" ht="14.25" customHeight="1">
      <c r="A266" s="691" t="s">
        <v>603</v>
      </c>
      <c r="B266" s="589"/>
      <c r="C266" s="589"/>
      <c r="D266" s="589"/>
      <c r="E266" s="589"/>
      <c r="F266" s="591">
        <v>265</v>
      </c>
      <c r="G266" s="691" t="s">
        <v>197</v>
      </c>
      <c r="H266" s="691" t="s">
        <v>187</v>
      </c>
      <c r="I266" s="691" t="s">
        <v>217</v>
      </c>
      <c r="J266" s="691" t="s">
        <v>147</v>
      </c>
      <c r="K266" s="691" t="s">
        <v>125</v>
      </c>
      <c r="L266" s="691" t="s">
        <v>157</v>
      </c>
      <c r="M266" s="691" t="s">
        <v>167</v>
      </c>
      <c r="N266" s="691" t="s">
        <v>207</v>
      </c>
      <c r="O266" s="589"/>
      <c r="P266" s="717" cm="1">
        <f t="array" ref="P266">F266</f>
        <v>265</v>
      </c>
      <c r="Q266" s="620" t="str" cm="1">
        <f t="array" ref="Q266">RIGHT(G266,1)</f>
        <v>H</v>
      </c>
      <c r="R266" s="590" t="str" cm="1">
        <f t="array" ref="R266">RIGHT(H266,1)</f>
        <v>G</v>
      </c>
      <c r="S266" s="590" t="str" cm="1">
        <f t="array" ref="S266">RIGHT(I266,1)</f>
        <v>J</v>
      </c>
      <c r="T266" s="590" t="str" cm="1">
        <f t="array" ref="T266">RIGHT(J266,1)</f>
        <v>C</v>
      </c>
      <c r="U266" s="590" t="str" cm="1">
        <f t="array" ref="U266">RIGHT(K266,1)</f>
        <v>A</v>
      </c>
      <c r="V266" s="590" t="str" cm="1">
        <f t="array" ref="V266">RIGHT(L266,1)</f>
        <v>D</v>
      </c>
      <c r="W266" s="590" t="str" cm="1">
        <f t="array" ref="W266">RIGHT(M266,1)</f>
        <v>E</v>
      </c>
      <c r="X266" s="590" t="str" cm="1">
        <f t="array" ref="X266">RIGHT(N266,1)</f>
        <v>I</v>
      </c>
      <c r="Y266" s="708" cm="1">
        <f t="array" ref="Y266">COUNTIF($AA$2:$AA$9,Q266)+COUNTIF($AA$2:$AA$9,R266)+COUNTIF($AA$2:$AA$9,S266)+COUNTIF($AA$2:$AA$9,T266)+COUNTIF($AA$2:$AA$9,U266)+COUNTIF($AA$2:$AA$9,V266)+COUNTIF($AA$2:$AA$9,W266)+COUNTIF($AA$2:$AA$9,X266)</f>
        <v>6</v>
      </c>
      <c r="Z266" s="589"/>
      <c r="AA266" s="589"/>
      <c r="AB266" s="589"/>
      <c r="AC266" s="589"/>
      <c r="AD266" s="589"/>
      <c r="AE266" s="589"/>
      <c r="AF266" s="589"/>
      <c r="AG266" s="589"/>
      <c r="AH266" s="589"/>
      <c r="AI266" s="589"/>
      <c r="AJ266" s="589"/>
      <c r="AK266" s="589"/>
      <c r="AL266" s="589"/>
      <c r="AM266" s="589"/>
      <c r="AN266" s="589"/>
      <c r="AO266" s="589"/>
      <c r="AP266" s="589"/>
      <c r="AQ266" s="589"/>
      <c r="AR266" s="589"/>
      <c r="AS266" s="589"/>
      <c r="AT266" s="589"/>
      <c r="AU266" s="589"/>
      <c r="AV266" s="589"/>
      <c r="AW266" s="589"/>
      <c r="AX266" s="589"/>
      <c r="AY266" s="589"/>
      <c r="AZ266" s="589"/>
      <c r="BA266" s="589"/>
      <c r="BB266" s="589"/>
      <c r="BC266" s="589"/>
      <c r="BD266" s="589"/>
      <c r="BE266" s="589"/>
      <c r="BF266" s="589"/>
      <c r="BG266" s="589"/>
      <c r="BH266" s="589"/>
      <c r="BI266" s="589"/>
      <c r="BJ266" s="589"/>
      <c r="BK266" s="589"/>
      <c r="BL266" s="589"/>
    </row>
    <row r="267" spans="1:64" ht="14.25" customHeight="1">
      <c r="A267" s="691" t="s">
        <v>604</v>
      </c>
      <c r="B267" s="589"/>
      <c r="C267" s="589"/>
      <c r="D267" s="589"/>
      <c r="E267" s="589"/>
      <c r="F267" s="591">
        <v>266</v>
      </c>
      <c r="G267" s="691" t="s">
        <v>147</v>
      </c>
      <c r="H267" s="691" t="s">
        <v>217</v>
      </c>
      <c r="I267" s="691" t="s">
        <v>167</v>
      </c>
      <c r="J267" s="691" t="s">
        <v>157</v>
      </c>
      <c r="K267" s="691" t="s">
        <v>125</v>
      </c>
      <c r="L267" s="691" t="s">
        <v>177</v>
      </c>
      <c r="M267" s="691" t="s">
        <v>237</v>
      </c>
      <c r="N267" s="691" t="s">
        <v>227</v>
      </c>
      <c r="O267" s="589"/>
      <c r="P267" s="717" cm="1">
        <f t="array" ref="P267">F267</f>
        <v>266</v>
      </c>
      <c r="Q267" s="620" t="str" cm="1">
        <f t="array" ref="Q267">RIGHT(G267,1)</f>
        <v>C</v>
      </c>
      <c r="R267" s="590" t="str" cm="1">
        <f t="array" ref="R267">RIGHT(H267,1)</f>
        <v>J</v>
      </c>
      <c r="S267" s="590" t="str" cm="1">
        <f t="array" ref="S267">RIGHT(I267,1)</f>
        <v>E</v>
      </c>
      <c r="T267" s="590" t="str" cm="1">
        <f t="array" ref="T267">RIGHT(J267,1)</f>
        <v>D</v>
      </c>
      <c r="U267" s="590" t="str" cm="1">
        <f t="array" ref="U267">RIGHT(K267,1)</f>
        <v>A</v>
      </c>
      <c r="V267" s="590" t="str" cm="1">
        <f t="array" ref="V267">RIGHT(L267,1)</f>
        <v>F</v>
      </c>
      <c r="W267" s="590" t="str" cm="1">
        <f t="array" ref="W267">RIGHT(M267,1)</f>
        <v>L</v>
      </c>
      <c r="X267" s="590" t="str" cm="1">
        <f t="array" ref="X267">RIGHT(N267,1)</f>
        <v>K</v>
      </c>
      <c r="Y267" s="708" cm="1">
        <f t="array" ref="Y267">COUNTIF($AA$2:$AA$9,Q267)+COUNTIF($AA$2:$AA$9,R267)+COUNTIF($AA$2:$AA$9,S267)+COUNTIF($AA$2:$AA$9,T267)+COUNTIF($AA$2:$AA$9,U267)+COUNTIF($AA$2:$AA$9,V267)+COUNTIF($AA$2:$AA$9,W267)+COUNTIF($AA$2:$AA$9,X267)</f>
        <v>7</v>
      </c>
      <c r="Z267" s="589"/>
      <c r="AA267" s="589"/>
      <c r="AB267" s="589"/>
      <c r="AC267" s="589"/>
      <c r="AD267" s="589"/>
      <c r="AE267" s="589"/>
      <c r="AF267" s="589"/>
      <c r="AG267" s="589"/>
      <c r="AH267" s="589"/>
      <c r="AI267" s="589"/>
      <c r="AJ267" s="589"/>
      <c r="AK267" s="589"/>
      <c r="AL267" s="589"/>
      <c r="AM267" s="589"/>
      <c r="AN267" s="589"/>
      <c r="AO267" s="589"/>
      <c r="AP267" s="589"/>
      <c r="AQ267" s="589"/>
      <c r="AR267" s="589"/>
      <c r="AS267" s="589"/>
      <c r="AT267" s="589"/>
      <c r="AU267" s="589"/>
      <c r="AV267" s="589"/>
      <c r="AW267" s="589"/>
      <c r="AX267" s="589"/>
      <c r="AY267" s="589"/>
      <c r="AZ267" s="589"/>
      <c r="BA267" s="589"/>
      <c r="BB267" s="589"/>
      <c r="BC267" s="589"/>
      <c r="BD267" s="589"/>
      <c r="BE267" s="589"/>
      <c r="BF267" s="589"/>
      <c r="BG267" s="589"/>
      <c r="BH267" s="589"/>
      <c r="BI267" s="589"/>
      <c r="BJ267" s="589"/>
      <c r="BK267" s="589"/>
      <c r="BL267" s="589"/>
    </row>
    <row r="268" spans="1:64" ht="14.25" customHeight="1">
      <c r="A268" s="691" t="s">
        <v>605</v>
      </c>
      <c r="B268" s="589"/>
      <c r="C268" s="589"/>
      <c r="D268" s="589"/>
      <c r="E268" s="589"/>
      <c r="F268" s="591">
        <v>267</v>
      </c>
      <c r="G268" s="691" t="s">
        <v>147</v>
      </c>
      <c r="H268" s="691" t="s">
        <v>167</v>
      </c>
      <c r="I268" s="691" t="s">
        <v>207</v>
      </c>
      <c r="J268" s="691" t="s">
        <v>157</v>
      </c>
      <c r="K268" s="691" t="s">
        <v>125</v>
      </c>
      <c r="L268" s="691" t="s">
        <v>177</v>
      </c>
      <c r="M268" s="691" t="s">
        <v>237</v>
      </c>
      <c r="N268" s="691" t="s">
        <v>227</v>
      </c>
      <c r="O268" s="589"/>
      <c r="P268" s="717" cm="1">
        <f t="array" ref="P268">F268</f>
        <v>267</v>
      </c>
      <c r="Q268" s="620" t="str" cm="1">
        <f t="array" ref="Q268">RIGHT(G268,1)</f>
        <v>C</v>
      </c>
      <c r="R268" s="590" t="str" cm="1">
        <f t="array" ref="R268">RIGHT(H268,1)</f>
        <v>E</v>
      </c>
      <c r="S268" s="590" t="str" cm="1">
        <f t="array" ref="S268">RIGHT(I268,1)</f>
        <v>I</v>
      </c>
      <c r="T268" s="590" t="str" cm="1">
        <f t="array" ref="T268">RIGHT(J268,1)</f>
        <v>D</v>
      </c>
      <c r="U268" s="590" t="str" cm="1">
        <f t="array" ref="U268">RIGHT(K268,1)</f>
        <v>A</v>
      </c>
      <c r="V268" s="590" t="str" cm="1">
        <f t="array" ref="V268">RIGHT(L268,1)</f>
        <v>F</v>
      </c>
      <c r="W268" s="590" t="str" cm="1">
        <f t="array" ref="W268">RIGHT(M268,1)</f>
        <v>L</v>
      </c>
      <c r="X268" s="590" t="str" cm="1">
        <f t="array" ref="X268">RIGHT(N268,1)</f>
        <v>K</v>
      </c>
      <c r="Y268" s="708" cm="1">
        <f t="array" ref="Y268">COUNTIF($AA$2:$AA$9,Q268)+COUNTIF($AA$2:$AA$9,R268)+COUNTIF($AA$2:$AA$9,S268)+COUNTIF($AA$2:$AA$9,T268)+COUNTIF($AA$2:$AA$9,U268)+COUNTIF($AA$2:$AA$9,V268)+COUNTIF($AA$2:$AA$9,W268)+COUNTIF($AA$2:$AA$9,X268)</f>
        <v>7</v>
      </c>
      <c r="Z268" s="589"/>
      <c r="AA268" s="589"/>
      <c r="AB268" s="589"/>
      <c r="AC268" s="589"/>
      <c r="AD268" s="589"/>
      <c r="AE268" s="589"/>
      <c r="AF268" s="589"/>
      <c r="AG268" s="589"/>
      <c r="AH268" s="589"/>
      <c r="AI268" s="589"/>
      <c r="AJ268" s="589"/>
      <c r="AK268" s="589"/>
      <c r="AL268" s="589"/>
      <c r="AM268" s="589"/>
      <c r="AN268" s="589"/>
      <c r="AO268" s="589"/>
      <c r="AP268" s="589"/>
      <c r="AQ268" s="589"/>
      <c r="AR268" s="589"/>
      <c r="AS268" s="589"/>
      <c r="AT268" s="589"/>
      <c r="AU268" s="589"/>
      <c r="AV268" s="589"/>
      <c r="AW268" s="589"/>
      <c r="AX268" s="589"/>
      <c r="AY268" s="589"/>
      <c r="AZ268" s="589"/>
      <c r="BA268" s="589"/>
      <c r="BB268" s="589"/>
      <c r="BC268" s="589"/>
      <c r="BD268" s="589"/>
      <c r="BE268" s="589"/>
      <c r="BF268" s="589"/>
      <c r="BG268" s="589"/>
      <c r="BH268" s="589"/>
      <c r="BI268" s="589"/>
      <c r="BJ268" s="589"/>
      <c r="BK268" s="589"/>
      <c r="BL268" s="589"/>
    </row>
    <row r="269" spans="1:64" ht="14.25" customHeight="1">
      <c r="A269" s="691" t="s">
        <v>606</v>
      </c>
      <c r="B269" s="589"/>
      <c r="C269" s="589"/>
      <c r="D269" s="589"/>
      <c r="E269" s="589"/>
      <c r="F269" s="591">
        <v>268</v>
      </c>
      <c r="G269" s="691" t="s">
        <v>147</v>
      </c>
      <c r="H269" s="691" t="s">
        <v>217</v>
      </c>
      <c r="I269" s="691" t="s">
        <v>167</v>
      </c>
      <c r="J269" s="691" t="s">
        <v>157</v>
      </c>
      <c r="K269" s="691" t="s">
        <v>125</v>
      </c>
      <c r="L269" s="691" t="s">
        <v>177</v>
      </c>
      <c r="M269" s="691" t="s">
        <v>237</v>
      </c>
      <c r="N269" s="691" t="s">
        <v>207</v>
      </c>
      <c r="O269" s="589"/>
      <c r="P269" s="717" cm="1">
        <f t="array" ref="P269">F269</f>
        <v>268</v>
      </c>
      <c r="Q269" s="620" t="str" cm="1">
        <f t="array" ref="Q269">RIGHT(G269,1)</f>
        <v>C</v>
      </c>
      <c r="R269" s="590" t="str" cm="1">
        <f t="array" ref="R269">RIGHT(H269,1)</f>
        <v>J</v>
      </c>
      <c r="S269" s="590" t="str" cm="1">
        <f t="array" ref="S269">RIGHT(I269,1)</f>
        <v>E</v>
      </c>
      <c r="T269" s="590" t="str" cm="1">
        <f t="array" ref="T269">RIGHT(J269,1)</f>
        <v>D</v>
      </c>
      <c r="U269" s="590" t="str" cm="1">
        <f t="array" ref="U269">RIGHT(K269,1)</f>
        <v>A</v>
      </c>
      <c r="V269" s="590" t="str" cm="1">
        <f t="array" ref="V269">RIGHT(L269,1)</f>
        <v>F</v>
      </c>
      <c r="W269" s="590" t="str" cm="1">
        <f t="array" ref="W269">RIGHT(M269,1)</f>
        <v>L</v>
      </c>
      <c r="X269" s="590" t="str" cm="1">
        <f t="array" ref="X269">RIGHT(N269,1)</f>
        <v>I</v>
      </c>
      <c r="Y269" s="708" cm="1">
        <f t="array" ref="Y269">COUNTIF($AA$2:$AA$9,Q269)+COUNTIF($AA$2:$AA$9,R269)+COUNTIF($AA$2:$AA$9,S269)+COUNTIF($AA$2:$AA$9,T269)+COUNTIF($AA$2:$AA$9,U269)+COUNTIF($AA$2:$AA$9,V269)+COUNTIF($AA$2:$AA$9,W269)+COUNTIF($AA$2:$AA$9,X269)</f>
        <v>8</v>
      </c>
      <c r="Z269" s="589"/>
      <c r="AA269" s="589"/>
      <c r="AB269" s="589"/>
      <c r="AC269" s="589"/>
      <c r="AD269" s="589"/>
      <c r="AE269" s="589"/>
      <c r="AF269" s="589"/>
      <c r="AG269" s="589"/>
      <c r="AH269" s="589"/>
      <c r="AI269" s="589"/>
      <c r="AJ269" s="589"/>
      <c r="AK269" s="589"/>
      <c r="AL269" s="589"/>
      <c r="AM269" s="589"/>
      <c r="AN269" s="589"/>
      <c r="AO269" s="589"/>
      <c r="AP269" s="589"/>
      <c r="AQ269" s="589"/>
      <c r="AR269" s="589"/>
      <c r="AS269" s="589"/>
      <c r="AT269" s="589"/>
      <c r="AU269" s="589"/>
      <c r="AV269" s="589"/>
      <c r="AW269" s="589"/>
      <c r="AX269" s="589"/>
      <c r="AY269" s="589"/>
      <c r="AZ269" s="589"/>
      <c r="BA269" s="589"/>
      <c r="BB269" s="589"/>
      <c r="BC269" s="589"/>
      <c r="BD269" s="589"/>
      <c r="BE269" s="589"/>
      <c r="BF269" s="589"/>
      <c r="BG269" s="589"/>
      <c r="BH269" s="589"/>
      <c r="BI269" s="589"/>
      <c r="BJ269" s="589"/>
      <c r="BK269" s="589"/>
      <c r="BL269" s="589"/>
    </row>
    <row r="270" spans="1:64" ht="14.25" customHeight="1">
      <c r="A270" s="691" t="s">
        <v>607</v>
      </c>
      <c r="B270" s="589"/>
      <c r="C270" s="589"/>
      <c r="D270" s="589"/>
      <c r="E270" s="589"/>
      <c r="F270" s="591">
        <v>269</v>
      </c>
      <c r="G270" s="691" t="s">
        <v>147</v>
      </c>
      <c r="H270" s="691" t="s">
        <v>217</v>
      </c>
      <c r="I270" s="691" t="s">
        <v>167</v>
      </c>
      <c r="J270" s="691" t="s">
        <v>157</v>
      </c>
      <c r="K270" s="691" t="s">
        <v>125</v>
      </c>
      <c r="L270" s="691" t="s">
        <v>177</v>
      </c>
      <c r="M270" s="691" t="s">
        <v>207</v>
      </c>
      <c r="N270" s="691" t="s">
        <v>227</v>
      </c>
      <c r="O270" s="589"/>
      <c r="P270" s="717" cm="1">
        <f t="array" ref="P270">F270</f>
        <v>269</v>
      </c>
      <c r="Q270" s="620" t="str" cm="1">
        <f t="array" ref="Q270">RIGHT(G270,1)</f>
        <v>C</v>
      </c>
      <c r="R270" s="590" t="str" cm="1">
        <f t="array" ref="R270">RIGHT(H270,1)</f>
        <v>J</v>
      </c>
      <c r="S270" s="590" t="str" cm="1">
        <f t="array" ref="S270">RIGHT(I270,1)</f>
        <v>E</v>
      </c>
      <c r="T270" s="590" t="str" cm="1">
        <f t="array" ref="T270">RIGHT(J270,1)</f>
        <v>D</v>
      </c>
      <c r="U270" s="590" t="str" cm="1">
        <f t="array" ref="U270">RIGHT(K270,1)</f>
        <v>A</v>
      </c>
      <c r="V270" s="590" t="str" cm="1">
        <f t="array" ref="V270">RIGHT(L270,1)</f>
        <v>F</v>
      </c>
      <c r="W270" s="590" t="str" cm="1">
        <f t="array" ref="W270">RIGHT(M270,1)</f>
        <v>I</v>
      </c>
      <c r="X270" s="590" t="str" cm="1">
        <f t="array" ref="X270">RIGHT(N270,1)</f>
        <v>K</v>
      </c>
      <c r="Y270" s="708" cm="1">
        <f t="array" ref="Y270">COUNTIF($AA$2:$AA$9,Q270)+COUNTIF($AA$2:$AA$9,R270)+COUNTIF($AA$2:$AA$9,S270)+COUNTIF($AA$2:$AA$9,T270)+COUNTIF($AA$2:$AA$9,U270)+COUNTIF($AA$2:$AA$9,V270)+COUNTIF($AA$2:$AA$9,W270)+COUNTIF($AA$2:$AA$9,X270)</f>
        <v>7</v>
      </c>
      <c r="Z270" s="589"/>
      <c r="AA270" s="589"/>
      <c r="AB270" s="589"/>
      <c r="AC270" s="589"/>
      <c r="AD270" s="589"/>
      <c r="AE270" s="589"/>
      <c r="AF270" s="589"/>
      <c r="AG270" s="589"/>
      <c r="AH270" s="589"/>
      <c r="AI270" s="589"/>
      <c r="AJ270" s="589"/>
      <c r="AK270" s="589"/>
      <c r="AL270" s="589"/>
      <c r="AM270" s="589"/>
      <c r="AN270" s="589"/>
      <c r="AO270" s="589"/>
      <c r="AP270" s="589"/>
      <c r="AQ270" s="589"/>
      <c r="AR270" s="589"/>
      <c r="AS270" s="589"/>
      <c r="AT270" s="589"/>
      <c r="AU270" s="589"/>
      <c r="AV270" s="589"/>
      <c r="AW270" s="589"/>
      <c r="AX270" s="589"/>
      <c r="AY270" s="589"/>
      <c r="AZ270" s="589"/>
      <c r="BA270" s="589"/>
      <c r="BB270" s="589"/>
      <c r="BC270" s="589"/>
      <c r="BD270" s="589"/>
      <c r="BE270" s="589"/>
      <c r="BF270" s="589"/>
      <c r="BG270" s="589"/>
      <c r="BH270" s="589"/>
      <c r="BI270" s="589"/>
      <c r="BJ270" s="589"/>
      <c r="BK270" s="589"/>
      <c r="BL270" s="589"/>
    </row>
    <row r="271" spans="1:64" ht="14.25" customHeight="1">
      <c r="A271" s="691" t="s">
        <v>608</v>
      </c>
      <c r="B271" s="589"/>
      <c r="C271" s="589"/>
      <c r="D271" s="589"/>
      <c r="E271" s="589"/>
      <c r="F271" s="591">
        <v>270</v>
      </c>
      <c r="G271" s="691" t="s">
        <v>197</v>
      </c>
      <c r="H271" s="691" t="s">
        <v>167</v>
      </c>
      <c r="I271" s="691" t="s">
        <v>177</v>
      </c>
      <c r="J271" s="691" t="s">
        <v>147</v>
      </c>
      <c r="K271" s="691" t="s">
        <v>125</v>
      </c>
      <c r="L271" s="691" t="s">
        <v>157</v>
      </c>
      <c r="M271" s="691" t="s">
        <v>237</v>
      </c>
      <c r="N271" s="691" t="s">
        <v>227</v>
      </c>
      <c r="O271" s="589"/>
      <c r="P271" s="717" cm="1">
        <f t="array" ref="P271">F271</f>
        <v>270</v>
      </c>
      <c r="Q271" s="620" t="str" cm="1">
        <f t="array" ref="Q271">RIGHT(G271,1)</f>
        <v>H</v>
      </c>
      <c r="R271" s="590" t="str" cm="1">
        <f t="array" ref="R271">RIGHT(H271,1)</f>
        <v>E</v>
      </c>
      <c r="S271" s="590" t="str" cm="1">
        <f t="array" ref="S271">RIGHT(I271,1)</f>
        <v>F</v>
      </c>
      <c r="T271" s="590" t="str" cm="1">
        <f t="array" ref="T271">RIGHT(J271,1)</f>
        <v>C</v>
      </c>
      <c r="U271" s="590" t="str" cm="1">
        <f t="array" ref="U271">RIGHT(K271,1)</f>
        <v>A</v>
      </c>
      <c r="V271" s="590" t="str" cm="1">
        <f t="array" ref="V271">RIGHT(L271,1)</f>
        <v>D</v>
      </c>
      <c r="W271" s="590" t="str" cm="1">
        <f t="array" ref="W271">RIGHT(M271,1)</f>
        <v>L</v>
      </c>
      <c r="X271" s="590" t="str" cm="1">
        <f t="array" ref="X271">RIGHT(N271,1)</f>
        <v>K</v>
      </c>
      <c r="Y271" s="708" cm="1">
        <f t="array" ref="Y271">COUNTIF($AA$2:$AA$9,Q271)+COUNTIF($AA$2:$AA$9,R271)+COUNTIF($AA$2:$AA$9,S271)+COUNTIF($AA$2:$AA$9,T271)+COUNTIF($AA$2:$AA$9,U271)+COUNTIF($AA$2:$AA$9,V271)+COUNTIF($AA$2:$AA$9,W271)+COUNTIF($AA$2:$AA$9,X271)</f>
        <v>6</v>
      </c>
      <c r="Z271" s="589"/>
      <c r="AA271" s="589"/>
      <c r="AB271" s="589"/>
      <c r="AC271" s="589"/>
      <c r="AD271" s="589"/>
      <c r="AE271" s="589"/>
      <c r="AF271" s="589"/>
      <c r="AG271" s="589"/>
      <c r="AH271" s="589"/>
      <c r="AI271" s="589"/>
      <c r="AJ271" s="589"/>
      <c r="AK271" s="589"/>
      <c r="AL271" s="589"/>
      <c r="AM271" s="589"/>
      <c r="AN271" s="589"/>
      <c r="AO271" s="589"/>
      <c r="AP271" s="589"/>
      <c r="AQ271" s="589"/>
      <c r="AR271" s="589"/>
      <c r="AS271" s="589"/>
      <c r="AT271" s="589"/>
      <c r="AU271" s="589"/>
      <c r="AV271" s="589"/>
      <c r="AW271" s="589"/>
      <c r="AX271" s="589"/>
      <c r="AY271" s="589"/>
      <c r="AZ271" s="589"/>
      <c r="BA271" s="589"/>
      <c r="BB271" s="589"/>
      <c r="BC271" s="589"/>
      <c r="BD271" s="589"/>
      <c r="BE271" s="589"/>
      <c r="BF271" s="589"/>
      <c r="BG271" s="589"/>
      <c r="BH271" s="589"/>
      <c r="BI271" s="589"/>
      <c r="BJ271" s="589"/>
      <c r="BK271" s="589"/>
      <c r="BL271" s="589"/>
    </row>
    <row r="272" spans="1:64" ht="14.25" customHeight="1">
      <c r="A272" s="691" t="s">
        <v>609</v>
      </c>
      <c r="B272" s="589"/>
      <c r="C272" s="589"/>
      <c r="D272" s="589"/>
      <c r="E272" s="589"/>
      <c r="F272" s="591">
        <v>271</v>
      </c>
      <c r="G272" s="691" t="s">
        <v>197</v>
      </c>
      <c r="H272" s="691" t="s">
        <v>217</v>
      </c>
      <c r="I272" s="691" t="s">
        <v>177</v>
      </c>
      <c r="J272" s="691" t="s">
        <v>147</v>
      </c>
      <c r="K272" s="691" t="s">
        <v>125</v>
      </c>
      <c r="L272" s="691" t="s">
        <v>157</v>
      </c>
      <c r="M272" s="691" t="s">
        <v>237</v>
      </c>
      <c r="N272" s="691" t="s">
        <v>167</v>
      </c>
      <c r="O272" s="589"/>
      <c r="P272" s="717" cm="1">
        <f t="array" ref="P272">F272</f>
        <v>271</v>
      </c>
      <c r="Q272" s="620" t="str" cm="1">
        <f t="array" ref="Q272">RIGHT(G272,1)</f>
        <v>H</v>
      </c>
      <c r="R272" s="590" t="str" cm="1">
        <f t="array" ref="R272">RIGHT(H272,1)</f>
        <v>J</v>
      </c>
      <c r="S272" s="590" t="str" cm="1">
        <f t="array" ref="S272">RIGHT(I272,1)</f>
        <v>F</v>
      </c>
      <c r="T272" s="590" t="str" cm="1">
        <f t="array" ref="T272">RIGHT(J272,1)</f>
        <v>C</v>
      </c>
      <c r="U272" s="590" t="str" cm="1">
        <f t="array" ref="U272">RIGHT(K272,1)</f>
        <v>A</v>
      </c>
      <c r="V272" s="590" t="str" cm="1">
        <f t="array" ref="V272">RIGHT(L272,1)</f>
        <v>D</v>
      </c>
      <c r="W272" s="590" t="str" cm="1">
        <f t="array" ref="W272">RIGHT(M272,1)</f>
        <v>L</v>
      </c>
      <c r="X272" s="590" t="str" cm="1">
        <f t="array" ref="X272">RIGHT(N272,1)</f>
        <v>E</v>
      </c>
      <c r="Y272" s="708" cm="1">
        <f t="array" ref="Y272">COUNTIF($AA$2:$AA$9,Q272)+COUNTIF($AA$2:$AA$9,R272)+COUNTIF($AA$2:$AA$9,S272)+COUNTIF($AA$2:$AA$9,T272)+COUNTIF($AA$2:$AA$9,U272)+COUNTIF($AA$2:$AA$9,V272)+COUNTIF($AA$2:$AA$9,W272)+COUNTIF($AA$2:$AA$9,X272)</f>
        <v>7</v>
      </c>
      <c r="Z272" s="589"/>
      <c r="AA272" s="589"/>
      <c r="AB272" s="589"/>
      <c r="AC272" s="589"/>
      <c r="AD272" s="589"/>
      <c r="AE272" s="589"/>
      <c r="AF272" s="589"/>
      <c r="AG272" s="589"/>
      <c r="AH272" s="589"/>
      <c r="AI272" s="589"/>
      <c r="AJ272" s="589"/>
      <c r="AK272" s="589"/>
      <c r="AL272" s="589"/>
      <c r="AM272" s="589"/>
      <c r="AN272" s="589"/>
      <c r="AO272" s="589"/>
      <c r="AP272" s="589"/>
      <c r="AQ272" s="589"/>
      <c r="AR272" s="589"/>
      <c r="AS272" s="589"/>
      <c r="AT272" s="589"/>
      <c r="AU272" s="589"/>
      <c r="AV272" s="589"/>
      <c r="AW272" s="589"/>
      <c r="AX272" s="589"/>
      <c r="AY272" s="589"/>
      <c r="AZ272" s="589"/>
      <c r="BA272" s="589"/>
      <c r="BB272" s="589"/>
      <c r="BC272" s="589"/>
      <c r="BD272" s="589"/>
      <c r="BE272" s="589"/>
      <c r="BF272" s="589"/>
      <c r="BG272" s="589"/>
      <c r="BH272" s="589"/>
      <c r="BI272" s="589"/>
      <c r="BJ272" s="589"/>
      <c r="BK272" s="589"/>
      <c r="BL272" s="589"/>
    </row>
    <row r="273" spans="1:64" ht="14.25" customHeight="1">
      <c r="A273" s="691" t="s">
        <v>610</v>
      </c>
      <c r="B273" s="589"/>
      <c r="C273" s="589"/>
      <c r="D273" s="589"/>
      <c r="E273" s="589"/>
      <c r="F273" s="591">
        <v>272</v>
      </c>
      <c r="G273" s="691" t="s">
        <v>197</v>
      </c>
      <c r="H273" s="691" t="s">
        <v>217</v>
      </c>
      <c r="I273" s="691" t="s">
        <v>167</v>
      </c>
      <c r="J273" s="691" t="s">
        <v>147</v>
      </c>
      <c r="K273" s="691" t="s">
        <v>125</v>
      </c>
      <c r="L273" s="691" t="s">
        <v>177</v>
      </c>
      <c r="M273" s="691" t="s">
        <v>157</v>
      </c>
      <c r="N273" s="691" t="s">
        <v>227</v>
      </c>
      <c r="O273" s="589"/>
      <c r="P273" s="717" cm="1">
        <f t="array" ref="P273">F273</f>
        <v>272</v>
      </c>
      <c r="Q273" s="620" t="str" cm="1">
        <f t="array" ref="Q273">RIGHT(G273,1)</f>
        <v>H</v>
      </c>
      <c r="R273" s="590" t="str" cm="1">
        <f t="array" ref="R273">RIGHT(H273,1)</f>
        <v>J</v>
      </c>
      <c r="S273" s="590" t="str" cm="1">
        <f t="array" ref="S273">RIGHT(I273,1)</f>
        <v>E</v>
      </c>
      <c r="T273" s="590" t="str" cm="1">
        <f t="array" ref="T273">RIGHT(J273,1)</f>
        <v>C</v>
      </c>
      <c r="U273" s="590" t="str" cm="1">
        <f t="array" ref="U273">RIGHT(K273,1)</f>
        <v>A</v>
      </c>
      <c r="V273" s="590" t="str" cm="1">
        <f t="array" ref="V273">RIGHT(L273,1)</f>
        <v>F</v>
      </c>
      <c r="W273" s="590" t="str" cm="1">
        <f t="array" ref="W273">RIGHT(M273,1)</f>
        <v>D</v>
      </c>
      <c r="X273" s="590" t="str" cm="1">
        <f t="array" ref="X273">RIGHT(N273,1)</f>
        <v>K</v>
      </c>
      <c r="Y273" s="708" cm="1">
        <f t="array" ref="Y273">COUNTIF($AA$2:$AA$9,Q273)+COUNTIF($AA$2:$AA$9,R273)+COUNTIF($AA$2:$AA$9,S273)+COUNTIF($AA$2:$AA$9,T273)+COUNTIF($AA$2:$AA$9,U273)+COUNTIF($AA$2:$AA$9,V273)+COUNTIF($AA$2:$AA$9,W273)+COUNTIF($AA$2:$AA$9,X273)</f>
        <v>6</v>
      </c>
      <c r="Z273" s="589"/>
      <c r="AA273" s="589"/>
      <c r="AB273" s="589"/>
      <c r="AC273" s="589"/>
      <c r="AD273" s="589"/>
      <c r="AE273" s="589"/>
      <c r="AF273" s="589"/>
      <c r="AG273" s="589"/>
      <c r="AH273" s="589"/>
      <c r="AI273" s="589"/>
      <c r="AJ273" s="589"/>
      <c r="AK273" s="589"/>
      <c r="AL273" s="589"/>
      <c r="AM273" s="589"/>
      <c r="AN273" s="589"/>
      <c r="AO273" s="589"/>
      <c r="AP273" s="589"/>
      <c r="AQ273" s="589"/>
      <c r="AR273" s="589"/>
      <c r="AS273" s="589"/>
      <c r="AT273" s="589"/>
      <c r="AU273" s="589"/>
      <c r="AV273" s="589"/>
      <c r="AW273" s="589"/>
      <c r="AX273" s="589"/>
      <c r="AY273" s="589"/>
      <c r="AZ273" s="589"/>
      <c r="BA273" s="589"/>
      <c r="BB273" s="589"/>
      <c r="BC273" s="589"/>
      <c r="BD273" s="589"/>
      <c r="BE273" s="589"/>
      <c r="BF273" s="589"/>
      <c r="BG273" s="589"/>
      <c r="BH273" s="589"/>
      <c r="BI273" s="589"/>
      <c r="BJ273" s="589"/>
      <c r="BK273" s="589"/>
      <c r="BL273" s="589"/>
    </row>
    <row r="274" spans="1:64" ht="14.25" customHeight="1">
      <c r="A274" s="691" t="s">
        <v>611</v>
      </c>
      <c r="B274" s="589"/>
      <c r="C274" s="589"/>
      <c r="D274" s="589"/>
      <c r="E274" s="589"/>
      <c r="F274" s="591">
        <v>273</v>
      </c>
      <c r="G274" s="691" t="s">
        <v>197</v>
      </c>
      <c r="H274" s="691" t="s">
        <v>167</v>
      </c>
      <c r="I274" s="691" t="s">
        <v>177</v>
      </c>
      <c r="J274" s="691" t="s">
        <v>147</v>
      </c>
      <c r="K274" s="691" t="s">
        <v>125</v>
      </c>
      <c r="L274" s="691" t="s">
        <v>157</v>
      </c>
      <c r="M274" s="691" t="s">
        <v>237</v>
      </c>
      <c r="N274" s="691" t="s">
        <v>207</v>
      </c>
      <c r="O274" s="589"/>
      <c r="P274" s="717" cm="1">
        <f t="array" ref="P274">F274</f>
        <v>273</v>
      </c>
      <c r="Q274" s="620" t="str" cm="1">
        <f t="array" ref="Q274">RIGHT(G274,1)</f>
        <v>H</v>
      </c>
      <c r="R274" s="590" t="str" cm="1">
        <f t="array" ref="R274">RIGHT(H274,1)</f>
        <v>E</v>
      </c>
      <c r="S274" s="590" t="str" cm="1">
        <f t="array" ref="S274">RIGHT(I274,1)</f>
        <v>F</v>
      </c>
      <c r="T274" s="590" t="str" cm="1">
        <f t="array" ref="T274">RIGHT(J274,1)</f>
        <v>C</v>
      </c>
      <c r="U274" s="590" t="str" cm="1">
        <f t="array" ref="U274">RIGHT(K274,1)</f>
        <v>A</v>
      </c>
      <c r="V274" s="590" t="str" cm="1">
        <f t="array" ref="V274">RIGHT(L274,1)</f>
        <v>D</v>
      </c>
      <c r="W274" s="590" t="str" cm="1">
        <f t="array" ref="W274">RIGHT(M274,1)</f>
        <v>L</v>
      </c>
      <c r="X274" s="590" t="str" cm="1">
        <f t="array" ref="X274">RIGHT(N274,1)</f>
        <v>I</v>
      </c>
      <c r="Y274" s="708" cm="1">
        <f t="array" ref="Y274">COUNTIF($AA$2:$AA$9,Q274)+COUNTIF($AA$2:$AA$9,R274)+COUNTIF($AA$2:$AA$9,S274)+COUNTIF($AA$2:$AA$9,T274)+COUNTIF($AA$2:$AA$9,U274)+COUNTIF($AA$2:$AA$9,V274)+COUNTIF($AA$2:$AA$9,W274)+COUNTIF($AA$2:$AA$9,X274)</f>
        <v>7</v>
      </c>
      <c r="Z274" s="589"/>
      <c r="AA274" s="589"/>
      <c r="AB274" s="589"/>
      <c r="AC274" s="589"/>
      <c r="AD274" s="589"/>
      <c r="AE274" s="589"/>
      <c r="AF274" s="589"/>
      <c r="AG274" s="589"/>
      <c r="AH274" s="589"/>
      <c r="AI274" s="589"/>
      <c r="AJ274" s="589"/>
      <c r="AK274" s="589"/>
      <c r="AL274" s="589"/>
      <c r="AM274" s="589"/>
      <c r="AN274" s="589"/>
      <c r="AO274" s="589"/>
      <c r="AP274" s="589"/>
      <c r="AQ274" s="589"/>
      <c r="AR274" s="589"/>
      <c r="AS274" s="589"/>
      <c r="AT274" s="589"/>
      <c r="AU274" s="589"/>
      <c r="AV274" s="589"/>
      <c r="AW274" s="589"/>
      <c r="AX274" s="589"/>
      <c r="AY274" s="589"/>
      <c r="AZ274" s="589"/>
      <c r="BA274" s="589"/>
      <c r="BB274" s="589"/>
      <c r="BC274" s="589"/>
      <c r="BD274" s="589"/>
      <c r="BE274" s="589"/>
      <c r="BF274" s="589"/>
      <c r="BG274" s="589"/>
      <c r="BH274" s="589"/>
      <c r="BI274" s="589"/>
      <c r="BJ274" s="589"/>
      <c r="BK274" s="589"/>
      <c r="BL274" s="589"/>
    </row>
    <row r="275" spans="1:64" ht="14.25" customHeight="1">
      <c r="A275" s="691" t="s">
        <v>612</v>
      </c>
      <c r="B275" s="589"/>
      <c r="C275" s="589"/>
      <c r="D275" s="589"/>
      <c r="E275" s="589"/>
      <c r="F275" s="591">
        <v>274</v>
      </c>
      <c r="G275" s="691" t="s">
        <v>197</v>
      </c>
      <c r="H275" s="691" t="s">
        <v>167</v>
      </c>
      <c r="I275" s="691" t="s">
        <v>177</v>
      </c>
      <c r="J275" s="691" t="s">
        <v>147</v>
      </c>
      <c r="K275" s="691" t="s">
        <v>125</v>
      </c>
      <c r="L275" s="691" t="s">
        <v>157</v>
      </c>
      <c r="M275" s="691" t="s">
        <v>207</v>
      </c>
      <c r="N275" s="691" t="s">
        <v>227</v>
      </c>
      <c r="O275" s="589"/>
      <c r="P275" s="717" cm="1">
        <f t="array" ref="P275">F275</f>
        <v>274</v>
      </c>
      <c r="Q275" s="620" t="str" cm="1">
        <f t="array" ref="Q275">RIGHT(G275,1)</f>
        <v>H</v>
      </c>
      <c r="R275" s="590" t="str" cm="1">
        <f t="array" ref="R275">RIGHT(H275,1)</f>
        <v>E</v>
      </c>
      <c r="S275" s="590" t="str" cm="1">
        <f t="array" ref="S275">RIGHT(I275,1)</f>
        <v>F</v>
      </c>
      <c r="T275" s="590" t="str" cm="1">
        <f t="array" ref="T275">RIGHT(J275,1)</f>
        <v>C</v>
      </c>
      <c r="U275" s="590" t="str" cm="1">
        <f t="array" ref="U275">RIGHT(K275,1)</f>
        <v>A</v>
      </c>
      <c r="V275" s="590" t="str" cm="1">
        <f t="array" ref="V275">RIGHT(L275,1)</f>
        <v>D</v>
      </c>
      <c r="W275" s="590" t="str" cm="1">
        <f t="array" ref="W275">RIGHT(M275,1)</f>
        <v>I</v>
      </c>
      <c r="X275" s="590" t="str" cm="1">
        <f t="array" ref="X275">RIGHT(N275,1)</f>
        <v>K</v>
      </c>
      <c r="Y275" s="708" cm="1">
        <f t="array" ref="Y275">COUNTIF($AA$2:$AA$9,Q275)+COUNTIF($AA$2:$AA$9,R275)+COUNTIF($AA$2:$AA$9,S275)+COUNTIF($AA$2:$AA$9,T275)+COUNTIF($AA$2:$AA$9,U275)+COUNTIF($AA$2:$AA$9,V275)+COUNTIF($AA$2:$AA$9,W275)+COUNTIF($AA$2:$AA$9,X275)</f>
        <v>6</v>
      </c>
      <c r="Z275" s="589"/>
      <c r="AA275" s="589"/>
      <c r="AB275" s="589"/>
      <c r="AC275" s="589"/>
      <c r="AD275" s="589"/>
      <c r="AE275" s="589"/>
      <c r="AF275" s="589"/>
      <c r="AG275" s="589"/>
      <c r="AH275" s="589"/>
      <c r="AI275" s="589"/>
      <c r="AJ275" s="589"/>
      <c r="AK275" s="589"/>
      <c r="AL275" s="589"/>
      <c r="AM275" s="589"/>
      <c r="AN275" s="589"/>
      <c r="AO275" s="589"/>
      <c r="AP275" s="589"/>
      <c r="AQ275" s="589"/>
      <c r="AR275" s="589"/>
      <c r="AS275" s="589"/>
      <c r="AT275" s="589"/>
      <c r="AU275" s="589"/>
      <c r="AV275" s="589"/>
      <c r="AW275" s="589"/>
      <c r="AX275" s="589"/>
      <c r="AY275" s="589"/>
      <c r="AZ275" s="589"/>
      <c r="BA275" s="589"/>
      <c r="BB275" s="589"/>
      <c r="BC275" s="589"/>
      <c r="BD275" s="589"/>
      <c r="BE275" s="589"/>
      <c r="BF275" s="589"/>
      <c r="BG275" s="589"/>
      <c r="BH275" s="589"/>
      <c r="BI275" s="589"/>
      <c r="BJ275" s="589"/>
      <c r="BK275" s="589"/>
      <c r="BL275" s="589"/>
    </row>
    <row r="276" spans="1:64" ht="14.25" customHeight="1">
      <c r="A276" s="691" t="s">
        <v>613</v>
      </c>
      <c r="B276" s="589"/>
      <c r="C276" s="589"/>
      <c r="D276" s="589"/>
      <c r="E276" s="589"/>
      <c r="F276" s="591">
        <v>275</v>
      </c>
      <c r="G276" s="691" t="s">
        <v>197</v>
      </c>
      <c r="H276" s="691" t="s">
        <v>217</v>
      </c>
      <c r="I276" s="691" t="s">
        <v>167</v>
      </c>
      <c r="J276" s="691" t="s">
        <v>147</v>
      </c>
      <c r="K276" s="691" t="s">
        <v>125</v>
      </c>
      <c r="L276" s="691" t="s">
        <v>177</v>
      </c>
      <c r="M276" s="691" t="s">
        <v>157</v>
      </c>
      <c r="N276" s="691" t="s">
        <v>207</v>
      </c>
      <c r="O276" s="589"/>
      <c r="P276" s="717" cm="1">
        <f t="array" ref="P276">F276</f>
        <v>275</v>
      </c>
      <c r="Q276" s="620" t="str" cm="1">
        <f t="array" ref="Q276">RIGHT(G276,1)</f>
        <v>H</v>
      </c>
      <c r="R276" s="590" t="str" cm="1">
        <f t="array" ref="R276">RIGHT(H276,1)</f>
        <v>J</v>
      </c>
      <c r="S276" s="590" t="str" cm="1">
        <f t="array" ref="S276">RIGHT(I276,1)</f>
        <v>E</v>
      </c>
      <c r="T276" s="590" t="str" cm="1">
        <f t="array" ref="T276">RIGHT(J276,1)</f>
        <v>C</v>
      </c>
      <c r="U276" s="590" t="str" cm="1">
        <f t="array" ref="U276">RIGHT(K276,1)</f>
        <v>A</v>
      </c>
      <c r="V276" s="590" t="str" cm="1">
        <f t="array" ref="V276">RIGHT(L276,1)</f>
        <v>F</v>
      </c>
      <c r="W276" s="590" t="str" cm="1">
        <f t="array" ref="W276">RIGHT(M276,1)</f>
        <v>D</v>
      </c>
      <c r="X276" s="590" t="str" cm="1">
        <f t="array" ref="X276">RIGHT(N276,1)</f>
        <v>I</v>
      </c>
      <c r="Y276" s="708" cm="1">
        <f t="array" ref="Y276">COUNTIF($AA$2:$AA$9,Q276)+COUNTIF($AA$2:$AA$9,R276)+COUNTIF($AA$2:$AA$9,S276)+COUNTIF($AA$2:$AA$9,T276)+COUNTIF($AA$2:$AA$9,U276)+COUNTIF($AA$2:$AA$9,V276)+COUNTIF($AA$2:$AA$9,W276)+COUNTIF($AA$2:$AA$9,X276)</f>
        <v>7</v>
      </c>
      <c r="Z276" s="589"/>
      <c r="AA276" s="589"/>
      <c r="AB276" s="589"/>
      <c r="AC276" s="589"/>
      <c r="AD276" s="589"/>
      <c r="AE276" s="589"/>
      <c r="AF276" s="589"/>
      <c r="AG276" s="589"/>
      <c r="AH276" s="589"/>
      <c r="AI276" s="589"/>
      <c r="AJ276" s="589"/>
      <c r="AK276" s="589"/>
      <c r="AL276" s="589"/>
      <c r="AM276" s="589"/>
      <c r="AN276" s="589"/>
      <c r="AO276" s="589"/>
      <c r="AP276" s="589"/>
      <c r="AQ276" s="589"/>
      <c r="AR276" s="589"/>
      <c r="AS276" s="589"/>
      <c r="AT276" s="589"/>
      <c r="AU276" s="589"/>
      <c r="AV276" s="589"/>
      <c r="AW276" s="589"/>
      <c r="AX276" s="589"/>
      <c r="AY276" s="589"/>
      <c r="AZ276" s="589"/>
      <c r="BA276" s="589"/>
      <c r="BB276" s="589"/>
      <c r="BC276" s="589"/>
      <c r="BD276" s="589"/>
      <c r="BE276" s="589"/>
      <c r="BF276" s="589"/>
      <c r="BG276" s="589"/>
      <c r="BH276" s="589"/>
      <c r="BI276" s="589"/>
      <c r="BJ276" s="589"/>
      <c r="BK276" s="589"/>
      <c r="BL276" s="589"/>
    </row>
    <row r="277" spans="1:64" ht="14.25" customHeight="1">
      <c r="A277" s="691" t="s">
        <v>614</v>
      </c>
      <c r="B277" s="589"/>
      <c r="C277" s="589"/>
      <c r="D277" s="589"/>
      <c r="E277" s="589"/>
      <c r="F277" s="591">
        <v>276</v>
      </c>
      <c r="G277" s="691" t="s">
        <v>147</v>
      </c>
      <c r="H277" s="691" t="s">
        <v>187</v>
      </c>
      <c r="I277" s="691" t="s">
        <v>167</v>
      </c>
      <c r="J277" s="691" t="s">
        <v>157</v>
      </c>
      <c r="K277" s="691" t="s">
        <v>125</v>
      </c>
      <c r="L277" s="691" t="s">
        <v>177</v>
      </c>
      <c r="M277" s="691" t="s">
        <v>237</v>
      </c>
      <c r="N277" s="691" t="s">
        <v>227</v>
      </c>
      <c r="O277" s="589"/>
      <c r="P277" s="717" cm="1">
        <f t="array" ref="P277">F277</f>
        <v>276</v>
      </c>
      <c r="Q277" s="620" t="str" cm="1">
        <f t="array" ref="Q277">RIGHT(G277,1)</f>
        <v>C</v>
      </c>
      <c r="R277" s="590" t="str" cm="1">
        <f t="array" ref="R277">RIGHT(H277,1)</f>
        <v>G</v>
      </c>
      <c r="S277" s="590" t="str" cm="1">
        <f t="array" ref="S277">RIGHT(I277,1)</f>
        <v>E</v>
      </c>
      <c r="T277" s="590" t="str" cm="1">
        <f t="array" ref="T277">RIGHT(J277,1)</f>
        <v>D</v>
      </c>
      <c r="U277" s="590" t="str" cm="1">
        <f t="array" ref="U277">RIGHT(K277,1)</f>
        <v>A</v>
      </c>
      <c r="V277" s="590" t="str" cm="1">
        <f t="array" ref="V277">RIGHT(L277,1)</f>
        <v>F</v>
      </c>
      <c r="W277" s="590" t="str" cm="1">
        <f t="array" ref="W277">RIGHT(M277,1)</f>
        <v>L</v>
      </c>
      <c r="X277" s="590" t="str" cm="1">
        <f t="array" ref="X277">RIGHT(N277,1)</f>
        <v>K</v>
      </c>
      <c r="Y277" s="708" cm="1">
        <f t="array" ref="Y277">COUNTIF($AA$2:$AA$9,Q277)+COUNTIF($AA$2:$AA$9,R277)+COUNTIF($AA$2:$AA$9,S277)+COUNTIF($AA$2:$AA$9,T277)+COUNTIF($AA$2:$AA$9,U277)+COUNTIF($AA$2:$AA$9,V277)+COUNTIF($AA$2:$AA$9,W277)+COUNTIF($AA$2:$AA$9,X277)</f>
        <v>6</v>
      </c>
      <c r="Z277" s="589"/>
      <c r="AA277" s="589"/>
      <c r="AB277" s="589"/>
      <c r="AC277" s="589"/>
      <c r="AD277" s="589"/>
      <c r="AE277" s="589"/>
      <c r="AF277" s="589"/>
      <c r="AG277" s="589"/>
      <c r="AH277" s="589"/>
      <c r="AI277" s="589"/>
      <c r="AJ277" s="589"/>
      <c r="AK277" s="589"/>
      <c r="AL277" s="589"/>
      <c r="AM277" s="589"/>
      <c r="AN277" s="589"/>
      <c r="AO277" s="589"/>
      <c r="AP277" s="589"/>
      <c r="AQ277" s="589"/>
      <c r="AR277" s="589"/>
      <c r="AS277" s="589"/>
      <c r="AT277" s="589"/>
      <c r="AU277" s="589"/>
      <c r="AV277" s="589"/>
      <c r="AW277" s="589"/>
      <c r="AX277" s="589"/>
      <c r="AY277" s="589"/>
      <c r="AZ277" s="589"/>
      <c r="BA277" s="589"/>
      <c r="BB277" s="589"/>
      <c r="BC277" s="589"/>
      <c r="BD277" s="589"/>
      <c r="BE277" s="589"/>
      <c r="BF277" s="589"/>
      <c r="BG277" s="589"/>
      <c r="BH277" s="589"/>
      <c r="BI277" s="589"/>
      <c r="BJ277" s="589"/>
      <c r="BK277" s="589"/>
      <c r="BL277" s="589"/>
    </row>
    <row r="278" spans="1:64" ht="14.25" customHeight="1">
      <c r="A278" s="691" t="s">
        <v>615</v>
      </c>
      <c r="B278" s="589"/>
      <c r="C278" s="589"/>
      <c r="D278" s="589"/>
      <c r="E278" s="589"/>
      <c r="F278" s="591">
        <v>277</v>
      </c>
      <c r="G278" s="691" t="s">
        <v>147</v>
      </c>
      <c r="H278" s="691" t="s">
        <v>187</v>
      </c>
      <c r="I278" s="691" t="s">
        <v>217</v>
      </c>
      <c r="J278" s="691" t="s">
        <v>157</v>
      </c>
      <c r="K278" s="691" t="s">
        <v>125</v>
      </c>
      <c r="L278" s="691" t="s">
        <v>177</v>
      </c>
      <c r="M278" s="691" t="s">
        <v>237</v>
      </c>
      <c r="N278" s="691" t="s">
        <v>167</v>
      </c>
      <c r="O278" s="589"/>
      <c r="P278" s="717" cm="1">
        <f t="array" ref="P278">F278</f>
        <v>277</v>
      </c>
      <c r="Q278" s="620" t="str" cm="1">
        <f t="array" ref="Q278">RIGHT(G278,1)</f>
        <v>C</v>
      </c>
      <c r="R278" s="590" t="str" cm="1">
        <f t="array" ref="R278">RIGHT(H278,1)</f>
        <v>G</v>
      </c>
      <c r="S278" s="590" t="str" cm="1">
        <f t="array" ref="S278">RIGHT(I278,1)</f>
        <v>J</v>
      </c>
      <c r="T278" s="590" t="str" cm="1">
        <f t="array" ref="T278">RIGHT(J278,1)</f>
        <v>D</v>
      </c>
      <c r="U278" s="590" t="str" cm="1">
        <f t="array" ref="U278">RIGHT(K278,1)</f>
        <v>A</v>
      </c>
      <c r="V278" s="590" t="str" cm="1">
        <f t="array" ref="V278">RIGHT(L278,1)</f>
        <v>F</v>
      </c>
      <c r="W278" s="590" t="str" cm="1">
        <f t="array" ref="W278">RIGHT(M278,1)</f>
        <v>L</v>
      </c>
      <c r="X278" s="590" t="str" cm="1">
        <f t="array" ref="X278">RIGHT(N278,1)</f>
        <v>E</v>
      </c>
      <c r="Y278" s="708" cm="1">
        <f t="array" ref="Y278">COUNTIF($AA$2:$AA$9,Q278)+COUNTIF($AA$2:$AA$9,R278)+COUNTIF($AA$2:$AA$9,S278)+COUNTIF($AA$2:$AA$9,T278)+COUNTIF($AA$2:$AA$9,U278)+COUNTIF($AA$2:$AA$9,V278)+COUNTIF($AA$2:$AA$9,W278)+COUNTIF($AA$2:$AA$9,X278)</f>
        <v>7</v>
      </c>
      <c r="Z278" s="589"/>
      <c r="AA278" s="589"/>
      <c r="AB278" s="589"/>
      <c r="AC278" s="589"/>
      <c r="AD278" s="589"/>
      <c r="AE278" s="589"/>
      <c r="AF278" s="589"/>
      <c r="AG278" s="589"/>
      <c r="AH278" s="589"/>
      <c r="AI278" s="589"/>
      <c r="AJ278" s="589"/>
      <c r="AK278" s="589"/>
      <c r="AL278" s="589"/>
      <c r="AM278" s="589"/>
      <c r="AN278" s="589"/>
      <c r="AO278" s="589"/>
      <c r="AP278" s="589"/>
      <c r="AQ278" s="589"/>
      <c r="AR278" s="589"/>
      <c r="AS278" s="589"/>
      <c r="AT278" s="589"/>
      <c r="AU278" s="589"/>
      <c r="AV278" s="589"/>
      <c r="AW278" s="589"/>
      <c r="AX278" s="589"/>
      <c r="AY278" s="589"/>
      <c r="AZ278" s="589"/>
      <c r="BA278" s="589"/>
      <c r="BB278" s="589"/>
      <c r="BC278" s="589"/>
      <c r="BD278" s="589"/>
      <c r="BE278" s="589"/>
      <c r="BF278" s="589"/>
      <c r="BG278" s="589"/>
      <c r="BH278" s="589"/>
      <c r="BI278" s="589"/>
      <c r="BJ278" s="589"/>
      <c r="BK278" s="589"/>
      <c r="BL278" s="589"/>
    </row>
    <row r="279" spans="1:64" ht="14.25" customHeight="1">
      <c r="A279" s="691" t="s">
        <v>616</v>
      </c>
      <c r="B279" s="589"/>
      <c r="C279" s="589"/>
      <c r="D279" s="589"/>
      <c r="E279" s="589"/>
      <c r="F279" s="591">
        <v>278</v>
      </c>
      <c r="G279" s="691" t="s">
        <v>147</v>
      </c>
      <c r="H279" s="691" t="s">
        <v>187</v>
      </c>
      <c r="I279" s="691" t="s">
        <v>217</v>
      </c>
      <c r="J279" s="691" t="s">
        <v>157</v>
      </c>
      <c r="K279" s="691" t="s">
        <v>125</v>
      </c>
      <c r="L279" s="691" t="s">
        <v>177</v>
      </c>
      <c r="M279" s="691" t="s">
        <v>167</v>
      </c>
      <c r="N279" s="691" t="s">
        <v>227</v>
      </c>
      <c r="O279" s="589"/>
      <c r="P279" s="717" cm="1">
        <f t="array" ref="P279">F279</f>
        <v>278</v>
      </c>
      <c r="Q279" s="620" t="str" cm="1">
        <f t="array" ref="Q279">RIGHT(G279,1)</f>
        <v>C</v>
      </c>
      <c r="R279" s="590" t="str" cm="1">
        <f t="array" ref="R279">RIGHT(H279,1)</f>
        <v>G</v>
      </c>
      <c r="S279" s="590" t="str" cm="1">
        <f t="array" ref="S279">RIGHT(I279,1)</f>
        <v>J</v>
      </c>
      <c r="T279" s="590" t="str" cm="1">
        <f t="array" ref="T279">RIGHT(J279,1)</f>
        <v>D</v>
      </c>
      <c r="U279" s="590" t="str" cm="1">
        <f t="array" ref="U279">RIGHT(K279,1)</f>
        <v>A</v>
      </c>
      <c r="V279" s="590" t="str" cm="1">
        <f t="array" ref="V279">RIGHT(L279,1)</f>
        <v>F</v>
      </c>
      <c r="W279" s="590" t="str" cm="1">
        <f t="array" ref="W279">RIGHT(M279,1)</f>
        <v>E</v>
      </c>
      <c r="X279" s="590" t="str" cm="1">
        <f t="array" ref="X279">RIGHT(N279,1)</f>
        <v>K</v>
      </c>
      <c r="Y279" s="708" cm="1">
        <f t="array" ref="Y279">COUNTIF($AA$2:$AA$9,Q279)+COUNTIF($AA$2:$AA$9,R279)+COUNTIF($AA$2:$AA$9,S279)+COUNTIF($AA$2:$AA$9,T279)+COUNTIF($AA$2:$AA$9,U279)+COUNTIF($AA$2:$AA$9,V279)+COUNTIF($AA$2:$AA$9,W279)+COUNTIF($AA$2:$AA$9,X279)</f>
        <v>6</v>
      </c>
      <c r="Z279" s="589"/>
      <c r="AA279" s="589"/>
      <c r="AB279" s="589"/>
      <c r="AC279" s="589"/>
      <c r="AD279" s="589"/>
      <c r="AE279" s="589"/>
      <c r="AF279" s="589"/>
      <c r="AG279" s="589"/>
      <c r="AH279" s="589"/>
      <c r="AI279" s="589"/>
      <c r="AJ279" s="589"/>
      <c r="AK279" s="589"/>
      <c r="AL279" s="589"/>
      <c r="AM279" s="589"/>
      <c r="AN279" s="589"/>
      <c r="AO279" s="589"/>
      <c r="AP279" s="589"/>
      <c r="AQ279" s="589"/>
      <c r="AR279" s="589"/>
      <c r="AS279" s="589"/>
      <c r="AT279" s="589"/>
      <c r="AU279" s="589"/>
      <c r="AV279" s="589"/>
      <c r="AW279" s="589"/>
      <c r="AX279" s="589"/>
      <c r="AY279" s="589"/>
      <c r="AZ279" s="589"/>
      <c r="BA279" s="589"/>
      <c r="BB279" s="589"/>
      <c r="BC279" s="589"/>
      <c r="BD279" s="589"/>
      <c r="BE279" s="589"/>
      <c r="BF279" s="589"/>
      <c r="BG279" s="589"/>
      <c r="BH279" s="589"/>
      <c r="BI279" s="589"/>
      <c r="BJ279" s="589"/>
      <c r="BK279" s="589"/>
      <c r="BL279" s="589"/>
    </row>
    <row r="280" spans="1:64" ht="14.25" customHeight="1">
      <c r="A280" s="691" t="s">
        <v>617</v>
      </c>
      <c r="B280" s="589"/>
      <c r="C280" s="589"/>
      <c r="D280" s="589"/>
      <c r="E280" s="589"/>
      <c r="F280" s="591">
        <v>279</v>
      </c>
      <c r="G280" s="691" t="s">
        <v>147</v>
      </c>
      <c r="H280" s="691" t="s">
        <v>187</v>
      </c>
      <c r="I280" s="691" t="s">
        <v>167</v>
      </c>
      <c r="J280" s="691" t="s">
        <v>157</v>
      </c>
      <c r="K280" s="691" t="s">
        <v>125</v>
      </c>
      <c r="L280" s="691" t="s">
        <v>177</v>
      </c>
      <c r="M280" s="691" t="s">
        <v>237</v>
      </c>
      <c r="N280" s="691" t="s">
        <v>207</v>
      </c>
      <c r="O280" s="589"/>
      <c r="P280" s="717" cm="1">
        <f t="array" ref="P280">F280</f>
        <v>279</v>
      </c>
      <c r="Q280" s="620" t="str" cm="1">
        <f t="array" ref="Q280">RIGHT(G280,1)</f>
        <v>C</v>
      </c>
      <c r="R280" s="590" t="str" cm="1">
        <f t="array" ref="R280">RIGHT(H280,1)</f>
        <v>G</v>
      </c>
      <c r="S280" s="590" t="str" cm="1">
        <f t="array" ref="S280">RIGHT(I280,1)</f>
        <v>E</v>
      </c>
      <c r="T280" s="590" t="str" cm="1">
        <f t="array" ref="T280">RIGHT(J280,1)</f>
        <v>D</v>
      </c>
      <c r="U280" s="590" t="str" cm="1">
        <f t="array" ref="U280">RIGHT(K280,1)</f>
        <v>A</v>
      </c>
      <c r="V280" s="590" t="str" cm="1">
        <f t="array" ref="V280">RIGHT(L280,1)</f>
        <v>F</v>
      </c>
      <c r="W280" s="590" t="str" cm="1">
        <f t="array" ref="W280">RIGHT(M280,1)</f>
        <v>L</v>
      </c>
      <c r="X280" s="590" t="str" cm="1">
        <f t="array" ref="X280">RIGHT(N280,1)</f>
        <v>I</v>
      </c>
      <c r="Y280" s="708" cm="1">
        <f t="array" ref="Y280">COUNTIF($AA$2:$AA$9,Q280)+COUNTIF($AA$2:$AA$9,R280)+COUNTIF($AA$2:$AA$9,S280)+COUNTIF($AA$2:$AA$9,T280)+COUNTIF($AA$2:$AA$9,U280)+COUNTIF($AA$2:$AA$9,V280)+COUNTIF($AA$2:$AA$9,W280)+COUNTIF($AA$2:$AA$9,X280)</f>
        <v>7</v>
      </c>
      <c r="Z280" s="589"/>
      <c r="AA280" s="589"/>
      <c r="AB280" s="589"/>
      <c r="AC280" s="589"/>
      <c r="AD280" s="589"/>
      <c r="AE280" s="589"/>
      <c r="AF280" s="589"/>
      <c r="AG280" s="589"/>
      <c r="AH280" s="589"/>
      <c r="AI280" s="589"/>
      <c r="AJ280" s="589"/>
      <c r="AK280" s="589"/>
      <c r="AL280" s="589"/>
      <c r="AM280" s="589"/>
      <c r="AN280" s="589"/>
      <c r="AO280" s="589"/>
      <c r="AP280" s="589"/>
      <c r="AQ280" s="589"/>
      <c r="AR280" s="589"/>
      <c r="AS280" s="589"/>
      <c r="AT280" s="589"/>
      <c r="AU280" s="589"/>
      <c r="AV280" s="589"/>
      <c r="AW280" s="589"/>
      <c r="AX280" s="589"/>
      <c r="AY280" s="589"/>
      <c r="AZ280" s="589"/>
      <c r="BA280" s="589"/>
      <c r="BB280" s="589"/>
      <c r="BC280" s="589"/>
      <c r="BD280" s="589"/>
      <c r="BE280" s="589"/>
      <c r="BF280" s="589"/>
      <c r="BG280" s="589"/>
      <c r="BH280" s="589"/>
      <c r="BI280" s="589"/>
      <c r="BJ280" s="589"/>
      <c r="BK280" s="589"/>
      <c r="BL280" s="589"/>
    </row>
    <row r="281" spans="1:64" ht="14.25" customHeight="1">
      <c r="A281" s="691" t="s">
        <v>618</v>
      </c>
      <c r="B281" s="589"/>
      <c r="C281" s="589"/>
      <c r="D281" s="589"/>
      <c r="E281" s="589"/>
      <c r="F281" s="591">
        <v>280</v>
      </c>
      <c r="G281" s="691" t="s">
        <v>147</v>
      </c>
      <c r="H281" s="691" t="s">
        <v>187</v>
      </c>
      <c r="I281" s="691" t="s">
        <v>167</v>
      </c>
      <c r="J281" s="691" t="s">
        <v>157</v>
      </c>
      <c r="K281" s="691" t="s">
        <v>125</v>
      </c>
      <c r="L281" s="691" t="s">
        <v>177</v>
      </c>
      <c r="M281" s="691" t="s">
        <v>207</v>
      </c>
      <c r="N281" s="691" t="s">
        <v>227</v>
      </c>
      <c r="O281" s="589"/>
      <c r="P281" s="717" cm="1">
        <f t="array" ref="P281">F281</f>
        <v>280</v>
      </c>
      <c r="Q281" s="620" t="str" cm="1">
        <f t="array" ref="Q281">RIGHT(G281,1)</f>
        <v>C</v>
      </c>
      <c r="R281" s="590" t="str" cm="1">
        <f t="array" ref="R281">RIGHT(H281,1)</f>
        <v>G</v>
      </c>
      <c r="S281" s="590" t="str" cm="1">
        <f t="array" ref="S281">RIGHT(I281,1)</f>
        <v>E</v>
      </c>
      <c r="T281" s="590" t="str" cm="1">
        <f t="array" ref="T281">RIGHT(J281,1)</f>
        <v>D</v>
      </c>
      <c r="U281" s="590" t="str" cm="1">
        <f t="array" ref="U281">RIGHT(K281,1)</f>
        <v>A</v>
      </c>
      <c r="V281" s="590" t="str" cm="1">
        <f t="array" ref="V281">RIGHT(L281,1)</f>
        <v>F</v>
      </c>
      <c r="W281" s="590" t="str" cm="1">
        <f t="array" ref="W281">RIGHT(M281,1)</f>
        <v>I</v>
      </c>
      <c r="X281" s="590" t="str" cm="1">
        <f t="array" ref="X281">RIGHT(N281,1)</f>
        <v>K</v>
      </c>
      <c r="Y281" s="708" cm="1">
        <f t="array" ref="Y281">COUNTIF($AA$2:$AA$9,Q281)+COUNTIF($AA$2:$AA$9,R281)+COUNTIF($AA$2:$AA$9,S281)+COUNTIF($AA$2:$AA$9,T281)+COUNTIF($AA$2:$AA$9,U281)+COUNTIF($AA$2:$AA$9,V281)+COUNTIF($AA$2:$AA$9,W281)+COUNTIF($AA$2:$AA$9,X281)</f>
        <v>6</v>
      </c>
      <c r="Z281" s="589"/>
      <c r="AA281" s="589"/>
      <c r="AB281" s="589"/>
      <c r="AC281" s="589"/>
      <c r="AD281" s="589"/>
      <c r="AE281" s="589"/>
      <c r="AF281" s="589"/>
      <c r="AG281" s="589"/>
      <c r="AH281" s="589"/>
      <c r="AI281" s="589"/>
      <c r="AJ281" s="589"/>
      <c r="AK281" s="589"/>
      <c r="AL281" s="589"/>
      <c r="AM281" s="589"/>
      <c r="AN281" s="589"/>
      <c r="AO281" s="589"/>
      <c r="AP281" s="589"/>
      <c r="AQ281" s="589"/>
      <c r="AR281" s="589"/>
      <c r="AS281" s="589"/>
      <c r="AT281" s="589"/>
      <c r="AU281" s="589"/>
      <c r="AV281" s="589"/>
      <c r="AW281" s="589"/>
      <c r="AX281" s="589"/>
      <c r="AY281" s="589"/>
      <c r="AZ281" s="589"/>
      <c r="BA281" s="589"/>
      <c r="BB281" s="589"/>
      <c r="BC281" s="589"/>
      <c r="BD281" s="589"/>
      <c r="BE281" s="589"/>
      <c r="BF281" s="589"/>
      <c r="BG281" s="589"/>
      <c r="BH281" s="589"/>
      <c r="BI281" s="589"/>
      <c r="BJ281" s="589"/>
      <c r="BK281" s="589"/>
      <c r="BL281" s="589"/>
    </row>
    <row r="282" spans="1:64" ht="14.25" customHeight="1">
      <c r="A282" s="691" t="s">
        <v>619</v>
      </c>
      <c r="B282" s="589"/>
      <c r="C282" s="589"/>
      <c r="D282" s="589"/>
      <c r="E282" s="589"/>
      <c r="F282" s="591">
        <v>281</v>
      </c>
      <c r="G282" s="691" t="s">
        <v>147</v>
      </c>
      <c r="H282" s="691" t="s">
        <v>187</v>
      </c>
      <c r="I282" s="691" t="s">
        <v>217</v>
      </c>
      <c r="J282" s="691" t="s">
        <v>157</v>
      </c>
      <c r="K282" s="691" t="s">
        <v>125</v>
      </c>
      <c r="L282" s="691" t="s">
        <v>177</v>
      </c>
      <c r="M282" s="691" t="s">
        <v>167</v>
      </c>
      <c r="N282" s="691" t="s">
        <v>207</v>
      </c>
      <c r="O282" s="589"/>
      <c r="P282" s="717" cm="1">
        <f t="array" ref="P282">F282</f>
        <v>281</v>
      </c>
      <c r="Q282" s="620" t="str" cm="1">
        <f t="array" ref="Q282">RIGHT(G282,1)</f>
        <v>C</v>
      </c>
      <c r="R282" s="590" t="str" cm="1">
        <f t="array" ref="R282">RIGHT(H282,1)</f>
        <v>G</v>
      </c>
      <c r="S282" s="590" t="str" cm="1">
        <f t="array" ref="S282">RIGHT(I282,1)</f>
        <v>J</v>
      </c>
      <c r="T282" s="590" t="str" cm="1">
        <f t="array" ref="T282">RIGHT(J282,1)</f>
        <v>D</v>
      </c>
      <c r="U282" s="590" t="str" cm="1">
        <f t="array" ref="U282">RIGHT(K282,1)</f>
        <v>A</v>
      </c>
      <c r="V282" s="590" t="str" cm="1">
        <f t="array" ref="V282">RIGHT(L282,1)</f>
        <v>F</v>
      </c>
      <c r="W282" s="590" t="str" cm="1">
        <f t="array" ref="W282">RIGHT(M282,1)</f>
        <v>E</v>
      </c>
      <c r="X282" s="590" t="str" cm="1">
        <f t="array" ref="X282">RIGHT(N282,1)</f>
        <v>I</v>
      </c>
      <c r="Y282" s="708" cm="1">
        <f t="array" ref="Y282">COUNTIF($AA$2:$AA$9,Q282)+COUNTIF($AA$2:$AA$9,R282)+COUNTIF($AA$2:$AA$9,S282)+COUNTIF($AA$2:$AA$9,T282)+COUNTIF($AA$2:$AA$9,U282)+COUNTIF($AA$2:$AA$9,V282)+COUNTIF($AA$2:$AA$9,W282)+COUNTIF($AA$2:$AA$9,X282)</f>
        <v>7</v>
      </c>
      <c r="Z282" s="589"/>
      <c r="AA282" s="589"/>
      <c r="AB282" s="589"/>
      <c r="AC282" s="589"/>
      <c r="AD282" s="589"/>
      <c r="AE282" s="589"/>
      <c r="AF282" s="589"/>
      <c r="AG282" s="589"/>
      <c r="AH282" s="589"/>
      <c r="AI282" s="589"/>
      <c r="AJ282" s="589"/>
      <c r="AK282" s="589"/>
      <c r="AL282" s="589"/>
      <c r="AM282" s="589"/>
      <c r="AN282" s="589"/>
      <c r="AO282" s="589"/>
      <c r="AP282" s="589"/>
      <c r="AQ282" s="589"/>
      <c r="AR282" s="589"/>
      <c r="AS282" s="589"/>
      <c r="AT282" s="589"/>
      <c r="AU282" s="589"/>
      <c r="AV282" s="589"/>
      <c r="AW282" s="589"/>
      <c r="AX282" s="589"/>
      <c r="AY282" s="589"/>
      <c r="AZ282" s="589"/>
      <c r="BA282" s="589"/>
      <c r="BB282" s="589"/>
      <c r="BC282" s="589"/>
      <c r="BD282" s="589"/>
      <c r="BE282" s="589"/>
      <c r="BF282" s="589"/>
      <c r="BG282" s="589"/>
      <c r="BH282" s="589"/>
      <c r="BI282" s="589"/>
      <c r="BJ282" s="589"/>
      <c r="BK282" s="589"/>
      <c r="BL282" s="589"/>
    </row>
    <row r="283" spans="1:64" ht="14.25" customHeight="1">
      <c r="A283" s="691" t="s">
        <v>620</v>
      </c>
      <c r="B283" s="589"/>
      <c r="C283" s="589"/>
      <c r="D283" s="589"/>
      <c r="E283" s="589"/>
      <c r="F283" s="591">
        <v>282</v>
      </c>
      <c r="G283" s="691" t="s">
        <v>197</v>
      </c>
      <c r="H283" s="691" t="s">
        <v>187</v>
      </c>
      <c r="I283" s="691" t="s">
        <v>177</v>
      </c>
      <c r="J283" s="691" t="s">
        <v>147</v>
      </c>
      <c r="K283" s="691" t="s">
        <v>125</v>
      </c>
      <c r="L283" s="691" t="s">
        <v>157</v>
      </c>
      <c r="M283" s="691" t="s">
        <v>237</v>
      </c>
      <c r="N283" s="691" t="s">
        <v>167</v>
      </c>
      <c r="O283" s="589"/>
      <c r="P283" s="717" cm="1">
        <f t="array" ref="P283">F283</f>
        <v>282</v>
      </c>
      <c r="Q283" s="620" t="str" cm="1">
        <f t="array" ref="Q283">RIGHT(G283,1)</f>
        <v>H</v>
      </c>
      <c r="R283" s="590" t="str" cm="1">
        <f t="array" ref="R283">RIGHT(H283,1)</f>
        <v>G</v>
      </c>
      <c r="S283" s="590" t="str" cm="1">
        <f t="array" ref="S283">RIGHT(I283,1)</f>
        <v>F</v>
      </c>
      <c r="T283" s="590" t="str" cm="1">
        <f t="array" ref="T283">RIGHT(J283,1)</f>
        <v>C</v>
      </c>
      <c r="U283" s="590" t="str" cm="1">
        <f t="array" ref="U283">RIGHT(K283,1)</f>
        <v>A</v>
      </c>
      <c r="V283" s="590" t="str" cm="1">
        <f t="array" ref="V283">RIGHT(L283,1)</f>
        <v>D</v>
      </c>
      <c r="W283" s="590" t="str" cm="1">
        <f t="array" ref="W283">RIGHT(M283,1)</f>
        <v>L</v>
      </c>
      <c r="X283" s="590" t="str" cm="1">
        <f t="array" ref="X283">RIGHT(N283,1)</f>
        <v>E</v>
      </c>
      <c r="Y283" s="708" cm="1">
        <f t="array" ref="Y283">COUNTIF($AA$2:$AA$9,Q283)+COUNTIF($AA$2:$AA$9,R283)+COUNTIF($AA$2:$AA$9,S283)+COUNTIF($AA$2:$AA$9,T283)+COUNTIF($AA$2:$AA$9,U283)+COUNTIF($AA$2:$AA$9,V283)+COUNTIF($AA$2:$AA$9,W283)+COUNTIF($AA$2:$AA$9,X283)</f>
        <v>6</v>
      </c>
      <c r="Z283" s="589"/>
      <c r="AA283" s="589"/>
      <c r="AB283" s="589"/>
      <c r="AC283" s="589"/>
      <c r="AD283" s="589"/>
      <c r="AE283" s="589"/>
      <c r="AF283" s="589"/>
      <c r="AG283" s="589"/>
      <c r="AH283" s="589"/>
      <c r="AI283" s="589"/>
      <c r="AJ283" s="589"/>
      <c r="AK283" s="589"/>
      <c r="AL283" s="589"/>
      <c r="AM283" s="589"/>
      <c r="AN283" s="589"/>
      <c r="AO283" s="589"/>
      <c r="AP283" s="589"/>
      <c r="AQ283" s="589"/>
      <c r="AR283" s="589"/>
      <c r="AS283" s="589"/>
      <c r="AT283" s="589"/>
      <c r="AU283" s="589"/>
      <c r="AV283" s="589"/>
      <c r="AW283" s="589"/>
      <c r="AX283" s="589"/>
      <c r="AY283" s="589"/>
      <c r="AZ283" s="589"/>
      <c r="BA283" s="589"/>
      <c r="BB283" s="589"/>
      <c r="BC283" s="589"/>
      <c r="BD283" s="589"/>
      <c r="BE283" s="589"/>
      <c r="BF283" s="589"/>
      <c r="BG283" s="589"/>
      <c r="BH283" s="589"/>
      <c r="BI283" s="589"/>
      <c r="BJ283" s="589"/>
      <c r="BK283" s="589"/>
      <c r="BL283" s="589"/>
    </row>
    <row r="284" spans="1:64" ht="14.25" customHeight="1">
      <c r="A284" s="691" t="s">
        <v>621</v>
      </c>
      <c r="B284" s="589"/>
      <c r="C284" s="589"/>
      <c r="D284" s="589"/>
      <c r="E284" s="589"/>
      <c r="F284" s="591">
        <v>283</v>
      </c>
      <c r="G284" s="691" t="s">
        <v>197</v>
      </c>
      <c r="H284" s="691" t="s">
        <v>187</v>
      </c>
      <c r="I284" s="691" t="s">
        <v>167</v>
      </c>
      <c r="J284" s="691" t="s">
        <v>147</v>
      </c>
      <c r="K284" s="691" t="s">
        <v>125</v>
      </c>
      <c r="L284" s="691" t="s">
        <v>177</v>
      </c>
      <c r="M284" s="691" t="s">
        <v>157</v>
      </c>
      <c r="N284" s="691" t="s">
        <v>227</v>
      </c>
      <c r="O284" s="589"/>
      <c r="P284" s="717" cm="1">
        <f t="array" ref="P284">F284</f>
        <v>283</v>
      </c>
      <c r="Q284" s="620" t="str" cm="1">
        <f t="array" ref="Q284">RIGHT(G284,1)</f>
        <v>H</v>
      </c>
      <c r="R284" s="590" t="str" cm="1">
        <f t="array" ref="R284">RIGHT(H284,1)</f>
        <v>G</v>
      </c>
      <c r="S284" s="590" t="str" cm="1">
        <f t="array" ref="S284">RIGHT(I284,1)</f>
        <v>E</v>
      </c>
      <c r="T284" s="590" t="str" cm="1">
        <f t="array" ref="T284">RIGHT(J284,1)</f>
        <v>C</v>
      </c>
      <c r="U284" s="590" t="str" cm="1">
        <f t="array" ref="U284">RIGHT(K284,1)</f>
        <v>A</v>
      </c>
      <c r="V284" s="590" t="str" cm="1">
        <f t="array" ref="V284">RIGHT(L284,1)</f>
        <v>F</v>
      </c>
      <c r="W284" s="590" t="str" cm="1">
        <f t="array" ref="W284">RIGHT(M284,1)</f>
        <v>D</v>
      </c>
      <c r="X284" s="590" t="str" cm="1">
        <f t="array" ref="X284">RIGHT(N284,1)</f>
        <v>K</v>
      </c>
      <c r="Y284" s="708" cm="1">
        <f t="array" ref="Y284">COUNTIF($AA$2:$AA$9,Q284)+COUNTIF($AA$2:$AA$9,R284)+COUNTIF($AA$2:$AA$9,S284)+COUNTIF($AA$2:$AA$9,T284)+COUNTIF($AA$2:$AA$9,U284)+COUNTIF($AA$2:$AA$9,V284)+COUNTIF($AA$2:$AA$9,W284)+COUNTIF($AA$2:$AA$9,X284)</f>
        <v>5</v>
      </c>
      <c r="Z284" s="589"/>
      <c r="AA284" s="589"/>
      <c r="AB284" s="589"/>
      <c r="AC284" s="589"/>
      <c r="AD284" s="589"/>
      <c r="AE284" s="589"/>
      <c r="AF284" s="589"/>
      <c r="AG284" s="589"/>
      <c r="AH284" s="589"/>
      <c r="AI284" s="589"/>
      <c r="AJ284" s="589"/>
      <c r="AK284" s="589"/>
      <c r="AL284" s="589"/>
      <c r="AM284" s="589"/>
      <c r="AN284" s="589"/>
      <c r="AO284" s="589"/>
      <c r="AP284" s="589"/>
      <c r="AQ284" s="589"/>
      <c r="AR284" s="589"/>
      <c r="AS284" s="589"/>
      <c r="AT284" s="589"/>
      <c r="AU284" s="589"/>
      <c r="AV284" s="589"/>
      <c r="AW284" s="589"/>
      <c r="AX284" s="589"/>
      <c r="AY284" s="589"/>
      <c r="AZ284" s="589"/>
      <c r="BA284" s="589"/>
      <c r="BB284" s="589"/>
      <c r="BC284" s="589"/>
      <c r="BD284" s="589"/>
      <c r="BE284" s="589"/>
      <c r="BF284" s="589"/>
      <c r="BG284" s="589"/>
      <c r="BH284" s="589"/>
      <c r="BI284" s="589"/>
      <c r="BJ284" s="589"/>
      <c r="BK284" s="589"/>
      <c r="BL284" s="589"/>
    </row>
    <row r="285" spans="1:64" ht="14.25" customHeight="1">
      <c r="A285" s="691" t="s">
        <v>622</v>
      </c>
      <c r="B285" s="589"/>
      <c r="C285" s="589"/>
      <c r="D285" s="589"/>
      <c r="E285" s="589"/>
      <c r="F285" s="591">
        <v>284</v>
      </c>
      <c r="G285" s="691" t="s">
        <v>197</v>
      </c>
      <c r="H285" s="691" t="s">
        <v>187</v>
      </c>
      <c r="I285" s="691" t="s">
        <v>217</v>
      </c>
      <c r="J285" s="691" t="s">
        <v>147</v>
      </c>
      <c r="K285" s="691" t="s">
        <v>125</v>
      </c>
      <c r="L285" s="691" t="s">
        <v>177</v>
      </c>
      <c r="M285" s="691" t="s">
        <v>157</v>
      </c>
      <c r="N285" s="691" t="s">
        <v>167</v>
      </c>
      <c r="O285" s="589"/>
      <c r="P285" s="717" cm="1">
        <f t="array" ref="P285">F285</f>
        <v>284</v>
      </c>
      <c r="Q285" s="620" t="str" cm="1">
        <f t="array" ref="Q285">RIGHT(G285,1)</f>
        <v>H</v>
      </c>
      <c r="R285" s="590" t="str" cm="1">
        <f t="array" ref="R285">RIGHT(H285,1)</f>
        <v>G</v>
      </c>
      <c r="S285" s="590" t="str" cm="1">
        <f t="array" ref="S285">RIGHT(I285,1)</f>
        <v>J</v>
      </c>
      <c r="T285" s="590" t="str" cm="1">
        <f t="array" ref="T285">RIGHT(J285,1)</f>
        <v>C</v>
      </c>
      <c r="U285" s="590" t="str" cm="1">
        <f t="array" ref="U285">RIGHT(K285,1)</f>
        <v>A</v>
      </c>
      <c r="V285" s="590" t="str" cm="1">
        <f t="array" ref="V285">RIGHT(L285,1)</f>
        <v>F</v>
      </c>
      <c r="W285" s="590" t="str" cm="1">
        <f t="array" ref="W285">RIGHT(M285,1)</f>
        <v>D</v>
      </c>
      <c r="X285" s="590" t="str" cm="1">
        <f t="array" ref="X285">RIGHT(N285,1)</f>
        <v>E</v>
      </c>
      <c r="Y285" s="708" cm="1">
        <f t="array" ref="Y285">COUNTIF($AA$2:$AA$9,Q285)+COUNTIF($AA$2:$AA$9,R285)+COUNTIF($AA$2:$AA$9,S285)+COUNTIF($AA$2:$AA$9,T285)+COUNTIF($AA$2:$AA$9,U285)+COUNTIF($AA$2:$AA$9,V285)+COUNTIF($AA$2:$AA$9,W285)+COUNTIF($AA$2:$AA$9,X285)</f>
        <v>6</v>
      </c>
      <c r="Z285" s="589"/>
      <c r="AA285" s="589"/>
      <c r="AB285" s="589"/>
      <c r="AC285" s="589"/>
      <c r="AD285" s="589"/>
      <c r="AE285" s="589"/>
      <c r="AF285" s="589"/>
      <c r="AG285" s="589"/>
      <c r="AH285" s="589"/>
      <c r="AI285" s="589"/>
      <c r="AJ285" s="589"/>
      <c r="AK285" s="589"/>
      <c r="AL285" s="589"/>
      <c r="AM285" s="589"/>
      <c r="AN285" s="589"/>
      <c r="AO285" s="589"/>
      <c r="AP285" s="589"/>
      <c r="AQ285" s="589"/>
      <c r="AR285" s="589"/>
      <c r="AS285" s="589"/>
      <c r="AT285" s="589"/>
      <c r="AU285" s="589"/>
      <c r="AV285" s="589"/>
      <c r="AW285" s="589"/>
      <c r="AX285" s="589"/>
      <c r="AY285" s="589"/>
      <c r="AZ285" s="589"/>
      <c r="BA285" s="589"/>
      <c r="BB285" s="589"/>
      <c r="BC285" s="589"/>
      <c r="BD285" s="589"/>
      <c r="BE285" s="589"/>
      <c r="BF285" s="589"/>
      <c r="BG285" s="589"/>
      <c r="BH285" s="589"/>
      <c r="BI285" s="589"/>
      <c r="BJ285" s="589"/>
      <c r="BK285" s="589"/>
      <c r="BL285" s="589"/>
    </row>
    <row r="286" spans="1:64" ht="14.25" customHeight="1">
      <c r="A286" s="691" t="s">
        <v>623</v>
      </c>
      <c r="B286" s="589"/>
      <c r="C286" s="589"/>
      <c r="D286" s="589"/>
      <c r="E286" s="589"/>
      <c r="F286" s="591">
        <v>285</v>
      </c>
      <c r="G286" s="691" t="s">
        <v>197</v>
      </c>
      <c r="H286" s="691" t="s">
        <v>187</v>
      </c>
      <c r="I286" s="691" t="s">
        <v>167</v>
      </c>
      <c r="J286" s="691" t="s">
        <v>147</v>
      </c>
      <c r="K286" s="691" t="s">
        <v>125</v>
      </c>
      <c r="L286" s="691" t="s">
        <v>177</v>
      </c>
      <c r="M286" s="691" t="s">
        <v>157</v>
      </c>
      <c r="N286" s="691" t="s">
        <v>207</v>
      </c>
      <c r="O286" s="589"/>
      <c r="P286" s="717" cm="1">
        <f t="array" ref="P286">F286</f>
        <v>285</v>
      </c>
      <c r="Q286" s="620" t="str" cm="1">
        <f t="array" ref="Q286">RIGHT(G286,1)</f>
        <v>H</v>
      </c>
      <c r="R286" s="590" t="str" cm="1">
        <f t="array" ref="R286">RIGHT(H286,1)</f>
        <v>G</v>
      </c>
      <c r="S286" s="590" t="str" cm="1">
        <f t="array" ref="S286">RIGHT(I286,1)</f>
        <v>E</v>
      </c>
      <c r="T286" s="590" t="str" cm="1">
        <f t="array" ref="T286">RIGHT(J286,1)</f>
        <v>C</v>
      </c>
      <c r="U286" s="590" t="str" cm="1">
        <f t="array" ref="U286">RIGHT(K286,1)</f>
        <v>A</v>
      </c>
      <c r="V286" s="590" t="str" cm="1">
        <f t="array" ref="V286">RIGHT(L286,1)</f>
        <v>F</v>
      </c>
      <c r="W286" s="590" t="str" cm="1">
        <f t="array" ref="W286">RIGHT(M286,1)</f>
        <v>D</v>
      </c>
      <c r="X286" s="590" t="str" cm="1">
        <f t="array" ref="X286">RIGHT(N286,1)</f>
        <v>I</v>
      </c>
      <c r="Y286" s="708" cm="1">
        <f t="array" ref="Y286">COUNTIF($AA$2:$AA$9,Q286)+COUNTIF($AA$2:$AA$9,R286)+COUNTIF($AA$2:$AA$9,S286)+COUNTIF($AA$2:$AA$9,T286)+COUNTIF($AA$2:$AA$9,U286)+COUNTIF($AA$2:$AA$9,V286)+COUNTIF($AA$2:$AA$9,W286)+COUNTIF($AA$2:$AA$9,X286)</f>
        <v>6</v>
      </c>
      <c r="Z286" s="589"/>
      <c r="AA286" s="589"/>
      <c r="AB286" s="589"/>
      <c r="AC286" s="589"/>
      <c r="AD286" s="589"/>
      <c r="AE286" s="589"/>
      <c r="AF286" s="589"/>
      <c r="AG286" s="589"/>
      <c r="AH286" s="589"/>
      <c r="AI286" s="589"/>
      <c r="AJ286" s="589"/>
      <c r="AK286" s="589"/>
      <c r="AL286" s="589"/>
      <c r="AM286" s="589"/>
      <c r="AN286" s="589"/>
      <c r="AO286" s="589"/>
      <c r="AP286" s="589"/>
      <c r="AQ286" s="589"/>
      <c r="AR286" s="589"/>
      <c r="AS286" s="589"/>
      <c r="AT286" s="589"/>
      <c r="AU286" s="589"/>
      <c r="AV286" s="589"/>
      <c r="AW286" s="589"/>
      <c r="AX286" s="589"/>
      <c r="AY286" s="589"/>
      <c r="AZ286" s="589"/>
      <c r="BA286" s="589"/>
      <c r="BB286" s="589"/>
      <c r="BC286" s="589"/>
      <c r="BD286" s="589"/>
      <c r="BE286" s="589"/>
      <c r="BF286" s="589"/>
      <c r="BG286" s="589"/>
      <c r="BH286" s="589"/>
      <c r="BI286" s="589"/>
      <c r="BJ286" s="589"/>
      <c r="BK286" s="589"/>
      <c r="BL286" s="589"/>
    </row>
    <row r="287" spans="1:64" ht="14.25" customHeight="1">
      <c r="A287" s="691" t="s">
        <v>624</v>
      </c>
      <c r="B287" s="589"/>
      <c r="C287" s="589"/>
      <c r="D287" s="589"/>
      <c r="E287" s="589"/>
      <c r="F287" s="591">
        <v>286</v>
      </c>
      <c r="G287" s="691" t="s">
        <v>197</v>
      </c>
      <c r="H287" s="691" t="s">
        <v>217</v>
      </c>
      <c r="I287" s="691" t="s">
        <v>137</v>
      </c>
      <c r="J287" s="691" t="s">
        <v>125</v>
      </c>
      <c r="K287" s="691" t="s">
        <v>207</v>
      </c>
      <c r="L287" s="691" t="s">
        <v>187</v>
      </c>
      <c r="M287" s="691" t="s">
        <v>237</v>
      </c>
      <c r="N287" s="691" t="s">
        <v>227</v>
      </c>
      <c r="O287" s="589"/>
      <c r="P287" s="717" cm="1">
        <f t="array" ref="P287">F287</f>
        <v>286</v>
      </c>
      <c r="Q287" s="620" t="str" cm="1">
        <f t="array" ref="Q287">RIGHT(G287,1)</f>
        <v>H</v>
      </c>
      <c r="R287" s="590" t="str" cm="1">
        <f t="array" ref="R287">RIGHT(H287,1)</f>
        <v>J</v>
      </c>
      <c r="S287" s="590" t="str" cm="1">
        <f t="array" ref="S287">RIGHT(I287,1)</f>
        <v>B</v>
      </c>
      <c r="T287" s="590" t="str" cm="1">
        <f t="array" ref="T287">RIGHT(J287,1)</f>
        <v>A</v>
      </c>
      <c r="U287" s="590" t="str" cm="1">
        <f t="array" ref="U287">RIGHT(K287,1)</f>
        <v>I</v>
      </c>
      <c r="V287" s="590" t="str" cm="1">
        <f t="array" ref="V287">RIGHT(L287,1)</f>
        <v>G</v>
      </c>
      <c r="W287" s="590" t="str" cm="1">
        <f t="array" ref="W287">RIGHT(M287,1)</f>
        <v>L</v>
      </c>
      <c r="X287" s="590" t="str" cm="1">
        <f t="array" ref="X287">RIGHT(N287,1)</f>
        <v>K</v>
      </c>
      <c r="Y287" s="708" cm="1">
        <f t="array" ref="Y287">COUNTIF($AA$2:$AA$9,Q287)+COUNTIF($AA$2:$AA$9,R287)+COUNTIF($AA$2:$AA$9,S287)+COUNTIF($AA$2:$AA$9,T287)+COUNTIF($AA$2:$AA$9,U287)+COUNTIF($AA$2:$AA$9,V287)+COUNTIF($AA$2:$AA$9,W287)+COUNTIF($AA$2:$AA$9,X287)</f>
        <v>4</v>
      </c>
      <c r="Z287" s="589"/>
      <c r="AA287" s="589"/>
      <c r="AB287" s="589"/>
      <c r="AC287" s="589"/>
      <c r="AD287" s="589"/>
      <c r="AE287" s="589"/>
      <c r="AF287" s="589"/>
      <c r="AG287" s="589"/>
      <c r="AH287" s="589"/>
      <c r="AI287" s="589"/>
      <c r="AJ287" s="589"/>
      <c r="AK287" s="589"/>
      <c r="AL287" s="589"/>
      <c r="AM287" s="589"/>
      <c r="AN287" s="589"/>
      <c r="AO287" s="589"/>
      <c r="AP287" s="589"/>
      <c r="AQ287" s="589"/>
      <c r="AR287" s="589"/>
      <c r="AS287" s="589"/>
      <c r="AT287" s="589"/>
      <c r="AU287" s="589"/>
      <c r="AV287" s="589"/>
      <c r="AW287" s="589"/>
      <c r="AX287" s="589"/>
      <c r="AY287" s="589"/>
      <c r="AZ287" s="589"/>
      <c r="BA287" s="589"/>
      <c r="BB287" s="589"/>
      <c r="BC287" s="589"/>
      <c r="BD287" s="589"/>
      <c r="BE287" s="589"/>
      <c r="BF287" s="589"/>
      <c r="BG287" s="589"/>
      <c r="BH287" s="589"/>
      <c r="BI287" s="589"/>
      <c r="BJ287" s="589"/>
      <c r="BK287" s="589"/>
      <c r="BL287" s="589"/>
    </row>
    <row r="288" spans="1:64" ht="14.25" customHeight="1">
      <c r="A288" s="691" t="s">
        <v>625</v>
      </c>
      <c r="B288" s="589"/>
      <c r="C288" s="589"/>
      <c r="D288" s="589"/>
      <c r="E288" s="589"/>
      <c r="F288" s="591">
        <v>287</v>
      </c>
      <c r="G288" s="691" t="s">
        <v>197</v>
      </c>
      <c r="H288" s="691" t="s">
        <v>217</v>
      </c>
      <c r="I288" s="691" t="s">
        <v>137</v>
      </c>
      <c r="J288" s="691" t="s">
        <v>125</v>
      </c>
      <c r="K288" s="691" t="s">
        <v>207</v>
      </c>
      <c r="L288" s="691" t="s">
        <v>177</v>
      </c>
      <c r="M288" s="691" t="s">
        <v>237</v>
      </c>
      <c r="N288" s="691" t="s">
        <v>227</v>
      </c>
      <c r="O288" s="589"/>
      <c r="P288" s="717" cm="1">
        <f t="array" ref="P288">F288</f>
        <v>287</v>
      </c>
      <c r="Q288" s="620" t="str" cm="1">
        <f t="array" ref="Q288">RIGHT(G288,1)</f>
        <v>H</v>
      </c>
      <c r="R288" s="590" t="str" cm="1">
        <f t="array" ref="R288">RIGHT(H288,1)</f>
        <v>J</v>
      </c>
      <c r="S288" s="590" t="str" cm="1">
        <f t="array" ref="S288">RIGHT(I288,1)</f>
        <v>B</v>
      </c>
      <c r="T288" s="590" t="str" cm="1">
        <f t="array" ref="T288">RIGHT(J288,1)</f>
        <v>A</v>
      </c>
      <c r="U288" s="590" t="str" cm="1">
        <f t="array" ref="U288">RIGHT(K288,1)</f>
        <v>I</v>
      </c>
      <c r="V288" s="590" t="str" cm="1">
        <f t="array" ref="V288">RIGHT(L288,1)</f>
        <v>F</v>
      </c>
      <c r="W288" s="590" t="str" cm="1">
        <f t="array" ref="W288">RIGHT(M288,1)</f>
        <v>L</v>
      </c>
      <c r="X288" s="590" t="str" cm="1">
        <f t="array" ref="X288">RIGHT(N288,1)</f>
        <v>K</v>
      </c>
      <c r="Y288" s="708" cm="1">
        <f t="array" ref="Y288">COUNTIF($AA$2:$AA$9,Q288)+COUNTIF($AA$2:$AA$9,R288)+COUNTIF($AA$2:$AA$9,S288)+COUNTIF($AA$2:$AA$9,T288)+COUNTIF($AA$2:$AA$9,U288)+COUNTIF($AA$2:$AA$9,V288)+COUNTIF($AA$2:$AA$9,W288)+COUNTIF($AA$2:$AA$9,X288)</f>
        <v>5</v>
      </c>
      <c r="Z288" s="589"/>
      <c r="AA288" s="589"/>
      <c r="AB288" s="589"/>
      <c r="AC288" s="589"/>
      <c r="AD288" s="589"/>
      <c r="AE288" s="589"/>
      <c r="AF288" s="589"/>
      <c r="AG288" s="589"/>
      <c r="AH288" s="589"/>
      <c r="AI288" s="589"/>
      <c r="AJ288" s="589"/>
      <c r="AK288" s="589"/>
      <c r="AL288" s="589"/>
      <c r="AM288" s="589"/>
      <c r="AN288" s="589"/>
      <c r="AO288" s="589"/>
      <c r="AP288" s="589"/>
      <c r="AQ288" s="589"/>
      <c r="AR288" s="589"/>
      <c r="AS288" s="589"/>
      <c r="AT288" s="589"/>
      <c r="AU288" s="589"/>
      <c r="AV288" s="589"/>
      <c r="AW288" s="589"/>
      <c r="AX288" s="589"/>
      <c r="AY288" s="589"/>
      <c r="AZ288" s="589"/>
      <c r="BA288" s="589"/>
      <c r="BB288" s="589"/>
      <c r="BC288" s="589"/>
      <c r="BD288" s="589"/>
      <c r="BE288" s="589"/>
      <c r="BF288" s="589"/>
      <c r="BG288" s="589"/>
      <c r="BH288" s="589"/>
      <c r="BI288" s="589"/>
      <c r="BJ288" s="589"/>
      <c r="BK288" s="589"/>
      <c r="BL288" s="589"/>
    </row>
    <row r="289" spans="1:64" ht="14.25" customHeight="1">
      <c r="A289" s="691" t="s">
        <v>626</v>
      </c>
      <c r="B289" s="589"/>
      <c r="C289" s="589"/>
      <c r="D289" s="589"/>
      <c r="E289" s="589"/>
      <c r="F289" s="591">
        <v>288</v>
      </c>
      <c r="G289" s="691" t="s">
        <v>207</v>
      </c>
      <c r="H289" s="691" t="s">
        <v>217</v>
      </c>
      <c r="I289" s="691" t="s">
        <v>137</v>
      </c>
      <c r="J289" s="691" t="s">
        <v>177</v>
      </c>
      <c r="K289" s="691" t="s">
        <v>125</v>
      </c>
      <c r="L289" s="691" t="s">
        <v>187</v>
      </c>
      <c r="M289" s="691" t="s">
        <v>237</v>
      </c>
      <c r="N289" s="691" t="s">
        <v>227</v>
      </c>
      <c r="O289" s="589"/>
      <c r="P289" s="717" cm="1">
        <f t="array" ref="P289">F289</f>
        <v>288</v>
      </c>
      <c r="Q289" s="620" t="str" cm="1">
        <f t="array" ref="Q289">RIGHT(G289,1)</f>
        <v>I</v>
      </c>
      <c r="R289" s="590" t="str" cm="1">
        <f t="array" ref="R289">RIGHT(H289,1)</f>
        <v>J</v>
      </c>
      <c r="S289" s="590" t="str" cm="1">
        <f t="array" ref="S289">RIGHT(I289,1)</f>
        <v>B</v>
      </c>
      <c r="T289" s="590" t="str" cm="1">
        <f t="array" ref="T289">RIGHT(J289,1)</f>
        <v>F</v>
      </c>
      <c r="U289" s="590" t="str" cm="1">
        <f t="array" ref="U289">RIGHT(K289,1)</f>
        <v>A</v>
      </c>
      <c r="V289" s="590" t="str" cm="1">
        <f t="array" ref="V289">RIGHT(L289,1)</f>
        <v>G</v>
      </c>
      <c r="W289" s="590" t="str" cm="1">
        <f t="array" ref="W289">RIGHT(M289,1)</f>
        <v>L</v>
      </c>
      <c r="X289" s="590" t="str" cm="1">
        <f t="array" ref="X289">RIGHT(N289,1)</f>
        <v>K</v>
      </c>
      <c r="Y289" s="708" cm="1">
        <f t="array" ref="Y289">COUNTIF($AA$2:$AA$9,Q289)+COUNTIF($AA$2:$AA$9,R289)+COUNTIF($AA$2:$AA$9,S289)+COUNTIF($AA$2:$AA$9,T289)+COUNTIF($AA$2:$AA$9,U289)+COUNTIF($AA$2:$AA$9,V289)+COUNTIF($AA$2:$AA$9,W289)+COUNTIF($AA$2:$AA$9,X289)</f>
        <v>5</v>
      </c>
      <c r="Z289" s="589"/>
      <c r="AA289" s="589"/>
      <c r="AB289" s="589"/>
      <c r="AC289" s="589"/>
      <c r="AD289" s="589"/>
      <c r="AE289" s="589"/>
      <c r="AF289" s="589"/>
      <c r="AG289" s="589"/>
      <c r="AH289" s="589"/>
      <c r="AI289" s="589"/>
      <c r="AJ289" s="589"/>
      <c r="AK289" s="589"/>
      <c r="AL289" s="589"/>
      <c r="AM289" s="589"/>
      <c r="AN289" s="589"/>
      <c r="AO289" s="589"/>
      <c r="AP289" s="589"/>
      <c r="AQ289" s="589"/>
      <c r="AR289" s="589"/>
      <c r="AS289" s="589"/>
      <c r="AT289" s="589"/>
      <c r="AU289" s="589"/>
      <c r="AV289" s="589"/>
      <c r="AW289" s="589"/>
      <c r="AX289" s="589"/>
      <c r="AY289" s="589"/>
      <c r="AZ289" s="589"/>
      <c r="BA289" s="589"/>
      <c r="BB289" s="589"/>
      <c r="BC289" s="589"/>
      <c r="BD289" s="589"/>
      <c r="BE289" s="589"/>
      <c r="BF289" s="589"/>
      <c r="BG289" s="589"/>
      <c r="BH289" s="589"/>
      <c r="BI289" s="589"/>
      <c r="BJ289" s="589"/>
      <c r="BK289" s="589"/>
      <c r="BL289" s="589"/>
    </row>
    <row r="290" spans="1:64" ht="14.25" customHeight="1">
      <c r="A290" s="691" t="s">
        <v>627</v>
      </c>
      <c r="B290" s="589"/>
      <c r="C290" s="589"/>
      <c r="D290" s="589"/>
      <c r="E290" s="589"/>
      <c r="F290" s="591">
        <v>289</v>
      </c>
      <c r="G290" s="691" t="s">
        <v>197</v>
      </c>
      <c r="H290" s="691" t="s">
        <v>217</v>
      </c>
      <c r="I290" s="691" t="s">
        <v>137</v>
      </c>
      <c r="J290" s="691" t="s">
        <v>177</v>
      </c>
      <c r="K290" s="691" t="s">
        <v>125</v>
      </c>
      <c r="L290" s="691" t="s">
        <v>187</v>
      </c>
      <c r="M290" s="691" t="s">
        <v>237</v>
      </c>
      <c r="N290" s="691" t="s">
        <v>227</v>
      </c>
      <c r="O290" s="589"/>
      <c r="P290" s="717" cm="1">
        <f t="array" ref="P290">F290</f>
        <v>289</v>
      </c>
      <c r="Q290" s="620" t="str" cm="1">
        <f t="array" ref="Q290">RIGHT(G290,1)</f>
        <v>H</v>
      </c>
      <c r="R290" s="590" t="str" cm="1">
        <f t="array" ref="R290">RIGHT(H290,1)</f>
        <v>J</v>
      </c>
      <c r="S290" s="590" t="str" cm="1">
        <f t="array" ref="S290">RIGHT(I290,1)</f>
        <v>B</v>
      </c>
      <c r="T290" s="590" t="str" cm="1">
        <f t="array" ref="T290">RIGHT(J290,1)</f>
        <v>F</v>
      </c>
      <c r="U290" s="590" t="str" cm="1">
        <f t="array" ref="U290">RIGHT(K290,1)</f>
        <v>A</v>
      </c>
      <c r="V290" s="590" t="str" cm="1">
        <f t="array" ref="V290">RIGHT(L290,1)</f>
        <v>G</v>
      </c>
      <c r="W290" s="590" t="str" cm="1">
        <f t="array" ref="W290">RIGHT(M290,1)</f>
        <v>L</v>
      </c>
      <c r="X290" s="590" t="str" cm="1">
        <f t="array" ref="X290">RIGHT(N290,1)</f>
        <v>K</v>
      </c>
      <c r="Y290" s="708" cm="1">
        <f t="array" ref="Y290">COUNTIF($AA$2:$AA$9,Q290)+COUNTIF($AA$2:$AA$9,R290)+COUNTIF($AA$2:$AA$9,S290)+COUNTIF($AA$2:$AA$9,T290)+COUNTIF($AA$2:$AA$9,U290)+COUNTIF($AA$2:$AA$9,V290)+COUNTIF($AA$2:$AA$9,W290)+COUNTIF($AA$2:$AA$9,X290)</f>
        <v>4</v>
      </c>
      <c r="Z290" s="589"/>
      <c r="AA290" s="589"/>
      <c r="AB290" s="589"/>
      <c r="AC290" s="589"/>
      <c r="AD290" s="589"/>
      <c r="AE290" s="589"/>
      <c r="AF290" s="589"/>
      <c r="AG290" s="589"/>
      <c r="AH290" s="589"/>
      <c r="AI290" s="589"/>
      <c r="AJ290" s="589"/>
      <c r="AK290" s="589"/>
      <c r="AL290" s="589"/>
      <c r="AM290" s="589"/>
      <c r="AN290" s="589"/>
      <c r="AO290" s="589"/>
      <c r="AP290" s="589"/>
      <c r="AQ290" s="589"/>
      <c r="AR290" s="589"/>
      <c r="AS290" s="589"/>
      <c r="AT290" s="589"/>
      <c r="AU290" s="589"/>
      <c r="AV290" s="589"/>
      <c r="AW290" s="589"/>
      <c r="AX290" s="589"/>
      <c r="AY290" s="589"/>
      <c r="AZ290" s="589"/>
      <c r="BA290" s="589"/>
      <c r="BB290" s="589"/>
      <c r="BC290" s="589"/>
      <c r="BD290" s="589"/>
      <c r="BE290" s="589"/>
      <c r="BF290" s="589"/>
      <c r="BG290" s="589"/>
      <c r="BH290" s="589"/>
      <c r="BI290" s="589"/>
      <c r="BJ290" s="589"/>
      <c r="BK290" s="589"/>
      <c r="BL290" s="589"/>
    </row>
    <row r="291" spans="1:64" ht="14.25" customHeight="1">
      <c r="A291" s="691" t="s">
        <v>628</v>
      </c>
      <c r="B291" s="589"/>
      <c r="C291" s="589"/>
      <c r="D291" s="589"/>
      <c r="E291" s="589"/>
      <c r="F291" s="591">
        <v>290</v>
      </c>
      <c r="G291" s="691" t="s">
        <v>197</v>
      </c>
      <c r="H291" s="691" t="s">
        <v>187</v>
      </c>
      <c r="I291" s="691" t="s">
        <v>137</v>
      </c>
      <c r="J291" s="691" t="s">
        <v>125</v>
      </c>
      <c r="K291" s="691" t="s">
        <v>207</v>
      </c>
      <c r="L291" s="691" t="s">
        <v>177</v>
      </c>
      <c r="M291" s="691" t="s">
        <v>237</v>
      </c>
      <c r="N291" s="691" t="s">
        <v>227</v>
      </c>
      <c r="O291" s="589"/>
      <c r="P291" s="717" cm="1">
        <f t="array" ref="P291">F291</f>
        <v>290</v>
      </c>
      <c r="Q291" s="620" t="str" cm="1">
        <f t="array" ref="Q291">RIGHT(G291,1)</f>
        <v>H</v>
      </c>
      <c r="R291" s="590" t="str" cm="1">
        <f t="array" ref="R291">RIGHT(H291,1)</f>
        <v>G</v>
      </c>
      <c r="S291" s="590" t="str" cm="1">
        <f t="array" ref="S291">RIGHT(I291,1)</f>
        <v>B</v>
      </c>
      <c r="T291" s="590" t="str" cm="1">
        <f t="array" ref="T291">RIGHT(J291,1)</f>
        <v>A</v>
      </c>
      <c r="U291" s="590" t="str" cm="1">
        <f t="array" ref="U291">RIGHT(K291,1)</f>
        <v>I</v>
      </c>
      <c r="V291" s="590" t="str" cm="1">
        <f t="array" ref="V291">RIGHT(L291,1)</f>
        <v>F</v>
      </c>
      <c r="W291" s="590" t="str" cm="1">
        <f t="array" ref="W291">RIGHT(M291,1)</f>
        <v>L</v>
      </c>
      <c r="X291" s="590" t="str" cm="1">
        <f t="array" ref="X291">RIGHT(N291,1)</f>
        <v>K</v>
      </c>
      <c r="Y291" s="708" cm="1">
        <f t="array" ref="Y291">COUNTIF($AA$2:$AA$9,Q291)+COUNTIF($AA$2:$AA$9,R291)+COUNTIF($AA$2:$AA$9,S291)+COUNTIF($AA$2:$AA$9,T291)+COUNTIF($AA$2:$AA$9,U291)+COUNTIF($AA$2:$AA$9,V291)+COUNTIF($AA$2:$AA$9,W291)+COUNTIF($AA$2:$AA$9,X291)</f>
        <v>4</v>
      </c>
      <c r="Z291" s="589"/>
      <c r="AA291" s="589"/>
      <c r="AB291" s="589"/>
      <c r="AC291" s="589"/>
      <c r="AD291" s="589"/>
      <c r="AE291" s="589"/>
      <c r="AF291" s="589"/>
      <c r="AG291" s="589"/>
      <c r="AH291" s="589"/>
      <c r="AI291" s="589"/>
      <c r="AJ291" s="589"/>
      <c r="AK291" s="589"/>
      <c r="AL291" s="589"/>
      <c r="AM291" s="589"/>
      <c r="AN291" s="589"/>
      <c r="AO291" s="589"/>
      <c r="AP291" s="589"/>
      <c r="AQ291" s="589"/>
      <c r="AR291" s="589"/>
      <c r="AS291" s="589"/>
      <c r="AT291" s="589"/>
      <c r="AU291" s="589"/>
      <c r="AV291" s="589"/>
      <c r="AW291" s="589"/>
      <c r="AX291" s="589"/>
      <c r="AY291" s="589"/>
      <c r="AZ291" s="589"/>
      <c r="BA291" s="589"/>
      <c r="BB291" s="589"/>
      <c r="BC291" s="589"/>
      <c r="BD291" s="589"/>
      <c r="BE291" s="589"/>
      <c r="BF291" s="589"/>
      <c r="BG291" s="589"/>
      <c r="BH291" s="589"/>
      <c r="BI291" s="589"/>
      <c r="BJ291" s="589"/>
      <c r="BK291" s="589"/>
      <c r="BL291" s="589"/>
    </row>
    <row r="292" spans="1:64" ht="14.25" customHeight="1">
      <c r="A292" s="691" t="s">
        <v>629</v>
      </c>
      <c r="B292" s="589"/>
      <c r="C292" s="589"/>
      <c r="D292" s="589"/>
      <c r="E292" s="589"/>
      <c r="F292" s="591">
        <v>291</v>
      </c>
      <c r="G292" s="691" t="s">
        <v>197</v>
      </c>
      <c r="H292" s="691" t="s">
        <v>217</v>
      </c>
      <c r="I292" s="691" t="s">
        <v>137</v>
      </c>
      <c r="J292" s="691" t="s">
        <v>177</v>
      </c>
      <c r="K292" s="691" t="s">
        <v>125</v>
      </c>
      <c r="L292" s="691" t="s">
        <v>187</v>
      </c>
      <c r="M292" s="691" t="s">
        <v>237</v>
      </c>
      <c r="N292" s="691" t="s">
        <v>207</v>
      </c>
      <c r="O292" s="589"/>
      <c r="P292" s="717" cm="1">
        <f t="array" ref="P292">F292</f>
        <v>291</v>
      </c>
      <c r="Q292" s="620" t="str" cm="1">
        <f t="array" ref="Q292">RIGHT(G292,1)</f>
        <v>H</v>
      </c>
      <c r="R292" s="590" t="str" cm="1">
        <f t="array" ref="R292">RIGHT(H292,1)</f>
        <v>J</v>
      </c>
      <c r="S292" s="590" t="str" cm="1">
        <f t="array" ref="S292">RIGHT(I292,1)</f>
        <v>B</v>
      </c>
      <c r="T292" s="590" t="str" cm="1">
        <f t="array" ref="T292">RIGHT(J292,1)</f>
        <v>F</v>
      </c>
      <c r="U292" s="590" t="str" cm="1">
        <f t="array" ref="U292">RIGHT(K292,1)</f>
        <v>A</v>
      </c>
      <c r="V292" s="590" t="str" cm="1">
        <f t="array" ref="V292">RIGHT(L292,1)</f>
        <v>G</v>
      </c>
      <c r="W292" s="590" t="str" cm="1">
        <f t="array" ref="W292">RIGHT(M292,1)</f>
        <v>L</v>
      </c>
      <c r="X292" s="590" t="str" cm="1">
        <f t="array" ref="X292">RIGHT(N292,1)</f>
        <v>I</v>
      </c>
      <c r="Y292" s="708" cm="1">
        <f t="array" ref="Y292">COUNTIF($AA$2:$AA$9,Q292)+COUNTIF($AA$2:$AA$9,R292)+COUNTIF($AA$2:$AA$9,S292)+COUNTIF($AA$2:$AA$9,T292)+COUNTIF($AA$2:$AA$9,U292)+COUNTIF($AA$2:$AA$9,V292)+COUNTIF($AA$2:$AA$9,W292)+COUNTIF($AA$2:$AA$9,X292)</f>
        <v>5</v>
      </c>
      <c r="Z292" s="589"/>
      <c r="AA292" s="589"/>
      <c r="AB292" s="589"/>
      <c r="AC292" s="589"/>
      <c r="AD292" s="589"/>
      <c r="AE292" s="589"/>
      <c r="AF292" s="589"/>
      <c r="AG292" s="589"/>
      <c r="AH292" s="589"/>
      <c r="AI292" s="589"/>
      <c r="AJ292" s="589"/>
      <c r="AK292" s="589"/>
      <c r="AL292" s="589"/>
      <c r="AM292" s="589"/>
      <c r="AN292" s="589"/>
      <c r="AO292" s="589"/>
      <c r="AP292" s="589"/>
      <c r="AQ292" s="589"/>
      <c r="AR292" s="589"/>
      <c r="AS292" s="589"/>
      <c r="AT292" s="589"/>
      <c r="AU292" s="589"/>
      <c r="AV292" s="589"/>
      <c r="AW292" s="589"/>
      <c r="AX292" s="589"/>
      <c r="AY292" s="589"/>
      <c r="AZ292" s="589"/>
      <c r="BA292" s="589"/>
      <c r="BB292" s="589"/>
      <c r="BC292" s="589"/>
      <c r="BD292" s="589"/>
      <c r="BE292" s="589"/>
      <c r="BF292" s="589"/>
      <c r="BG292" s="589"/>
      <c r="BH292" s="589"/>
      <c r="BI292" s="589"/>
      <c r="BJ292" s="589"/>
      <c r="BK292" s="589"/>
      <c r="BL292" s="589"/>
    </row>
    <row r="293" spans="1:64" ht="14.25" customHeight="1">
      <c r="A293" s="691" t="s">
        <v>630</v>
      </c>
      <c r="B293" s="589"/>
      <c r="C293" s="589"/>
      <c r="D293" s="589"/>
      <c r="E293" s="589"/>
      <c r="F293" s="591">
        <v>292</v>
      </c>
      <c r="G293" s="691" t="s">
        <v>197</v>
      </c>
      <c r="H293" s="691" t="s">
        <v>217</v>
      </c>
      <c r="I293" s="691" t="s">
        <v>137</v>
      </c>
      <c r="J293" s="691" t="s">
        <v>177</v>
      </c>
      <c r="K293" s="691" t="s">
        <v>125</v>
      </c>
      <c r="L293" s="691" t="s">
        <v>187</v>
      </c>
      <c r="M293" s="691" t="s">
        <v>207</v>
      </c>
      <c r="N293" s="691" t="s">
        <v>227</v>
      </c>
      <c r="O293" s="589"/>
      <c r="P293" s="717" cm="1">
        <f t="array" ref="P293">F293</f>
        <v>292</v>
      </c>
      <c r="Q293" s="620" t="str" cm="1">
        <f t="array" ref="Q293">RIGHT(G293,1)</f>
        <v>H</v>
      </c>
      <c r="R293" s="590" t="str" cm="1">
        <f t="array" ref="R293">RIGHT(H293,1)</f>
        <v>J</v>
      </c>
      <c r="S293" s="590" t="str" cm="1">
        <f t="array" ref="S293">RIGHT(I293,1)</f>
        <v>B</v>
      </c>
      <c r="T293" s="590" t="str" cm="1">
        <f t="array" ref="T293">RIGHT(J293,1)</f>
        <v>F</v>
      </c>
      <c r="U293" s="590" t="str" cm="1">
        <f t="array" ref="U293">RIGHT(K293,1)</f>
        <v>A</v>
      </c>
      <c r="V293" s="590" t="str" cm="1">
        <f t="array" ref="V293">RIGHT(L293,1)</f>
        <v>G</v>
      </c>
      <c r="W293" s="590" t="str" cm="1">
        <f t="array" ref="W293">RIGHT(M293,1)</f>
        <v>I</v>
      </c>
      <c r="X293" s="590" t="str" cm="1">
        <f t="array" ref="X293">RIGHT(N293,1)</f>
        <v>K</v>
      </c>
      <c r="Y293" s="708" cm="1">
        <f t="array" ref="Y293">COUNTIF($AA$2:$AA$9,Q293)+COUNTIF($AA$2:$AA$9,R293)+COUNTIF($AA$2:$AA$9,S293)+COUNTIF($AA$2:$AA$9,T293)+COUNTIF($AA$2:$AA$9,U293)+COUNTIF($AA$2:$AA$9,V293)+COUNTIF($AA$2:$AA$9,W293)+COUNTIF($AA$2:$AA$9,X293)</f>
        <v>4</v>
      </c>
      <c r="Z293" s="589"/>
      <c r="AA293" s="589"/>
      <c r="AB293" s="589"/>
      <c r="AC293" s="589"/>
      <c r="AD293" s="589"/>
      <c r="AE293" s="589"/>
      <c r="AF293" s="589"/>
      <c r="AG293" s="589"/>
      <c r="AH293" s="589"/>
      <c r="AI293" s="589"/>
      <c r="AJ293" s="589"/>
      <c r="AK293" s="589"/>
      <c r="AL293" s="589"/>
      <c r="AM293" s="589"/>
      <c r="AN293" s="589"/>
      <c r="AO293" s="589"/>
      <c r="AP293" s="589"/>
      <c r="AQ293" s="589"/>
      <c r="AR293" s="589"/>
      <c r="AS293" s="589"/>
      <c r="AT293" s="589"/>
      <c r="AU293" s="589"/>
      <c r="AV293" s="589"/>
      <c r="AW293" s="589"/>
      <c r="AX293" s="589"/>
      <c r="AY293" s="589"/>
      <c r="AZ293" s="589"/>
      <c r="BA293" s="589"/>
      <c r="BB293" s="589"/>
      <c r="BC293" s="589"/>
      <c r="BD293" s="589"/>
      <c r="BE293" s="589"/>
      <c r="BF293" s="589"/>
      <c r="BG293" s="589"/>
      <c r="BH293" s="589"/>
      <c r="BI293" s="589"/>
      <c r="BJ293" s="589"/>
      <c r="BK293" s="589"/>
      <c r="BL293" s="589"/>
    </row>
    <row r="294" spans="1:64" ht="14.25" customHeight="1">
      <c r="A294" s="691" t="s">
        <v>631</v>
      </c>
      <c r="B294" s="589"/>
      <c r="C294" s="589"/>
      <c r="D294" s="589"/>
      <c r="E294" s="589"/>
      <c r="F294" s="591">
        <v>293</v>
      </c>
      <c r="G294" s="691" t="s">
        <v>167</v>
      </c>
      <c r="H294" s="691" t="s">
        <v>217</v>
      </c>
      <c r="I294" s="691" t="s">
        <v>137</v>
      </c>
      <c r="J294" s="691" t="s">
        <v>125</v>
      </c>
      <c r="K294" s="691" t="s">
        <v>207</v>
      </c>
      <c r="L294" s="691" t="s">
        <v>197</v>
      </c>
      <c r="M294" s="691" t="s">
        <v>237</v>
      </c>
      <c r="N294" s="691" t="s">
        <v>227</v>
      </c>
      <c r="O294" s="589"/>
      <c r="P294" s="717" cm="1">
        <f t="array" ref="P294">F294</f>
        <v>293</v>
      </c>
      <c r="Q294" s="620" t="str" cm="1">
        <f t="array" ref="Q294">RIGHT(G294,1)</f>
        <v>E</v>
      </c>
      <c r="R294" s="590" t="str" cm="1">
        <f t="array" ref="R294">RIGHT(H294,1)</f>
        <v>J</v>
      </c>
      <c r="S294" s="590" t="str" cm="1">
        <f t="array" ref="S294">RIGHT(I294,1)</f>
        <v>B</v>
      </c>
      <c r="T294" s="590" t="str" cm="1">
        <f t="array" ref="T294">RIGHT(J294,1)</f>
        <v>A</v>
      </c>
      <c r="U294" s="590" t="str" cm="1">
        <f t="array" ref="U294">RIGHT(K294,1)</f>
        <v>I</v>
      </c>
      <c r="V294" s="590" t="str" cm="1">
        <f t="array" ref="V294">RIGHT(L294,1)</f>
        <v>H</v>
      </c>
      <c r="W294" s="590" t="str" cm="1">
        <f t="array" ref="W294">RIGHT(M294,1)</f>
        <v>L</v>
      </c>
      <c r="X294" s="590" t="str" cm="1">
        <f t="array" ref="X294">RIGHT(N294,1)</f>
        <v>K</v>
      </c>
      <c r="Y294" s="708" cm="1">
        <f t="array" ref="Y294">COUNTIF($AA$2:$AA$9,Q294)+COUNTIF($AA$2:$AA$9,R294)+COUNTIF($AA$2:$AA$9,S294)+COUNTIF($AA$2:$AA$9,T294)+COUNTIF($AA$2:$AA$9,U294)+COUNTIF($AA$2:$AA$9,V294)+COUNTIF($AA$2:$AA$9,W294)+COUNTIF($AA$2:$AA$9,X294)</f>
        <v>5</v>
      </c>
      <c r="Z294" s="589"/>
      <c r="AA294" s="589"/>
      <c r="AB294" s="589"/>
      <c r="AC294" s="589"/>
      <c r="AD294" s="589"/>
      <c r="AE294" s="589"/>
      <c r="AF294" s="589"/>
      <c r="AG294" s="589"/>
      <c r="AH294" s="589"/>
      <c r="AI294" s="589"/>
      <c r="AJ294" s="589"/>
      <c r="AK294" s="589"/>
      <c r="AL294" s="589"/>
      <c r="AM294" s="589"/>
      <c r="AN294" s="589"/>
      <c r="AO294" s="589"/>
      <c r="AP294" s="589"/>
      <c r="AQ294" s="589"/>
      <c r="AR294" s="589"/>
      <c r="AS294" s="589"/>
      <c r="AT294" s="589"/>
      <c r="AU294" s="589"/>
      <c r="AV294" s="589"/>
      <c r="AW294" s="589"/>
      <c r="AX294" s="589"/>
      <c r="AY294" s="589"/>
      <c r="AZ294" s="589"/>
      <c r="BA294" s="589"/>
      <c r="BB294" s="589"/>
      <c r="BC294" s="589"/>
      <c r="BD294" s="589"/>
      <c r="BE294" s="589"/>
      <c r="BF294" s="589"/>
      <c r="BG294" s="589"/>
      <c r="BH294" s="589"/>
      <c r="BI294" s="589"/>
      <c r="BJ294" s="589"/>
      <c r="BK294" s="589"/>
      <c r="BL294" s="589"/>
    </row>
    <row r="295" spans="1:64" ht="14.25" customHeight="1">
      <c r="A295" s="691" t="s">
        <v>632</v>
      </c>
      <c r="B295" s="589"/>
      <c r="C295" s="589"/>
      <c r="D295" s="589"/>
      <c r="E295" s="589"/>
      <c r="F295" s="591">
        <v>294</v>
      </c>
      <c r="G295" s="691" t="s">
        <v>167</v>
      </c>
      <c r="H295" s="691" t="s">
        <v>217</v>
      </c>
      <c r="I295" s="691" t="s">
        <v>137</v>
      </c>
      <c r="J295" s="691" t="s">
        <v>125</v>
      </c>
      <c r="K295" s="691" t="s">
        <v>207</v>
      </c>
      <c r="L295" s="691" t="s">
        <v>187</v>
      </c>
      <c r="M295" s="691" t="s">
        <v>237</v>
      </c>
      <c r="N295" s="691" t="s">
        <v>227</v>
      </c>
      <c r="O295" s="589"/>
      <c r="P295" s="717" cm="1">
        <f t="array" ref="P295">F295</f>
        <v>294</v>
      </c>
      <c r="Q295" s="620" t="str" cm="1">
        <f t="array" ref="Q295">RIGHT(G295,1)</f>
        <v>E</v>
      </c>
      <c r="R295" s="590" t="str" cm="1">
        <f t="array" ref="R295">RIGHT(H295,1)</f>
        <v>J</v>
      </c>
      <c r="S295" s="590" t="str" cm="1">
        <f t="array" ref="S295">RIGHT(I295,1)</f>
        <v>B</v>
      </c>
      <c r="T295" s="590" t="str" cm="1">
        <f t="array" ref="T295">RIGHT(J295,1)</f>
        <v>A</v>
      </c>
      <c r="U295" s="590" t="str" cm="1">
        <f t="array" ref="U295">RIGHT(K295,1)</f>
        <v>I</v>
      </c>
      <c r="V295" s="590" t="str" cm="1">
        <f t="array" ref="V295">RIGHT(L295,1)</f>
        <v>G</v>
      </c>
      <c r="W295" s="590" t="str" cm="1">
        <f t="array" ref="W295">RIGHT(M295,1)</f>
        <v>L</v>
      </c>
      <c r="X295" s="590" t="str" cm="1">
        <f t="array" ref="X295">RIGHT(N295,1)</f>
        <v>K</v>
      </c>
      <c r="Y295" s="708" cm="1">
        <f t="array" ref="Y295">COUNTIF($AA$2:$AA$9,Q295)+COUNTIF($AA$2:$AA$9,R295)+COUNTIF($AA$2:$AA$9,S295)+COUNTIF($AA$2:$AA$9,T295)+COUNTIF($AA$2:$AA$9,U295)+COUNTIF($AA$2:$AA$9,V295)+COUNTIF($AA$2:$AA$9,W295)+COUNTIF($AA$2:$AA$9,X295)</f>
        <v>5</v>
      </c>
      <c r="Z295" s="589"/>
      <c r="AA295" s="589"/>
      <c r="AB295" s="589"/>
      <c r="AC295" s="589"/>
      <c r="AD295" s="589"/>
      <c r="AE295" s="589"/>
      <c r="AF295" s="589"/>
      <c r="AG295" s="589"/>
      <c r="AH295" s="589"/>
      <c r="AI295" s="589"/>
      <c r="AJ295" s="589"/>
      <c r="AK295" s="589"/>
      <c r="AL295" s="589"/>
      <c r="AM295" s="589"/>
      <c r="AN295" s="589"/>
      <c r="AO295" s="589"/>
      <c r="AP295" s="589"/>
      <c r="AQ295" s="589"/>
      <c r="AR295" s="589"/>
      <c r="AS295" s="589"/>
      <c r="AT295" s="589"/>
      <c r="AU295" s="589"/>
      <c r="AV295" s="589"/>
      <c r="AW295" s="589"/>
      <c r="AX295" s="589"/>
      <c r="AY295" s="589"/>
      <c r="AZ295" s="589"/>
      <c r="BA295" s="589"/>
      <c r="BB295" s="589"/>
      <c r="BC295" s="589"/>
      <c r="BD295" s="589"/>
      <c r="BE295" s="589"/>
      <c r="BF295" s="589"/>
      <c r="BG295" s="589"/>
      <c r="BH295" s="589"/>
      <c r="BI295" s="589"/>
      <c r="BJ295" s="589"/>
      <c r="BK295" s="589"/>
      <c r="BL295" s="589"/>
    </row>
    <row r="296" spans="1:64" ht="14.25" customHeight="1">
      <c r="A296" s="691" t="s">
        <v>633</v>
      </c>
      <c r="B296" s="589"/>
      <c r="C296" s="589"/>
      <c r="D296" s="589"/>
      <c r="E296" s="589"/>
      <c r="F296" s="591">
        <v>295</v>
      </c>
      <c r="G296" s="691" t="s">
        <v>167</v>
      </c>
      <c r="H296" s="691" t="s">
        <v>217</v>
      </c>
      <c r="I296" s="691" t="s">
        <v>137</v>
      </c>
      <c r="J296" s="691" t="s">
        <v>125</v>
      </c>
      <c r="K296" s="691" t="s">
        <v>197</v>
      </c>
      <c r="L296" s="691" t="s">
        <v>187</v>
      </c>
      <c r="M296" s="691" t="s">
        <v>237</v>
      </c>
      <c r="N296" s="691" t="s">
        <v>227</v>
      </c>
      <c r="O296" s="589"/>
      <c r="P296" s="717" cm="1">
        <f t="array" ref="P296">F296</f>
        <v>295</v>
      </c>
      <c r="Q296" s="620" t="str" cm="1">
        <f t="array" ref="Q296">RIGHT(G296,1)</f>
        <v>E</v>
      </c>
      <c r="R296" s="590" t="str" cm="1">
        <f t="array" ref="R296">RIGHT(H296,1)</f>
        <v>J</v>
      </c>
      <c r="S296" s="590" t="str" cm="1">
        <f t="array" ref="S296">RIGHT(I296,1)</f>
        <v>B</v>
      </c>
      <c r="T296" s="590" t="str" cm="1">
        <f t="array" ref="T296">RIGHT(J296,1)</f>
        <v>A</v>
      </c>
      <c r="U296" s="590" t="str" cm="1">
        <f t="array" ref="U296">RIGHT(K296,1)</f>
        <v>H</v>
      </c>
      <c r="V296" s="590" t="str" cm="1">
        <f t="array" ref="V296">RIGHT(L296,1)</f>
        <v>G</v>
      </c>
      <c r="W296" s="590" t="str" cm="1">
        <f t="array" ref="W296">RIGHT(M296,1)</f>
        <v>L</v>
      </c>
      <c r="X296" s="590" t="str" cm="1">
        <f t="array" ref="X296">RIGHT(N296,1)</f>
        <v>K</v>
      </c>
      <c r="Y296" s="708" cm="1">
        <f t="array" ref="Y296">COUNTIF($AA$2:$AA$9,Q296)+COUNTIF($AA$2:$AA$9,R296)+COUNTIF($AA$2:$AA$9,S296)+COUNTIF($AA$2:$AA$9,T296)+COUNTIF($AA$2:$AA$9,U296)+COUNTIF($AA$2:$AA$9,V296)+COUNTIF($AA$2:$AA$9,W296)+COUNTIF($AA$2:$AA$9,X296)</f>
        <v>4</v>
      </c>
      <c r="Z296" s="589"/>
      <c r="AA296" s="589"/>
      <c r="AB296" s="589"/>
      <c r="AC296" s="589"/>
      <c r="AD296" s="589"/>
      <c r="AE296" s="589"/>
      <c r="AF296" s="589"/>
      <c r="AG296" s="589"/>
      <c r="AH296" s="589"/>
      <c r="AI296" s="589"/>
      <c r="AJ296" s="589"/>
      <c r="AK296" s="589"/>
      <c r="AL296" s="589"/>
      <c r="AM296" s="589"/>
      <c r="AN296" s="589"/>
      <c r="AO296" s="589"/>
      <c r="AP296" s="589"/>
      <c r="AQ296" s="589"/>
      <c r="AR296" s="589"/>
      <c r="AS296" s="589"/>
      <c r="AT296" s="589"/>
      <c r="AU296" s="589"/>
      <c r="AV296" s="589"/>
      <c r="AW296" s="589"/>
      <c r="AX296" s="589"/>
      <c r="AY296" s="589"/>
      <c r="AZ296" s="589"/>
      <c r="BA296" s="589"/>
      <c r="BB296" s="589"/>
      <c r="BC296" s="589"/>
      <c r="BD296" s="589"/>
      <c r="BE296" s="589"/>
      <c r="BF296" s="589"/>
      <c r="BG296" s="589"/>
      <c r="BH296" s="589"/>
      <c r="BI296" s="589"/>
      <c r="BJ296" s="589"/>
      <c r="BK296" s="589"/>
      <c r="BL296" s="589"/>
    </row>
    <row r="297" spans="1:64" ht="14.25" customHeight="1">
      <c r="A297" s="691" t="s">
        <v>634</v>
      </c>
      <c r="B297" s="589"/>
      <c r="C297" s="589"/>
      <c r="D297" s="589"/>
      <c r="E297" s="589"/>
      <c r="F297" s="591">
        <v>296</v>
      </c>
      <c r="G297" s="691" t="s">
        <v>167</v>
      </c>
      <c r="H297" s="691" t="s">
        <v>187</v>
      </c>
      <c r="I297" s="691" t="s">
        <v>137</v>
      </c>
      <c r="J297" s="691" t="s">
        <v>125</v>
      </c>
      <c r="K297" s="691" t="s">
        <v>207</v>
      </c>
      <c r="L297" s="691" t="s">
        <v>197</v>
      </c>
      <c r="M297" s="691" t="s">
        <v>237</v>
      </c>
      <c r="N297" s="691" t="s">
        <v>227</v>
      </c>
      <c r="O297" s="589"/>
      <c r="P297" s="717" cm="1">
        <f t="array" ref="P297">F297</f>
        <v>296</v>
      </c>
      <c r="Q297" s="620" t="str" cm="1">
        <f t="array" ref="Q297">RIGHT(G297,1)</f>
        <v>E</v>
      </c>
      <c r="R297" s="590" t="str" cm="1">
        <f t="array" ref="R297">RIGHT(H297,1)</f>
        <v>G</v>
      </c>
      <c r="S297" s="590" t="str" cm="1">
        <f t="array" ref="S297">RIGHT(I297,1)</f>
        <v>B</v>
      </c>
      <c r="T297" s="590" t="str" cm="1">
        <f t="array" ref="T297">RIGHT(J297,1)</f>
        <v>A</v>
      </c>
      <c r="U297" s="590" t="str" cm="1">
        <f t="array" ref="U297">RIGHT(K297,1)</f>
        <v>I</v>
      </c>
      <c r="V297" s="590" t="str" cm="1">
        <f t="array" ref="V297">RIGHT(L297,1)</f>
        <v>H</v>
      </c>
      <c r="W297" s="590" t="str" cm="1">
        <f t="array" ref="W297">RIGHT(M297,1)</f>
        <v>L</v>
      </c>
      <c r="X297" s="590" t="str" cm="1">
        <f t="array" ref="X297">RIGHT(N297,1)</f>
        <v>K</v>
      </c>
      <c r="Y297" s="708" cm="1">
        <f t="array" ref="Y297">COUNTIF($AA$2:$AA$9,Q297)+COUNTIF($AA$2:$AA$9,R297)+COUNTIF($AA$2:$AA$9,S297)+COUNTIF($AA$2:$AA$9,T297)+COUNTIF($AA$2:$AA$9,U297)+COUNTIF($AA$2:$AA$9,V297)+COUNTIF($AA$2:$AA$9,W297)+COUNTIF($AA$2:$AA$9,X297)</f>
        <v>4</v>
      </c>
      <c r="Z297" s="589"/>
      <c r="AA297" s="589"/>
      <c r="AB297" s="589"/>
      <c r="AC297" s="589"/>
      <c r="AD297" s="589"/>
      <c r="AE297" s="589"/>
      <c r="AF297" s="589"/>
      <c r="AG297" s="589"/>
      <c r="AH297" s="589"/>
      <c r="AI297" s="589"/>
      <c r="AJ297" s="589"/>
      <c r="AK297" s="589"/>
      <c r="AL297" s="589"/>
      <c r="AM297" s="589"/>
      <c r="AN297" s="589"/>
      <c r="AO297" s="589"/>
      <c r="AP297" s="589"/>
      <c r="AQ297" s="589"/>
      <c r="AR297" s="589"/>
      <c r="AS297" s="589"/>
      <c r="AT297" s="589"/>
      <c r="AU297" s="589"/>
      <c r="AV297" s="589"/>
      <c r="AW297" s="589"/>
      <c r="AX297" s="589"/>
      <c r="AY297" s="589"/>
      <c r="AZ297" s="589"/>
      <c r="BA297" s="589"/>
      <c r="BB297" s="589"/>
      <c r="BC297" s="589"/>
      <c r="BD297" s="589"/>
      <c r="BE297" s="589"/>
      <c r="BF297" s="589"/>
      <c r="BG297" s="589"/>
      <c r="BH297" s="589"/>
      <c r="BI297" s="589"/>
      <c r="BJ297" s="589"/>
      <c r="BK297" s="589"/>
      <c r="BL297" s="589"/>
    </row>
    <row r="298" spans="1:64" ht="14.25" customHeight="1">
      <c r="A298" s="691" t="s">
        <v>635</v>
      </c>
      <c r="B298" s="589"/>
      <c r="C298" s="589"/>
      <c r="D298" s="589"/>
      <c r="E298" s="589"/>
      <c r="F298" s="591">
        <v>297</v>
      </c>
      <c r="G298" s="691" t="s">
        <v>167</v>
      </c>
      <c r="H298" s="691" t="s">
        <v>217</v>
      </c>
      <c r="I298" s="691" t="s">
        <v>137</v>
      </c>
      <c r="J298" s="691" t="s">
        <v>125</v>
      </c>
      <c r="K298" s="691" t="s">
        <v>197</v>
      </c>
      <c r="L298" s="691" t="s">
        <v>187</v>
      </c>
      <c r="M298" s="691" t="s">
        <v>237</v>
      </c>
      <c r="N298" s="691" t="s">
        <v>207</v>
      </c>
      <c r="O298" s="589"/>
      <c r="P298" s="717" cm="1">
        <f t="array" ref="P298">F298</f>
        <v>297</v>
      </c>
      <c r="Q298" s="620" t="str" cm="1">
        <f t="array" ref="Q298">RIGHT(G298,1)</f>
        <v>E</v>
      </c>
      <c r="R298" s="590" t="str" cm="1">
        <f t="array" ref="R298">RIGHT(H298,1)</f>
        <v>J</v>
      </c>
      <c r="S298" s="590" t="str" cm="1">
        <f t="array" ref="S298">RIGHT(I298,1)</f>
        <v>B</v>
      </c>
      <c r="T298" s="590" t="str" cm="1">
        <f t="array" ref="T298">RIGHT(J298,1)</f>
        <v>A</v>
      </c>
      <c r="U298" s="590" t="str" cm="1">
        <f t="array" ref="U298">RIGHT(K298,1)</f>
        <v>H</v>
      </c>
      <c r="V298" s="590" t="str" cm="1">
        <f t="array" ref="V298">RIGHT(L298,1)</f>
        <v>G</v>
      </c>
      <c r="W298" s="590" t="str" cm="1">
        <f t="array" ref="W298">RIGHT(M298,1)</f>
        <v>L</v>
      </c>
      <c r="X298" s="590" t="str" cm="1">
        <f t="array" ref="X298">RIGHT(N298,1)</f>
        <v>I</v>
      </c>
      <c r="Y298" s="708" cm="1">
        <f t="array" ref="Y298">COUNTIF($AA$2:$AA$9,Q298)+COUNTIF($AA$2:$AA$9,R298)+COUNTIF($AA$2:$AA$9,S298)+COUNTIF($AA$2:$AA$9,T298)+COUNTIF($AA$2:$AA$9,U298)+COUNTIF($AA$2:$AA$9,V298)+COUNTIF($AA$2:$AA$9,W298)+COUNTIF($AA$2:$AA$9,X298)</f>
        <v>5</v>
      </c>
      <c r="Z298" s="589"/>
      <c r="AA298" s="589"/>
      <c r="AB298" s="589"/>
      <c r="AC298" s="589"/>
      <c r="AD298" s="589"/>
      <c r="AE298" s="589"/>
      <c r="AF298" s="589"/>
      <c r="AG298" s="589"/>
      <c r="AH298" s="589"/>
      <c r="AI298" s="589"/>
      <c r="AJ298" s="589"/>
      <c r="AK298" s="589"/>
      <c r="AL298" s="589"/>
      <c r="AM298" s="589"/>
      <c r="AN298" s="589"/>
      <c r="AO298" s="589"/>
      <c r="AP298" s="589"/>
      <c r="AQ298" s="589"/>
      <c r="AR298" s="589"/>
      <c r="AS298" s="589"/>
      <c r="AT298" s="589"/>
      <c r="AU298" s="589"/>
      <c r="AV298" s="589"/>
      <c r="AW298" s="589"/>
      <c r="AX298" s="589"/>
      <c r="AY298" s="589"/>
      <c r="AZ298" s="589"/>
      <c r="BA298" s="589"/>
      <c r="BB298" s="589"/>
      <c r="BC298" s="589"/>
      <c r="BD298" s="589"/>
      <c r="BE298" s="589"/>
      <c r="BF298" s="589"/>
      <c r="BG298" s="589"/>
      <c r="BH298" s="589"/>
      <c r="BI298" s="589"/>
      <c r="BJ298" s="589"/>
      <c r="BK298" s="589"/>
      <c r="BL298" s="589"/>
    </row>
    <row r="299" spans="1:64" ht="14.25" customHeight="1">
      <c r="A299" s="691" t="s">
        <v>636</v>
      </c>
      <c r="B299" s="589"/>
      <c r="C299" s="589"/>
      <c r="D299" s="589"/>
      <c r="E299" s="589"/>
      <c r="F299" s="591">
        <v>298</v>
      </c>
      <c r="G299" s="691" t="s">
        <v>167</v>
      </c>
      <c r="H299" s="691" t="s">
        <v>217</v>
      </c>
      <c r="I299" s="691" t="s">
        <v>137</v>
      </c>
      <c r="J299" s="691" t="s">
        <v>125</v>
      </c>
      <c r="K299" s="691" t="s">
        <v>197</v>
      </c>
      <c r="L299" s="691" t="s">
        <v>187</v>
      </c>
      <c r="M299" s="691" t="s">
        <v>207</v>
      </c>
      <c r="N299" s="691" t="s">
        <v>227</v>
      </c>
      <c r="O299" s="589"/>
      <c r="P299" s="717" cm="1">
        <f t="array" ref="P299">F299</f>
        <v>298</v>
      </c>
      <c r="Q299" s="620" t="str" cm="1">
        <f t="array" ref="Q299">RIGHT(G299,1)</f>
        <v>E</v>
      </c>
      <c r="R299" s="590" t="str" cm="1">
        <f t="array" ref="R299">RIGHT(H299,1)</f>
        <v>J</v>
      </c>
      <c r="S299" s="590" t="str" cm="1">
        <f t="array" ref="S299">RIGHT(I299,1)</f>
        <v>B</v>
      </c>
      <c r="T299" s="590" t="str" cm="1">
        <f t="array" ref="T299">RIGHT(J299,1)</f>
        <v>A</v>
      </c>
      <c r="U299" s="590" t="str" cm="1">
        <f t="array" ref="U299">RIGHT(K299,1)</f>
        <v>H</v>
      </c>
      <c r="V299" s="590" t="str" cm="1">
        <f t="array" ref="V299">RIGHT(L299,1)</f>
        <v>G</v>
      </c>
      <c r="W299" s="590" t="str" cm="1">
        <f t="array" ref="W299">RIGHT(M299,1)</f>
        <v>I</v>
      </c>
      <c r="X299" s="590" t="str" cm="1">
        <f t="array" ref="X299">RIGHT(N299,1)</f>
        <v>K</v>
      </c>
      <c r="Y299" s="708" cm="1">
        <f t="array" ref="Y299">COUNTIF($AA$2:$AA$9,Q299)+COUNTIF($AA$2:$AA$9,R299)+COUNTIF($AA$2:$AA$9,S299)+COUNTIF($AA$2:$AA$9,T299)+COUNTIF($AA$2:$AA$9,U299)+COUNTIF($AA$2:$AA$9,V299)+COUNTIF($AA$2:$AA$9,W299)+COUNTIF($AA$2:$AA$9,X299)</f>
        <v>4</v>
      </c>
      <c r="Z299" s="589"/>
      <c r="AA299" s="589"/>
      <c r="AB299" s="589"/>
      <c r="AC299" s="589"/>
      <c r="AD299" s="589"/>
      <c r="AE299" s="589"/>
      <c r="AF299" s="589"/>
      <c r="AG299" s="589"/>
      <c r="AH299" s="589"/>
      <c r="AI299" s="589"/>
      <c r="AJ299" s="589"/>
      <c r="AK299" s="589"/>
      <c r="AL299" s="589"/>
      <c r="AM299" s="589"/>
      <c r="AN299" s="589"/>
      <c r="AO299" s="589"/>
      <c r="AP299" s="589"/>
      <c r="AQ299" s="589"/>
      <c r="AR299" s="589"/>
      <c r="AS299" s="589"/>
      <c r="AT299" s="589"/>
      <c r="AU299" s="589"/>
      <c r="AV299" s="589"/>
      <c r="AW299" s="589"/>
      <c r="AX299" s="589"/>
      <c r="AY299" s="589"/>
      <c r="AZ299" s="589"/>
      <c r="BA299" s="589"/>
      <c r="BB299" s="589"/>
      <c r="BC299" s="589"/>
      <c r="BD299" s="589"/>
      <c r="BE299" s="589"/>
      <c r="BF299" s="589"/>
      <c r="BG299" s="589"/>
      <c r="BH299" s="589"/>
      <c r="BI299" s="589"/>
      <c r="BJ299" s="589"/>
      <c r="BK299" s="589"/>
      <c r="BL299" s="589"/>
    </row>
    <row r="300" spans="1:64" ht="14.25" customHeight="1">
      <c r="A300" s="691" t="s">
        <v>637</v>
      </c>
      <c r="B300" s="589"/>
      <c r="C300" s="589"/>
      <c r="D300" s="589"/>
      <c r="E300" s="589"/>
      <c r="F300" s="591">
        <v>299</v>
      </c>
      <c r="G300" s="691" t="s">
        <v>167</v>
      </c>
      <c r="H300" s="691" t="s">
        <v>217</v>
      </c>
      <c r="I300" s="691" t="s">
        <v>137</v>
      </c>
      <c r="J300" s="691" t="s">
        <v>125</v>
      </c>
      <c r="K300" s="691" t="s">
        <v>207</v>
      </c>
      <c r="L300" s="691" t="s">
        <v>177</v>
      </c>
      <c r="M300" s="691" t="s">
        <v>237</v>
      </c>
      <c r="N300" s="691" t="s">
        <v>227</v>
      </c>
      <c r="O300" s="589"/>
      <c r="P300" s="717" cm="1">
        <f t="array" ref="P300">F300</f>
        <v>299</v>
      </c>
      <c r="Q300" s="620" t="str" cm="1">
        <f t="array" ref="Q300">RIGHT(G300,1)</f>
        <v>E</v>
      </c>
      <c r="R300" s="590" t="str" cm="1">
        <f t="array" ref="R300">RIGHT(H300,1)</f>
        <v>J</v>
      </c>
      <c r="S300" s="590" t="str" cm="1">
        <f t="array" ref="S300">RIGHT(I300,1)</f>
        <v>B</v>
      </c>
      <c r="T300" s="590" t="str" cm="1">
        <f t="array" ref="T300">RIGHT(J300,1)</f>
        <v>A</v>
      </c>
      <c r="U300" s="590" t="str" cm="1">
        <f t="array" ref="U300">RIGHT(K300,1)</f>
        <v>I</v>
      </c>
      <c r="V300" s="590" t="str" cm="1">
        <f t="array" ref="V300">RIGHT(L300,1)</f>
        <v>F</v>
      </c>
      <c r="W300" s="590" t="str" cm="1">
        <f t="array" ref="W300">RIGHT(M300,1)</f>
        <v>L</v>
      </c>
      <c r="X300" s="590" t="str" cm="1">
        <f t="array" ref="X300">RIGHT(N300,1)</f>
        <v>K</v>
      </c>
      <c r="Y300" s="708" cm="1">
        <f t="array" ref="Y300">COUNTIF($AA$2:$AA$9,Q300)+COUNTIF($AA$2:$AA$9,R300)+COUNTIF($AA$2:$AA$9,S300)+COUNTIF($AA$2:$AA$9,T300)+COUNTIF($AA$2:$AA$9,U300)+COUNTIF($AA$2:$AA$9,V300)+COUNTIF($AA$2:$AA$9,W300)+COUNTIF($AA$2:$AA$9,X300)</f>
        <v>6</v>
      </c>
      <c r="Z300" s="589"/>
      <c r="AA300" s="589"/>
      <c r="AB300" s="589"/>
      <c r="AC300" s="589"/>
      <c r="AD300" s="589"/>
      <c r="AE300" s="589"/>
      <c r="AF300" s="589"/>
      <c r="AG300" s="589"/>
      <c r="AH300" s="589"/>
      <c r="AI300" s="589"/>
      <c r="AJ300" s="589"/>
      <c r="AK300" s="589"/>
      <c r="AL300" s="589"/>
      <c r="AM300" s="589"/>
      <c r="AN300" s="589"/>
      <c r="AO300" s="589"/>
      <c r="AP300" s="589"/>
      <c r="AQ300" s="589"/>
      <c r="AR300" s="589"/>
      <c r="AS300" s="589"/>
      <c r="AT300" s="589"/>
      <c r="AU300" s="589"/>
      <c r="AV300" s="589"/>
      <c r="AW300" s="589"/>
      <c r="AX300" s="589"/>
      <c r="AY300" s="589"/>
      <c r="AZ300" s="589"/>
      <c r="BA300" s="589"/>
      <c r="BB300" s="589"/>
      <c r="BC300" s="589"/>
      <c r="BD300" s="589"/>
      <c r="BE300" s="589"/>
      <c r="BF300" s="589"/>
      <c r="BG300" s="589"/>
      <c r="BH300" s="589"/>
      <c r="BI300" s="589"/>
      <c r="BJ300" s="589"/>
      <c r="BK300" s="589"/>
      <c r="BL300" s="589"/>
    </row>
    <row r="301" spans="1:64" ht="14.25" customHeight="1">
      <c r="A301" s="691" t="s">
        <v>638</v>
      </c>
      <c r="B301" s="589"/>
      <c r="C301" s="589"/>
      <c r="D301" s="589"/>
      <c r="E301" s="589"/>
      <c r="F301" s="591">
        <v>300</v>
      </c>
      <c r="G301" s="691" t="s">
        <v>167</v>
      </c>
      <c r="H301" s="691" t="s">
        <v>217</v>
      </c>
      <c r="I301" s="691" t="s">
        <v>137</v>
      </c>
      <c r="J301" s="691" t="s">
        <v>177</v>
      </c>
      <c r="K301" s="691" t="s">
        <v>125</v>
      </c>
      <c r="L301" s="691" t="s">
        <v>197</v>
      </c>
      <c r="M301" s="691" t="s">
        <v>237</v>
      </c>
      <c r="N301" s="691" t="s">
        <v>227</v>
      </c>
      <c r="O301" s="589"/>
      <c r="P301" s="717" cm="1">
        <f t="array" ref="P301">F301</f>
        <v>300</v>
      </c>
      <c r="Q301" s="620" t="str" cm="1">
        <f t="array" ref="Q301">RIGHT(G301,1)</f>
        <v>E</v>
      </c>
      <c r="R301" s="590" t="str" cm="1">
        <f t="array" ref="R301">RIGHT(H301,1)</f>
        <v>J</v>
      </c>
      <c r="S301" s="590" t="str" cm="1">
        <f t="array" ref="S301">RIGHT(I301,1)</f>
        <v>B</v>
      </c>
      <c r="T301" s="590" t="str" cm="1">
        <f t="array" ref="T301">RIGHT(J301,1)</f>
        <v>F</v>
      </c>
      <c r="U301" s="590" t="str" cm="1">
        <f t="array" ref="U301">RIGHT(K301,1)</f>
        <v>A</v>
      </c>
      <c r="V301" s="590" t="str" cm="1">
        <f t="array" ref="V301">RIGHT(L301,1)</f>
        <v>H</v>
      </c>
      <c r="W301" s="590" t="str" cm="1">
        <f t="array" ref="W301">RIGHT(M301,1)</f>
        <v>L</v>
      </c>
      <c r="X301" s="590" t="str" cm="1">
        <f t="array" ref="X301">RIGHT(N301,1)</f>
        <v>K</v>
      </c>
      <c r="Y301" s="708" cm="1">
        <f t="array" ref="Y301">COUNTIF($AA$2:$AA$9,Q301)+COUNTIF($AA$2:$AA$9,R301)+COUNTIF($AA$2:$AA$9,S301)+COUNTIF($AA$2:$AA$9,T301)+COUNTIF($AA$2:$AA$9,U301)+COUNTIF($AA$2:$AA$9,V301)+COUNTIF($AA$2:$AA$9,W301)+COUNTIF($AA$2:$AA$9,X301)</f>
        <v>5</v>
      </c>
      <c r="Z301" s="589"/>
      <c r="AA301" s="589"/>
      <c r="AB301" s="589"/>
      <c r="AC301" s="589"/>
      <c r="AD301" s="589"/>
      <c r="AE301" s="589"/>
      <c r="AF301" s="589"/>
      <c r="AG301" s="589"/>
      <c r="AH301" s="589"/>
      <c r="AI301" s="589"/>
      <c r="AJ301" s="589"/>
      <c r="AK301" s="589"/>
      <c r="AL301" s="589"/>
      <c r="AM301" s="589"/>
      <c r="AN301" s="589"/>
      <c r="AO301" s="589"/>
      <c r="AP301" s="589"/>
      <c r="AQ301" s="589"/>
      <c r="AR301" s="589"/>
      <c r="AS301" s="589"/>
      <c r="AT301" s="589"/>
      <c r="AU301" s="589"/>
      <c r="AV301" s="589"/>
      <c r="AW301" s="589"/>
      <c r="AX301" s="589"/>
      <c r="AY301" s="589"/>
      <c r="AZ301" s="589"/>
      <c r="BA301" s="589"/>
      <c r="BB301" s="589"/>
      <c r="BC301" s="589"/>
      <c r="BD301" s="589"/>
      <c r="BE301" s="589"/>
      <c r="BF301" s="589"/>
      <c r="BG301" s="589"/>
      <c r="BH301" s="589"/>
      <c r="BI301" s="589"/>
      <c r="BJ301" s="589"/>
      <c r="BK301" s="589"/>
      <c r="BL301" s="589"/>
    </row>
    <row r="302" spans="1:64" ht="14.25" customHeight="1">
      <c r="A302" s="691" t="s">
        <v>639</v>
      </c>
      <c r="B302" s="589"/>
      <c r="C302" s="589"/>
      <c r="D302" s="589"/>
      <c r="E302" s="589"/>
      <c r="F302" s="591">
        <v>301</v>
      </c>
      <c r="G302" s="691" t="s">
        <v>167</v>
      </c>
      <c r="H302" s="691" t="s">
        <v>207</v>
      </c>
      <c r="I302" s="691" t="s">
        <v>137</v>
      </c>
      <c r="J302" s="691" t="s">
        <v>177</v>
      </c>
      <c r="K302" s="691" t="s">
        <v>125</v>
      </c>
      <c r="L302" s="691" t="s">
        <v>197</v>
      </c>
      <c r="M302" s="691" t="s">
        <v>237</v>
      </c>
      <c r="N302" s="691" t="s">
        <v>227</v>
      </c>
      <c r="O302" s="589"/>
      <c r="P302" s="717" cm="1">
        <f t="array" ref="P302">F302</f>
        <v>301</v>
      </c>
      <c r="Q302" s="620" t="str" cm="1">
        <f t="array" ref="Q302">RIGHT(G302,1)</f>
        <v>E</v>
      </c>
      <c r="R302" s="590" t="str" cm="1">
        <f t="array" ref="R302">RIGHT(H302,1)</f>
        <v>I</v>
      </c>
      <c r="S302" s="590" t="str" cm="1">
        <f t="array" ref="S302">RIGHT(I302,1)</f>
        <v>B</v>
      </c>
      <c r="T302" s="590" t="str" cm="1">
        <f t="array" ref="T302">RIGHT(J302,1)</f>
        <v>F</v>
      </c>
      <c r="U302" s="590" t="str" cm="1">
        <f t="array" ref="U302">RIGHT(K302,1)</f>
        <v>A</v>
      </c>
      <c r="V302" s="590" t="str" cm="1">
        <f t="array" ref="V302">RIGHT(L302,1)</f>
        <v>H</v>
      </c>
      <c r="W302" s="590" t="str" cm="1">
        <f t="array" ref="W302">RIGHT(M302,1)</f>
        <v>L</v>
      </c>
      <c r="X302" s="590" t="str" cm="1">
        <f t="array" ref="X302">RIGHT(N302,1)</f>
        <v>K</v>
      </c>
      <c r="Y302" s="708" cm="1">
        <f t="array" ref="Y302">COUNTIF($AA$2:$AA$9,Q302)+COUNTIF($AA$2:$AA$9,R302)+COUNTIF($AA$2:$AA$9,S302)+COUNTIF($AA$2:$AA$9,T302)+COUNTIF($AA$2:$AA$9,U302)+COUNTIF($AA$2:$AA$9,V302)+COUNTIF($AA$2:$AA$9,W302)+COUNTIF($AA$2:$AA$9,X302)</f>
        <v>5</v>
      </c>
      <c r="Z302" s="589"/>
      <c r="AA302" s="589"/>
      <c r="AB302" s="589"/>
      <c r="AC302" s="589"/>
      <c r="AD302" s="589"/>
      <c r="AE302" s="589"/>
      <c r="AF302" s="589"/>
      <c r="AG302" s="589"/>
      <c r="AH302" s="589"/>
      <c r="AI302" s="589"/>
      <c r="AJ302" s="589"/>
      <c r="AK302" s="589"/>
      <c r="AL302" s="589"/>
      <c r="AM302" s="589"/>
      <c r="AN302" s="589"/>
      <c r="AO302" s="589"/>
      <c r="AP302" s="589"/>
      <c r="AQ302" s="589"/>
      <c r="AR302" s="589"/>
      <c r="AS302" s="589"/>
      <c r="AT302" s="589"/>
      <c r="AU302" s="589"/>
      <c r="AV302" s="589"/>
      <c r="AW302" s="589"/>
      <c r="AX302" s="589"/>
      <c r="AY302" s="589"/>
      <c r="AZ302" s="589"/>
      <c r="BA302" s="589"/>
      <c r="BB302" s="589"/>
      <c r="BC302" s="589"/>
      <c r="BD302" s="589"/>
      <c r="BE302" s="589"/>
      <c r="BF302" s="589"/>
      <c r="BG302" s="589"/>
      <c r="BH302" s="589"/>
      <c r="BI302" s="589"/>
      <c r="BJ302" s="589"/>
      <c r="BK302" s="589"/>
      <c r="BL302" s="589"/>
    </row>
    <row r="303" spans="1:64" ht="14.25" customHeight="1">
      <c r="A303" s="691" t="s">
        <v>640</v>
      </c>
      <c r="B303" s="589"/>
      <c r="C303" s="589"/>
      <c r="D303" s="589"/>
      <c r="E303" s="589"/>
      <c r="F303" s="591">
        <v>302</v>
      </c>
      <c r="G303" s="691" t="s">
        <v>167</v>
      </c>
      <c r="H303" s="691" t="s">
        <v>217</v>
      </c>
      <c r="I303" s="691" t="s">
        <v>137</v>
      </c>
      <c r="J303" s="691" t="s">
        <v>177</v>
      </c>
      <c r="K303" s="691" t="s">
        <v>125</v>
      </c>
      <c r="L303" s="691" t="s">
        <v>197</v>
      </c>
      <c r="M303" s="691" t="s">
        <v>237</v>
      </c>
      <c r="N303" s="691" t="s">
        <v>207</v>
      </c>
      <c r="O303" s="589"/>
      <c r="P303" s="717" cm="1">
        <f t="array" ref="P303">F303</f>
        <v>302</v>
      </c>
      <c r="Q303" s="620" t="str" cm="1">
        <f t="array" ref="Q303">RIGHT(G303,1)</f>
        <v>E</v>
      </c>
      <c r="R303" s="590" t="str" cm="1">
        <f t="array" ref="R303">RIGHT(H303,1)</f>
        <v>J</v>
      </c>
      <c r="S303" s="590" t="str" cm="1">
        <f t="array" ref="S303">RIGHT(I303,1)</f>
        <v>B</v>
      </c>
      <c r="T303" s="590" t="str" cm="1">
        <f t="array" ref="T303">RIGHT(J303,1)</f>
        <v>F</v>
      </c>
      <c r="U303" s="590" t="str" cm="1">
        <f t="array" ref="U303">RIGHT(K303,1)</f>
        <v>A</v>
      </c>
      <c r="V303" s="590" t="str" cm="1">
        <f t="array" ref="V303">RIGHT(L303,1)</f>
        <v>H</v>
      </c>
      <c r="W303" s="590" t="str" cm="1">
        <f t="array" ref="W303">RIGHT(M303,1)</f>
        <v>L</v>
      </c>
      <c r="X303" s="590" t="str" cm="1">
        <f t="array" ref="X303">RIGHT(N303,1)</f>
        <v>I</v>
      </c>
      <c r="Y303" s="708" cm="1">
        <f t="array" ref="Y303">COUNTIF($AA$2:$AA$9,Q303)+COUNTIF($AA$2:$AA$9,R303)+COUNTIF($AA$2:$AA$9,S303)+COUNTIF($AA$2:$AA$9,T303)+COUNTIF($AA$2:$AA$9,U303)+COUNTIF($AA$2:$AA$9,V303)+COUNTIF($AA$2:$AA$9,W303)+COUNTIF($AA$2:$AA$9,X303)</f>
        <v>6</v>
      </c>
      <c r="Z303" s="589"/>
      <c r="AA303" s="589"/>
      <c r="AB303" s="589"/>
      <c r="AC303" s="589"/>
      <c r="AD303" s="589"/>
      <c r="AE303" s="589"/>
      <c r="AF303" s="589"/>
      <c r="AG303" s="589"/>
      <c r="AH303" s="589"/>
      <c r="AI303" s="589"/>
      <c r="AJ303" s="589"/>
      <c r="AK303" s="589"/>
      <c r="AL303" s="589"/>
      <c r="AM303" s="589"/>
      <c r="AN303" s="589"/>
      <c r="AO303" s="589"/>
      <c r="AP303" s="589"/>
      <c r="AQ303" s="589"/>
      <c r="AR303" s="589"/>
      <c r="AS303" s="589"/>
      <c r="AT303" s="589"/>
      <c r="AU303" s="589"/>
      <c r="AV303" s="589"/>
      <c r="AW303" s="589"/>
      <c r="AX303" s="589"/>
      <c r="AY303" s="589"/>
      <c r="AZ303" s="589"/>
      <c r="BA303" s="589"/>
      <c r="BB303" s="589"/>
      <c r="BC303" s="589"/>
      <c r="BD303" s="589"/>
      <c r="BE303" s="589"/>
      <c r="BF303" s="589"/>
      <c r="BG303" s="589"/>
      <c r="BH303" s="589"/>
      <c r="BI303" s="589"/>
      <c r="BJ303" s="589"/>
      <c r="BK303" s="589"/>
      <c r="BL303" s="589"/>
    </row>
    <row r="304" spans="1:64" ht="14.25" customHeight="1">
      <c r="A304" s="691" t="s">
        <v>641</v>
      </c>
      <c r="B304" s="589"/>
      <c r="C304" s="589"/>
      <c r="D304" s="589"/>
      <c r="E304" s="589"/>
      <c r="F304" s="591">
        <v>303</v>
      </c>
      <c r="G304" s="691" t="s">
        <v>167</v>
      </c>
      <c r="H304" s="691" t="s">
        <v>217</v>
      </c>
      <c r="I304" s="691" t="s">
        <v>137</v>
      </c>
      <c r="J304" s="691" t="s">
        <v>177</v>
      </c>
      <c r="K304" s="691" t="s">
        <v>125</v>
      </c>
      <c r="L304" s="691" t="s">
        <v>197</v>
      </c>
      <c r="M304" s="691" t="s">
        <v>207</v>
      </c>
      <c r="N304" s="691" t="s">
        <v>227</v>
      </c>
      <c r="O304" s="589"/>
      <c r="P304" s="717" cm="1">
        <f t="array" ref="P304">F304</f>
        <v>303</v>
      </c>
      <c r="Q304" s="620" t="str" cm="1">
        <f t="array" ref="Q304">RIGHT(G304,1)</f>
        <v>E</v>
      </c>
      <c r="R304" s="590" t="str" cm="1">
        <f t="array" ref="R304">RIGHT(H304,1)</f>
        <v>J</v>
      </c>
      <c r="S304" s="590" t="str" cm="1">
        <f t="array" ref="S304">RIGHT(I304,1)</f>
        <v>B</v>
      </c>
      <c r="T304" s="590" t="str" cm="1">
        <f t="array" ref="T304">RIGHT(J304,1)</f>
        <v>F</v>
      </c>
      <c r="U304" s="590" t="str" cm="1">
        <f t="array" ref="U304">RIGHT(K304,1)</f>
        <v>A</v>
      </c>
      <c r="V304" s="590" t="str" cm="1">
        <f t="array" ref="V304">RIGHT(L304,1)</f>
        <v>H</v>
      </c>
      <c r="W304" s="590" t="str" cm="1">
        <f t="array" ref="W304">RIGHT(M304,1)</f>
        <v>I</v>
      </c>
      <c r="X304" s="590" t="str" cm="1">
        <f t="array" ref="X304">RIGHT(N304,1)</f>
        <v>K</v>
      </c>
      <c r="Y304" s="708" cm="1">
        <f t="array" ref="Y304">COUNTIF($AA$2:$AA$9,Q304)+COUNTIF($AA$2:$AA$9,R304)+COUNTIF($AA$2:$AA$9,S304)+COUNTIF($AA$2:$AA$9,T304)+COUNTIF($AA$2:$AA$9,U304)+COUNTIF($AA$2:$AA$9,V304)+COUNTIF($AA$2:$AA$9,W304)+COUNTIF($AA$2:$AA$9,X304)</f>
        <v>5</v>
      </c>
      <c r="Z304" s="589"/>
      <c r="AA304" s="589"/>
      <c r="AB304" s="589"/>
      <c r="AC304" s="589"/>
      <c r="AD304" s="589"/>
      <c r="AE304" s="589"/>
      <c r="AF304" s="589"/>
      <c r="AG304" s="589"/>
      <c r="AH304" s="589"/>
      <c r="AI304" s="589"/>
      <c r="AJ304" s="589"/>
      <c r="AK304" s="589"/>
      <c r="AL304" s="589"/>
      <c r="AM304" s="589"/>
      <c r="AN304" s="589"/>
      <c r="AO304" s="589"/>
      <c r="AP304" s="589"/>
      <c r="AQ304" s="589"/>
      <c r="AR304" s="589"/>
      <c r="AS304" s="589"/>
      <c r="AT304" s="589"/>
      <c r="AU304" s="589"/>
      <c r="AV304" s="589"/>
      <c r="AW304" s="589"/>
      <c r="AX304" s="589"/>
      <c r="AY304" s="589"/>
      <c r="AZ304" s="589"/>
      <c r="BA304" s="589"/>
      <c r="BB304" s="589"/>
      <c r="BC304" s="589"/>
      <c r="BD304" s="589"/>
      <c r="BE304" s="589"/>
      <c r="BF304" s="589"/>
      <c r="BG304" s="589"/>
      <c r="BH304" s="589"/>
      <c r="BI304" s="589"/>
      <c r="BJ304" s="589"/>
      <c r="BK304" s="589"/>
      <c r="BL304" s="589"/>
    </row>
    <row r="305" spans="1:64" ht="14.25" customHeight="1">
      <c r="A305" s="691" t="s">
        <v>642</v>
      </c>
      <c r="B305" s="589"/>
      <c r="C305" s="589"/>
      <c r="D305" s="589"/>
      <c r="E305" s="589"/>
      <c r="F305" s="591">
        <v>304</v>
      </c>
      <c r="G305" s="691" t="s">
        <v>167</v>
      </c>
      <c r="H305" s="691" t="s">
        <v>217</v>
      </c>
      <c r="I305" s="691" t="s">
        <v>137</v>
      </c>
      <c r="J305" s="691" t="s">
        <v>177</v>
      </c>
      <c r="K305" s="691" t="s">
        <v>125</v>
      </c>
      <c r="L305" s="691" t="s">
        <v>187</v>
      </c>
      <c r="M305" s="691" t="s">
        <v>237</v>
      </c>
      <c r="N305" s="691" t="s">
        <v>227</v>
      </c>
      <c r="O305" s="589"/>
      <c r="P305" s="717" cm="1">
        <f t="array" ref="P305">F305</f>
        <v>304</v>
      </c>
      <c r="Q305" s="620" t="str" cm="1">
        <f t="array" ref="Q305">RIGHT(G305,1)</f>
        <v>E</v>
      </c>
      <c r="R305" s="590" t="str" cm="1">
        <f t="array" ref="R305">RIGHT(H305,1)</f>
        <v>J</v>
      </c>
      <c r="S305" s="590" t="str" cm="1">
        <f t="array" ref="S305">RIGHT(I305,1)</f>
        <v>B</v>
      </c>
      <c r="T305" s="590" t="str" cm="1">
        <f t="array" ref="T305">RIGHT(J305,1)</f>
        <v>F</v>
      </c>
      <c r="U305" s="590" t="str" cm="1">
        <f t="array" ref="U305">RIGHT(K305,1)</f>
        <v>A</v>
      </c>
      <c r="V305" s="590" t="str" cm="1">
        <f t="array" ref="V305">RIGHT(L305,1)</f>
        <v>G</v>
      </c>
      <c r="W305" s="590" t="str" cm="1">
        <f t="array" ref="W305">RIGHT(M305,1)</f>
        <v>L</v>
      </c>
      <c r="X305" s="590" t="str" cm="1">
        <f t="array" ref="X305">RIGHT(N305,1)</f>
        <v>K</v>
      </c>
      <c r="Y305" s="708" cm="1">
        <f t="array" ref="Y305">COUNTIF($AA$2:$AA$9,Q305)+COUNTIF($AA$2:$AA$9,R305)+COUNTIF($AA$2:$AA$9,S305)+COUNTIF($AA$2:$AA$9,T305)+COUNTIF($AA$2:$AA$9,U305)+COUNTIF($AA$2:$AA$9,V305)+COUNTIF($AA$2:$AA$9,W305)+COUNTIF($AA$2:$AA$9,X305)</f>
        <v>5</v>
      </c>
      <c r="Z305" s="589"/>
      <c r="AA305" s="589"/>
      <c r="AB305" s="589"/>
      <c r="AC305" s="589"/>
      <c r="AD305" s="589"/>
      <c r="AE305" s="589"/>
      <c r="AF305" s="589"/>
      <c r="AG305" s="589"/>
      <c r="AH305" s="589"/>
      <c r="AI305" s="589"/>
      <c r="AJ305" s="589"/>
      <c r="AK305" s="589"/>
      <c r="AL305" s="589"/>
      <c r="AM305" s="589"/>
      <c r="AN305" s="589"/>
      <c r="AO305" s="589"/>
      <c r="AP305" s="589"/>
      <c r="AQ305" s="589"/>
      <c r="AR305" s="589"/>
      <c r="AS305" s="589"/>
      <c r="AT305" s="589"/>
      <c r="AU305" s="589"/>
      <c r="AV305" s="589"/>
      <c r="AW305" s="589"/>
      <c r="AX305" s="589"/>
      <c r="AY305" s="589"/>
      <c r="AZ305" s="589"/>
      <c r="BA305" s="589"/>
      <c r="BB305" s="589"/>
      <c r="BC305" s="589"/>
      <c r="BD305" s="589"/>
      <c r="BE305" s="589"/>
      <c r="BF305" s="589"/>
      <c r="BG305" s="589"/>
      <c r="BH305" s="589"/>
      <c r="BI305" s="589"/>
      <c r="BJ305" s="589"/>
      <c r="BK305" s="589"/>
      <c r="BL305" s="589"/>
    </row>
    <row r="306" spans="1:64" ht="14.25" customHeight="1">
      <c r="A306" s="691" t="s">
        <v>643</v>
      </c>
      <c r="B306" s="589"/>
      <c r="C306" s="589"/>
      <c r="D306" s="589"/>
      <c r="E306" s="589"/>
      <c r="F306" s="591">
        <v>305</v>
      </c>
      <c r="G306" s="691" t="s">
        <v>167</v>
      </c>
      <c r="H306" s="691" t="s">
        <v>187</v>
      </c>
      <c r="I306" s="691" t="s">
        <v>137</v>
      </c>
      <c r="J306" s="691" t="s">
        <v>125</v>
      </c>
      <c r="K306" s="691" t="s">
        <v>207</v>
      </c>
      <c r="L306" s="691" t="s">
        <v>177</v>
      </c>
      <c r="M306" s="691" t="s">
        <v>237</v>
      </c>
      <c r="N306" s="691" t="s">
        <v>227</v>
      </c>
      <c r="O306" s="589"/>
      <c r="P306" s="717" cm="1">
        <f t="array" ref="P306">F306</f>
        <v>305</v>
      </c>
      <c r="Q306" s="620" t="str" cm="1">
        <f t="array" ref="Q306">RIGHT(G306,1)</f>
        <v>E</v>
      </c>
      <c r="R306" s="590" t="str" cm="1">
        <f t="array" ref="R306">RIGHT(H306,1)</f>
        <v>G</v>
      </c>
      <c r="S306" s="590" t="str" cm="1">
        <f t="array" ref="S306">RIGHT(I306,1)</f>
        <v>B</v>
      </c>
      <c r="T306" s="590" t="str" cm="1">
        <f t="array" ref="T306">RIGHT(J306,1)</f>
        <v>A</v>
      </c>
      <c r="U306" s="590" t="str" cm="1">
        <f t="array" ref="U306">RIGHT(K306,1)</f>
        <v>I</v>
      </c>
      <c r="V306" s="590" t="str" cm="1">
        <f t="array" ref="V306">RIGHT(L306,1)</f>
        <v>F</v>
      </c>
      <c r="W306" s="590" t="str" cm="1">
        <f t="array" ref="W306">RIGHT(M306,1)</f>
        <v>L</v>
      </c>
      <c r="X306" s="590" t="str" cm="1">
        <f t="array" ref="X306">RIGHT(N306,1)</f>
        <v>K</v>
      </c>
      <c r="Y306" s="708" cm="1">
        <f t="array" ref="Y306">COUNTIF($AA$2:$AA$9,Q306)+COUNTIF($AA$2:$AA$9,R306)+COUNTIF($AA$2:$AA$9,S306)+COUNTIF($AA$2:$AA$9,T306)+COUNTIF($AA$2:$AA$9,U306)+COUNTIF($AA$2:$AA$9,V306)+COUNTIF($AA$2:$AA$9,W306)+COUNTIF($AA$2:$AA$9,X306)</f>
        <v>5</v>
      </c>
      <c r="Z306" s="589"/>
      <c r="AA306" s="589"/>
      <c r="AB306" s="589"/>
      <c r="AC306" s="589"/>
      <c r="AD306" s="589"/>
      <c r="AE306" s="589"/>
      <c r="AF306" s="589"/>
      <c r="AG306" s="589"/>
      <c r="AH306" s="589"/>
      <c r="AI306" s="589"/>
      <c r="AJ306" s="589"/>
      <c r="AK306" s="589"/>
      <c r="AL306" s="589"/>
      <c r="AM306" s="589"/>
      <c r="AN306" s="589"/>
      <c r="AO306" s="589"/>
      <c r="AP306" s="589"/>
      <c r="AQ306" s="589"/>
      <c r="AR306" s="589"/>
      <c r="AS306" s="589"/>
      <c r="AT306" s="589"/>
      <c r="AU306" s="589"/>
      <c r="AV306" s="589"/>
      <c r="AW306" s="589"/>
      <c r="AX306" s="589"/>
      <c r="AY306" s="589"/>
      <c r="AZ306" s="589"/>
      <c r="BA306" s="589"/>
      <c r="BB306" s="589"/>
      <c r="BC306" s="589"/>
      <c r="BD306" s="589"/>
      <c r="BE306" s="589"/>
      <c r="BF306" s="589"/>
      <c r="BG306" s="589"/>
      <c r="BH306" s="589"/>
      <c r="BI306" s="589"/>
      <c r="BJ306" s="589"/>
      <c r="BK306" s="589"/>
      <c r="BL306" s="589"/>
    </row>
    <row r="307" spans="1:64" ht="14.25" customHeight="1">
      <c r="A307" s="691" t="s">
        <v>644</v>
      </c>
      <c r="B307" s="589"/>
      <c r="C307" s="589"/>
      <c r="D307" s="589"/>
      <c r="E307" s="589"/>
      <c r="F307" s="591">
        <v>306</v>
      </c>
      <c r="G307" s="691" t="s">
        <v>167</v>
      </c>
      <c r="H307" s="691" t="s">
        <v>217</v>
      </c>
      <c r="I307" s="691" t="s">
        <v>137</v>
      </c>
      <c r="J307" s="691" t="s">
        <v>177</v>
      </c>
      <c r="K307" s="691" t="s">
        <v>125</v>
      </c>
      <c r="L307" s="691" t="s">
        <v>187</v>
      </c>
      <c r="M307" s="691" t="s">
        <v>237</v>
      </c>
      <c r="N307" s="691" t="s">
        <v>207</v>
      </c>
      <c r="O307" s="589"/>
      <c r="P307" s="717" cm="1">
        <f t="array" ref="P307">F307</f>
        <v>306</v>
      </c>
      <c r="Q307" s="620" t="str" cm="1">
        <f t="array" ref="Q307">RIGHT(G307,1)</f>
        <v>E</v>
      </c>
      <c r="R307" s="590" t="str" cm="1">
        <f t="array" ref="R307">RIGHT(H307,1)</f>
        <v>J</v>
      </c>
      <c r="S307" s="590" t="str" cm="1">
        <f t="array" ref="S307">RIGHT(I307,1)</f>
        <v>B</v>
      </c>
      <c r="T307" s="590" t="str" cm="1">
        <f t="array" ref="T307">RIGHT(J307,1)</f>
        <v>F</v>
      </c>
      <c r="U307" s="590" t="str" cm="1">
        <f t="array" ref="U307">RIGHT(K307,1)</f>
        <v>A</v>
      </c>
      <c r="V307" s="590" t="str" cm="1">
        <f t="array" ref="V307">RIGHT(L307,1)</f>
        <v>G</v>
      </c>
      <c r="W307" s="590" t="str" cm="1">
        <f t="array" ref="W307">RIGHT(M307,1)</f>
        <v>L</v>
      </c>
      <c r="X307" s="590" t="str" cm="1">
        <f t="array" ref="X307">RIGHT(N307,1)</f>
        <v>I</v>
      </c>
      <c r="Y307" s="708" cm="1">
        <f t="array" ref="Y307">COUNTIF($AA$2:$AA$9,Q307)+COUNTIF($AA$2:$AA$9,R307)+COUNTIF($AA$2:$AA$9,S307)+COUNTIF($AA$2:$AA$9,T307)+COUNTIF($AA$2:$AA$9,U307)+COUNTIF($AA$2:$AA$9,V307)+COUNTIF($AA$2:$AA$9,W307)+COUNTIF($AA$2:$AA$9,X307)</f>
        <v>6</v>
      </c>
      <c r="Z307" s="589"/>
      <c r="AA307" s="589"/>
      <c r="AB307" s="589"/>
      <c r="AC307" s="589"/>
      <c r="AD307" s="589"/>
      <c r="AE307" s="589"/>
      <c r="AF307" s="589"/>
      <c r="AG307" s="589"/>
      <c r="AH307" s="589"/>
      <c r="AI307" s="589"/>
      <c r="AJ307" s="589"/>
      <c r="AK307" s="589"/>
      <c r="AL307" s="589"/>
      <c r="AM307" s="589"/>
      <c r="AN307" s="589"/>
      <c r="AO307" s="589"/>
      <c r="AP307" s="589"/>
      <c r="AQ307" s="589"/>
      <c r="AR307" s="589"/>
      <c r="AS307" s="589"/>
      <c r="AT307" s="589"/>
      <c r="AU307" s="589"/>
      <c r="AV307" s="589"/>
      <c r="AW307" s="589"/>
      <c r="AX307" s="589"/>
      <c r="AY307" s="589"/>
      <c r="AZ307" s="589"/>
      <c r="BA307" s="589"/>
      <c r="BB307" s="589"/>
      <c r="BC307" s="589"/>
      <c r="BD307" s="589"/>
      <c r="BE307" s="589"/>
      <c r="BF307" s="589"/>
      <c r="BG307" s="589"/>
      <c r="BH307" s="589"/>
      <c r="BI307" s="589"/>
      <c r="BJ307" s="589"/>
      <c r="BK307" s="589"/>
      <c r="BL307" s="589"/>
    </row>
    <row r="308" spans="1:64" ht="14.25" customHeight="1">
      <c r="A308" s="691" t="s">
        <v>645</v>
      </c>
      <c r="B308" s="589"/>
      <c r="C308" s="589"/>
      <c r="D308" s="589"/>
      <c r="E308" s="589"/>
      <c r="F308" s="591">
        <v>307</v>
      </c>
      <c r="G308" s="691" t="s">
        <v>167</v>
      </c>
      <c r="H308" s="691" t="s">
        <v>217</v>
      </c>
      <c r="I308" s="691" t="s">
        <v>137</v>
      </c>
      <c r="J308" s="691" t="s">
        <v>177</v>
      </c>
      <c r="K308" s="691" t="s">
        <v>125</v>
      </c>
      <c r="L308" s="691" t="s">
        <v>187</v>
      </c>
      <c r="M308" s="691" t="s">
        <v>207</v>
      </c>
      <c r="N308" s="691" t="s">
        <v>227</v>
      </c>
      <c r="O308" s="589"/>
      <c r="P308" s="717" cm="1">
        <f t="array" ref="P308">F308</f>
        <v>307</v>
      </c>
      <c r="Q308" s="620" t="str" cm="1">
        <f t="array" ref="Q308">RIGHT(G308,1)</f>
        <v>E</v>
      </c>
      <c r="R308" s="590" t="str" cm="1">
        <f t="array" ref="R308">RIGHT(H308,1)</f>
        <v>J</v>
      </c>
      <c r="S308" s="590" t="str" cm="1">
        <f t="array" ref="S308">RIGHT(I308,1)</f>
        <v>B</v>
      </c>
      <c r="T308" s="590" t="str" cm="1">
        <f t="array" ref="T308">RIGHT(J308,1)</f>
        <v>F</v>
      </c>
      <c r="U308" s="590" t="str" cm="1">
        <f t="array" ref="U308">RIGHT(K308,1)</f>
        <v>A</v>
      </c>
      <c r="V308" s="590" t="str" cm="1">
        <f t="array" ref="V308">RIGHT(L308,1)</f>
        <v>G</v>
      </c>
      <c r="W308" s="590" t="str" cm="1">
        <f t="array" ref="W308">RIGHT(M308,1)</f>
        <v>I</v>
      </c>
      <c r="X308" s="590" t="str" cm="1">
        <f t="array" ref="X308">RIGHT(N308,1)</f>
        <v>K</v>
      </c>
      <c r="Y308" s="708" cm="1">
        <f t="array" ref="Y308">COUNTIF($AA$2:$AA$9,Q308)+COUNTIF($AA$2:$AA$9,R308)+COUNTIF($AA$2:$AA$9,S308)+COUNTIF($AA$2:$AA$9,T308)+COUNTIF($AA$2:$AA$9,U308)+COUNTIF($AA$2:$AA$9,V308)+COUNTIF($AA$2:$AA$9,W308)+COUNTIF($AA$2:$AA$9,X308)</f>
        <v>5</v>
      </c>
      <c r="Z308" s="589"/>
      <c r="AA308" s="589"/>
      <c r="AB308" s="589"/>
      <c r="AC308" s="589"/>
      <c r="AD308" s="589"/>
      <c r="AE308" s="589"/>
      <c r="AF308" s="589"/>
      <c r="AG308" s="589"/>
      <c r="AH308" s="589"/>
      <c r="AI308" s="589"/>
      <c r="AJ308" s="589"/>
      <c r="AK308" s="589"/>
      <c r="AL308" s="589"/>
      <c r="AM308" s="589"/>
      <c r="AN308" s="589"/>
      <c r="AO308" s="589"/>
      <c r="AP308" s="589"/>
      <c r="AQ308" s="589"/>
      <c r="AR308" s="589"/>
      <c r="AS308" s="589"/>
      <c r="AT308" s="589"/>
      <c r="AU308" s="589"/>
      <c r="AV308" s="589"/>
      <c r="AW308" s="589"/>
      <c r="AX308" s="589"/>
      <c r="AY308" s="589"/>
      <c r="AZ308" s="589"/>
      <c r="BA308" s="589"/>
      <c r="BB308" s="589"/>
      <c r="BC308" s="589"/>
      <c r="BD308" s="589"/>
      <c r="BE308" s="589"/>
      <c r="BF308" s="589"/>
      <c r="BG308" s="589"/>
      <c r="BH308" s="589"/>
      <c r="BI308" s="589"/>
      <c r="BJ308" s="589"/>
      <c r="BK308" s="589"/>
      <c r="BL308" s="589"/>
    </row>
    <row r="309" spans="1:64" ht="14.25" customHeight="1">
      <c r="A309" s="691" t="s">
        <v>646</v>
      </c>
      <c r="B309" s="589"/>
      <c r="C309" s="589"/>
      <c r="D309" s="589"/>
      <c r="E309" s="589"/>
      <c r="F309" s="591">
        <v>308</v>
      </c>
      <c r="G309" s="691" t="s">
        <v>167</v>
      </c>
      <c r="H309" s="691" t="s">
        <v>187</v>
      </c>
      <c r="I309" s="691" t="s">
        <v>137</v>
      </c>
      <c r="J309" s="691" t="s">
        <v>177</v>
      </c>
      <c r="K309" s="691" t="s">
        <v>125</v>
      </c>
      <c r="L309" s="691" t="s">
        <v>197</v>
      </c>
      <c r="M309" s="691" t="s">
        <v>237</v>
      </c>
      <c r="N309" s="691" t="s">
        <v>227</v>
      </c>
      <c r="O309" s="589"/>
      <c r="P309" s="717" cm="1">
        <f t="array" ref="P309">F309</f>
        <v>308</v>
      </c>
      <c r="Q309" s="620" t="str" cm="1">
        <f t="array" ref="Q309">RIGHT(G309,1)</f>
        <v>E</v>
      </c>
      <c r="R309" s="590" t="str" cm="1">
        <f t="array" ref="R309">RIGHT(H309,1)</f>
        <v>G</v>
      </c>
      <c r="S309" s="590" t="str" cm="1">
        <f t="array" ref="S309">RIGHT(I309,1)</f>
        <v>B</v>
      </c>
      <c r="T309" s="590" t="str" cm="1">
        <f t="array" ref="T309">RIGHT(J309,1)</f>
        <v>F</v>
      </c>
      <c r="U309" s="590" t="str" cm="1">
        <f t="array" ref="U309">RIGHT(K309,1)</f>
        <v>A</v>
      </c>
      <c r="V309" s="590" t="str" cm="1">
        <f t="array" ref="V309">RIGHT(L309,1)</f>
        <v>H</v>
      </c>
      <c r="W309" s="590" t="str" cm="1">
        <f t="array" ref="W309">RIGHT(M309,1)</f>
        <v>L</v>
      </c>
      <c r="X309" s="590" t="str" cm="1">
        <f t="array" ref="X309">RIGHT(N309,1)</f>
        <v>K</v>
      </c>
      <c r="Y309" s="708" cm="1">
        <f t="array" ref="Y309">COUNTIF($AA$2:$AA$9,Q309)+COUNTIF($AA$2:$AA$9,R309)+COUNTIF($AA$2:$AA$9,S309)+COUNTIF($AA$2:$AA$9,T309)+COUNTIF($AA$2:$AA$9,U309)+COUNTIF($AA$2:$AA$9,V309)+COUNTIF($AA$2:$AA$9,W309)+COUNTIF($AA$2:$AA$9,X309)</f>
        <v>4</v>
      </c>
      <c r="Z309" s="589"/>
      <c r="AA309" s="589"/>
      <c r="AB309" s="589"/>
      <c r="AC309" s="589"/>
      <c r="AD309" s="589"/>
      <c r="AE309" s="589"/>
      <c r="AF309" s="589"/>
      <c r="AG309" s="589"/>
      <c r="AH309" s="589"/>
      <c r="AI309" s="589"/>
      <c r="AJ309" s="589"/>
      <c r="AK309" s="589"/>
      <c r="AL309" s="589"/>
      <c r="AM309" s="589"/>
      <c r="AN309" s="589"/>
      <c r="AO309" s="589"/>
      <c r="AP309" s="589"/>
      <c r="AQ309" s="589"/>
      <c r="AR309" s="589"/>
      <c r="AS309" s="589"/>
      <c r="AT309" s="589"/>
      <c r="AU309" s="589"/>
      <c r="AV309" s="589"/>
      <c r="AW309" s="589"/>
      <c r="AX309" s="589"/>
      <c r="AY309" s="589"/>
      <c r="AZ309" s="589"/>
      <c r="BA309" s="589"/>
      <c r="BB309" s="589"/>
      <c r="BC309" s="589"/>
      <c r="BD309" s="589"/>
      <c r="BE309" s="589"/>
      <c r="BF309" s="589"/>
      <c r="BG309" s="589"/>
      <c r="BH309" s="589"/>
      <c r="BI309" s="589"/>
      <c r="BJ309" s="589"/>
      <c r="BK309" s="589"/>
      <c r="BL309" s="589"/>
    </row>
    <row r="310" spans="1:64" ht="14.25" customHeight="1">
      <c r="A310" s="691" t="s">
        <v>647</v>
      </c>
      <c r="B310" s="589"/>
      <c r="C310" s="589"/>
      <c r="D310" s="589"/>
      <c r="E310" s="589"/>
      <c r="F310" s="591">
        <v>309</v>
      </c>
      <c r="G310" s="691" t="s">
        <v>197</v>
      </c>
      <c r="H310" s="691" t="s">
        <v>217</v>
      </c>
      <c r="I310" s="691" t="s">
        <v>137</v>
      </c>
      <c r="J310" s="691" t="s">
        <v>177</v>
      </c>
      <c r="K310" s="691" t="s">
        <v>125</v>
      </c>
      <c r="L310" s="691" t="s">
        <v>187</v>
      </c>
      <c r="M310" s="691" t="s">
        <v>237</v>
      </c>
      <c r="N310" s="691" t="s">
        <v>167</v>
      </c>
      <c r="O310" s="589"/>
      <c r="P310" s="717" cm="1">
        <f t="array" ref="P310">F310</f>
        <v>309</v>
      </c>
      <c r="Q310" s="620" t="str" cm="1">
        <f t="array" ref="Q310">RIGHT(G310,1)</f>
        <v>H</v>
      </c>
      <c r="R310" s="590" t="str" cm="1">
        <f t="array" ref="R310">RIGHT(H310,1)</f>
        <v>J</v>
      </c>
      <c r="S310" s="590" t="str" cm="1">
        <f t="array" ref="S310">RIGHT(I310,1)</f>
        <v>B</v>
      </c>
      <c r="T310" s="590" t="str" cm="1">
        <f t="array" ref="T310">RIGHT(J310,1)</f>
        <v>F</v>
      </c>
      <c r="U310" s="590" t="str" cm="1">
        <f t="array" ref="U310">RIGHT(K310,1)</f>
        <v>A</v>
      </c>
      <c r="V310" s="590" t="str" cm="1">
        <f t="array" ref="V310">RIGHT(L310,1)</f>
        <v>G</v>
      </c>
      <c r="W310" s="590" t="str" cm="1">
        <f t="array" ref="W310">RIGHT(M310,1)</f>
        <v>L</v>
      </c>
      <c r="X310" s="590" t="str" cm="1">
        <f t="array" ref="X310">RIGHT(N310,1)</f>
        <v>E</v>
      </c>
      <c r="Y310" s="708" cm="1">
        <f t="array" ref="Y310">COUNTIF($AA$2:$AA$9,Q310)+COUNTIF($AA$2:$AA$9,R310)+COUNTIF($AA$2:$AA$9,S310)+COUNTIF($AA$2:$AA$9,T310)+COUNTIF($AA$2:$AA$9,U310)+COUNTIF($AA$2:$AA$9,V310)+COUNTIF($AA$2:$AA$9,W310)+COUNTIF($AA$2:$AA$9,X310)</f>
        <v>5</v>
      </c>
      <c r="Z310" s="589"/>
      <c r="AA310" s="589"/>
      <c r="AB310" s="589"/>
      <c r="AC310" s="589"/>
      <c r="AD310" s="589"/>
      <c r="AE310" s="589"/>
      <c r="AF310" s="589"/>
      <c r="AG310" s="589"/>
      <c r="AH310" s="589"/>
      <c r="AI310" s="589"/>
      <c r="AJ310" s="589"/>
      <c r="AK310" s="589"/>
      <c r="AL310" s="589"/>
      <c r="AM310" s="589"/>
      <c r="AN310" s="589"/>
      <c r="AO310" s="589"/>
      <c r="AP310" s="589"/>
      <c r="AQ310" s="589"/>
      <c r="AR310" s="589"/>
      <c r="AS310" s="589"/>
      <c r="AT310" s="589"/>
      <c r="AU310" s="589"/>
      <c r="AV310" s="589"/>
      <c r="AW310" s="589"/>
      <c r="AX310" s="589"/>
      <c r="AY310" s="589"/>
      <c r="AZ310" s="589"/>
      <c r="BA310" s="589"/>
      <c r="BB310" s="589"/>
      <c r="BC310" s="589"/>
      <c r="BD310" s="589"/>
      <c r="BE310" s="589"/>
      <c r="BF310" s="589"/>
      <c r="BG310" s="589"/>
      <c r="BH310" s="589"/>
      <c r="BI310" s="589"/>
      <c r="BJ310" s="589"/>
      <c r="BK310" s="589"/>
      <c r="BL310" s="589"/>
    </row>
    <row r="311" spans="1:64" ht="14.25" customHeight="1">
      <c r="A311" s="691" t="s">
        <v>648</v>
      </c>
      <c r="B311" s="589"/>
      <c r="C311" s="589"/>
      <c r="D311" s="589"/>
      <c r="E311" s="589"/>
      <c r="F311" s="591">
        <v>310</v>
      </c>
      <c r="G311" s="691" t="s">
        <v>197</v>
      </c>
      <c r="H311" s="691" t="s">
        <v>217</v>
      </c>
      <c r="I311" s="691" t="s">
        <v>137</v>
      </c>
      <c r="J311" s="691" t="s">
        <v>177</v>
      </c>
      <c r="K311" s="691" t="s">
        <v>125</v>
      </c>
      <c r="L311" s="691" t="s">
        <v>187</v>
      </c>
      <c r="M311" s="691" t="s">
        <v>167</v>
      </c>
      <c r="N311" s="691" t="s">
        <v>227</v>
      </c>
      <c r="O311" s="589"/>
      <c r="P311" s="717" cm="1">
        <f t="array" ref="P311">F311</f>
        <v>310</v>
      </c>
      <c r="Q311" s="620" t="str" cm="1">
        <f t="array" ref="Q311">RIGHT(G311,1)</f>
        <v>H</v>
      </c>
      <c r="R311" s="590" t="str" cm="1">
        <f t="array" ref="R311">RIGHT(H311,1)</f>
        <v>J</v>
      </c>
      <c r="S311" s="590" t="str" cm="1">
        <f t="array" ref="S311">RIGHT(I311,1)</f>
        <v>B</v>
      </c>
      <c r="T311" s="590" t="str" cm="1">
        <f t="array" ref="T311">RIGHT(J311,1)</f>
        <v>F</v>
      </c>
      <c r="U311" s="590" t="str" cm="1">
        <f t="array" ref="U311">RIGHT(K311,1)</f>
        <v>A</v>
      </c>
      <c r="V311" s="590" t="str" cm="1">
        <f t="array" ref="V311">RIGHT(L311,1)</f>
        <v>G</v>
      </c>
      <c r="W311" s="590" t="str" cm="1">
        <f t="array" ref="W311">RIGHT(M311,1)</f>
        <v>E</v>
      </c>
      <c r="X311" s="590" t="str" cm="1">
        <f t="array" ref="X311">RIGHT(N311,1)</f>
        <v>K</v>
      </c>
      <c r="Y311" s="708" cm="1">
        <f t="array" ref="Y311">COUNTIF($AA$2:$AA$9,Q311)+COUNTIF($AA$2:$AA$9,R311)+COUNTIF($AA$2:$AA$9,S311)+COUNTIF($AA$2:$AA$9,T311)+COUNTIF($AA$2:$AA$9,U311)+COUNTIF($AA$2:$AA$9,V311)+COUNTIF($AA$2:$AA$9,W311)+COUNTIF($AA$2:$AA$9,X311)</f>
        <v>4</v>
      </c>
      <c r="Z311" s="589"/>
      <c r="AA311" s="589"/>
      <c r="AB311" s="589"/>
      <c r="AC311" s="589"/>
      <c r="AD311" s="589"/>
      <c r="AE311" s="589"/>
      <c r="AF311" s="589"/>
      <c r="AG311" s="589"/>
      <c r="AH311" s="589"/>
      <c r="AI311" s="589"/>
      <c r="AJ311" s="589"/>
      <c r="AK311" s="589"/>
      <c r="AL311" s="589"/>
      <c r="AM311" s="589"/>
      <c r="AN311" s="589"/>
      <c r="AO311" s="589"/>
      <c r="AP311" s="589"/>
      <c r="AQ311" s="589"/>
      <c r="AR311" s="589"/>
      <c r="AS311" s="589"/>
      <c r="AT311" s="589"/>
      <c r="AU311" s="589"/>
      <c r="AV311" s="589"/>
      <c r="AW311" s="589"/>
      <c r="AX311" s="589"/>
      <c r="AY311" s="589"/>
      <c r="AZ311" s="589"/>
      <c r="BA311" s="589"/>
      <c r="BB311" s="589"/>
      <c r="BC311" s="589"/>
      <c r="BD311" s="589"/>
      <c r="BE311" s="589"/>
      <c r="BF311" s="589"/>
      <c r="BG311" s="589"/>
      <c r="BH311" s="589"/>
      <c r="BI311" s="589"/>
      <c r="BJ311" s="589"/>
      <c r="BK311" s="589"/>
      <c r="BL311" s="589"/>
    </row>
    <row r="312" spans="1:64" ht="14.25" customHeight="1">
      <c r="A312" s="691" t="s">
        <v>649</v>
      </c>
      <c r="B312" s="589"/>
      <c r="C312" s="589"/>
      <c r="D312" s="589"/>
      <c r="E312" s="589"/>
      <c r="F312" s="591">
        <v>311</v>
      </c>
      <c r="G312" s="691" t="s">
        <v>167</v>
      </c>
      <c r="H312" s="691" t="s">
        <v>187</v>
      </c>
      <c r="I312" s="691" t="s">
        <v>137</v>
      </c>
      <c r="J312" s="691" t="s">
        <v>177</v>
      </c>
      <c r="K312" s="691" t="s">
        <v>125</v>
      </c>
      <c r="L312" s="691" t="s">
        <v>197</v>
      </c>
      <c r="M312" s="691" t="s">
        <v>237</v>
      </c>
      <c r="N312" s="691" t="s">
        <v>207</v>
      </c>
      <c r="O312" s="589"/>
      <c r="P312" s="717" cm="1">
        <f t="array" ref="P312">F312</f>
        <v>311</v>
      </c>
      <c r="Q312" s="620" t="str" cm="1">
        <f t="array" ref="Q312">RIGHT(G312,1)</f>
        <v>E</v>
      </c>
      <c r="R312" s="590" t="str" cm="1">
        <f t="array" ref="R312">RIGHT(H312,1)</f>
        <v>G</v>
      </c>
      <c r="S312" s="590" t="str" cm="1">
        <f t="array" ref="S312">RIGHT(I312,1)</f>
        <v>B</v>
      </c>
      <c r="T312" s="590" t="str" cm="1">
        <f t="array" ref="T312">RIGHT(J312,1)</f>
        <v>F</v>
      </c>
      <c r="U312" s="590" t="str" cm="1">
        <f t="array" ref="U312">RIGHT(K312,1)</f>
        <v>A</v>
      </c>
      <c r="V312" s="590" t="str" cm="1">
        <f t="array" ref="V312">RIGHT(L312,1)</f>
        <v>H</v>
      </c>
      <c r="W312" s="590" t="str" cm="1">
        <f t="array" ref="W312">RIGHT(M312,1)</f>
        <v>L</v>
      </c>
      <c r="X312" s="590" t="str" cm="1">
        <f t="array" ref="X312">RIGHT(N312,1)</f>
        <v>I</v>
      </c>
      <c r="Y312" s="708" cm="1">
        <f t="array" ref="Y312">COUNTIF($AA$2:$AA$9,Q312)+COUNTIF($AA$2:$AA$9,R312)+COUNTIF($AA$2:$AA$9,S312)+COUNTIF($AA$2:$AA$9,T312)+COUNTIF($AA$2:$AA$9,U312)+COUNTIF($AA$2:$AA$9,V312)+COUNTIF($AA$2:$AA$9,W312)+COUNTIF($AA$2:$AA$9,X312)</f>
        <v>5</v>
      </c>
      <c r="Z312" s="589"/>
      <c r="AA312" s="589"/>
      <c r="AB312" s="589"/>
      <c r="AC312" s="589"/>
      <c r="AD312" s="589"/>
      <c r="AE312" s="589"/>
      <c r="AF312" s="589"/>
      <c r="AG312" s="589"/>
      <c r="AH312" s="589"/>
      <c r="AI312" s="589"/>
      <c r="AJ312" s="589"/>
      <c r="AK312" s="589"/>
      <c r="AL312" s="589"/>
      <c r="AM312" s="589"/>
      <c r="AN312" s="589"/>
      <c r="AO312" s="589"/>
      <c r="AP312" s="589"/>
      <c r="AQ312" s="589"/>
      <c r="AR312" s="589"/>
      <c r="AS312" s="589"/>
      <c r="AT312" s="589"/>
      <c r="AU312" s="589"/>
      <c r="AV312" s="589"/>
      <c r="AW312" s="589"/>
      <c r="AX312" s="589"/>
      <c r="AY312" s="589"/>
      <c r="AZ312" s="589"/>
      <c r="BA312" s="589"/>
      <c r="BB312" s="589"/>
      <c r="BC312" s="589"/>
      <c r="BD312" s="589"/>
      <c r="BE312" s="589"/>
      <c r="BF312" s="589"/>
      <c r="BG312" s="589"/>
      <c r="BH312" s="589"/>
      <c r="BI312" s="589"/>
      <c r="BJ312" s="589"/>
      <c r="BK312" s="589"/>
      <c r="BL312" s="589"/>
    </row>
    <row r="313" spans="1:64" ht="14.25" customHeight="1">
      <c r="A313" s="691" t="s">
        <v>650</v>
      </c>
      <c r="B313" s="589"/>
      <c r="C313" s="589"/>
      <c r="D313" s="589"/>
      <c r="E313" s="589"/>
      <c r="F313" s="591">
        <v>312</v>
      </c>
      <c r="G313" s="691" t="s">
        <v>167</v>
      </c>
      <c r="H313" s="691" t="s">
        <v>187</v>
      </c>
      <c r="I313" s="691" t="s">
        <v>137</v>
      </c>
      <c r="J313" s="691" t="s">
        <v>177</v>
      </c>
      <c r="K313" s="691" t="s">
        <v>125</v>
      </c>
      <c r="L313" s="691" t="s">
        <v>197</v>
      </c>
      <c r="M313" s="691" t="s">
        <v>207</v>
      </c>
      <c r="N313" s="691" t="s">
        <v>227</v>
      </c>
      <c r="O313" s="589"/>
      <c r="P313" s="717" cm="1">
        <f t="array" ref="P313">F313</f>
        <v>312</v>
      </c>
      <c r="Q313" s="620" t="str" cm="1">
        <f t="array" ref="Q313">RIGHT(G313,1)</f>
        <v>E</v>
      </c>
      <c r="R313" s="590" t="str" cm="1">
        <f t="array" ref="R313">RIGHT(H313,1)</f>
        <v>G</v>
      </c>
      <c r="S313" s="590" t="str" cm="1">
        <f t="array" ref="S313">RIGHT(I313,1)</f>
        <v>B</v>
      </c>
      <c r="T313" s="590" t="str" cm="1">
        <f t="array" ref="T313">RIGHT(J313,1)</f>
        <v>F</v>
      </c>
      <c r="U313" s="590" t="str" cm="1">
        <f t="array" ref="U313">RIGHT(K313,1)</f>
        <v>A</v>
      </c>
      <c r="V313" s="590" t="str" cm="1">
        <f t="array" ref="V313">RIGHT(L313,1)</f>
        <v>H</v>
      </c>
      <c r="W313" s="590" t="str" cm="1">
        <f t="array" ref="W313">RIGHT(M313,1)</f>
        <v>I</v>
      </c>
      <c r="X313" s="590" t="str" cm="1">
        <f t="array" ref="X313">RIGHT(N313,1)</f>
        <v>K</v>
      </c>
      <c r="Y313" s="708" cm="1">
        <f t="array" ref="Y313">COUNTIF($AA$2:$AA$9,Q313)+COUNTIF($AA$2:$AA$9,R313)+COUNTIF($AA$2:$AA$9,S313)+COUNTIF($AA$2:$AA$9,T313)+COUNTIF($AA$2:$AA$9,U313)+COUNTIF($AA$2:$AA$9,V313)+COUNTIF($AA$2:$AA$9,W313)+COUNTIF($AA$2:$AA$9,X313)</f>
        <v>4</v>
      </c>
      <c r="Z313" s="589"/>
      <c r="AA313" s="589"/>
      <c r="AB313" s="589"/>
      <c r="AC313" s="589"/>
      <c r="AD313" s="589"/>
      <c r="AE313" s="589"/>
      <c r="AF313" s="589"/>
      <c r="AG313" s="589"/>
      <c r="AH313" s="589"/>
      <c r="AI313" s="589"/>
      <c r="AJ313" s="589"/>
      <c r="AK313" s="589"/>
      <c r="AL313" s="589"/>
      <c r="AM313" s="589"/>
      <c r="AN313" s="589"/>
      <c r="AO313" s="589"/>
      <c r="AP313" s="589"/>
      <c r="AQ313" s="589"/>
      <c r="AR313" s="589"/>
      <c r="AS313" s="589"/>
      <c r="AT313" s="589"/>
      <c r="AU313" s="589"/>
      <c r="AV313" s="589"/>
      <c r="AW313" s="589"/>
      <c r="AX313" s="589"/>
      <c r="AY313" s="589"/>
      <c r="AZ313" s="589"/>
      <c r="BA313" s="589"/>
      <c r="BB313" s="589"/>
      <c r="BC313" s="589"/>
      <c r="BD313" s="589"/>
      <c r="BE313" s="589"/>
      <c r="BF313" s="589"/>
      <c r="BG313" s="589"/>
      <c r="BH313" s="589"/>
      <c r="BI313" s="589"/>
      <c r="BJ313" s="589"/>
      <c r="BK313" s="589"/>
      <c r="BL313" s="589"/>
    </row>
    <row r="314" spans="1:64" ht="14.25" customHeight="1">
      <c r="A314" s="691" t="s">
        <v>651</v>
      </c>
      <c r="B314" s="589"/>
      <c r="C314" s="589"/>
      <c r="D314" s="589"/>
      <c r="E314" s="589"/>
      <c r="F314" s="591">
        <v>313</v>
      </c>
      <c r="G314" s="691" t="s">
        <v>197</v>
      </c>
      <c r="H314" s="691" t="s">
        <v>217</v>
      </c>
      <c r="I314" s="691" t="s">
        <v>137</v>
      </c>
      <c r="J314" s="691" t="s">
        <v>177</v>
      </c>
      <c r="K314" s="691" t="s">
        <v>125</v>
      </c>
      <c r="L314" s="691" t="s">
        <v>187</v>
      </c>
      <c r="M314" s="691" t="s">
        <v>167</v>
      </c>
      <c r="N314" s="691" t="s">
        <v>207</v>
      </c>
      <c r="O314" s="589"/>
      <c r="P314" s="717" cm="1">
        <f t="array" ref="P314">F314</f>
        <v>313</v>
      </c>
      <c r="Q314" s="620" t="str" cm="1">
        <f t="array" ref="Q314">RIGHT(G314,1)</f>
        <v>H</v>
      </c>
      <c r="R314" s="590" t="str" cm="1">
        <f t="array" ref="R314">RIGHT(H314,1)</f>
        <v>J</v>
      </c>
      <c r="S314" s="590" t="str" cm="1">
        <f t="array" ref="S314">RIGHT(I314,1)</f>
        <v>B</v>
      </c>
      <c r="T314" s="590" t="str" cm="1">
        <f t="array" ref="T314">RIGHT(J314,1)</f>
        <v>F</v>
      </c>
      <c r="U314" s="590" t="str" cm="1">
        <f t="array" ref="U314">RIGHT(K314,1)</f>
        <v>A</v>
      </c>
      <c r="V314" s="590" t="str" cm="1">
        <f t="array" ref="V314">RIGHT(L314,1)</f>
        <v>G</v>
      </c>
      <c r="W314" s="590" t="str" cm="1">
        <f t="array" ref="W314">RIGHT(M314,1)</f>
        <v>E</v>
      </c>
      <c r="X314" s="590" t="str" cm="1">
        <f t="array" ref="X314">RIGHT(N314,1)</f>
        <v>I</v>
      </c>
      <c r="Y314" s="708" cm="1">
        <f t="array" ref="Y314">COUNTIF($AA$2:$AA$9,Q314)+COUNTIF($AA$2:$AA$9,R314)+COUNTIF($AA$2:$AA$9,S314)+COUNTIF($AA$2:$AA$9,T314)+COUNTIF($AA$2:$AA$9,U314)+COUNTIF($AA$2:$AA$9,V314)+COUNTIF($AA$2:$AA$9,W314)+COUNTIF($AA$2:$AA$9,X314)</f>
        <v>5</v>
      </c>
      <c r="Z314" s="589"/>
      <c r="AA314" s="589"/>
      <c r="AB314" s="589"/>
      <c r="AC314" s="589"/>
      <c r="AD314" s="589"/>
      <c r="AE314" s="589"/>
      <c r="AF314" s="589"/>
      <c r="AG314" s="589"/>
      <c r="AH314" s="589"/>
      <c r="AI314" s="589"/>
      <c r="AJ314" s="589"/>
      <c r="AK314" s="589"/>
      <c r="AL314" s="589"/>
      <c r="AM314" s="589"/>
      <c r="AN314" s="589"/>
      <c r="AO314" s="589"/>
      <c r="AP314" s="589"/>
      <c r="AQ314" s="589"/>
      <c r="AR314" s="589"/>
      <c r="AS314" s="589"/>
      <c r="AT314" s="589"/>
      <c r="AU314" s="589"/>
      <c r="AV314" s="589"/>
      <c r="AW314" s="589"/>
      <c r="AX314" s="589"/>
      <c r="AY314" s="589"/>
      <c r="AZ314" s="589"/>
      <c r="BA314" s="589"/>
      <c r="BB314" s="589"/>
      <c r="BC314" s="589"/>
      <c r="BD314" s="589"/>
      <c r="BE314" s="589"/>
      <c r="BF314" s="589"/>
      <c r="BG314" s="589"/>
      <c r="BH314" s="589"/>
      <c r="BI314" s="589"/>
      <c r="BJ314" s="589"/>
      <c r="BK314" s="589"/>
      <c r="BL314" s="589"/>
    </row>
    <row r="315" spans="1:64" ht="14.25" customHeight="1">
      <c r="A315" s="691" t="s">
        <v>652</v>
      </c>
      <c r="B315" s="589"/>
      <c r="C315" s="589"/>
      <c r="D315" s="589"/>
      <c r="E315" s="589"/>
      <c r="F315" s="591">
        <v>314</v>
      </c>
      <c r="G315" s="691" t="s">
        <v>207</v>
      </c>
      <c r="H315" s="691" t="s">
        <v>217</v>
      </c>
      <c r="I315" s="691" t="s">
        <v>137</v>
      </c>
      <c r="J315" s="691" t="s">
        <v>157</v>
      </c>
      <c r="K315" s="691" t="s">
        <v>125</v>
      </c>
      <c r="L315" s="691" t="s">
        <v>197</v>
      </c>
      <c r="M315" s="691" t="s">
        <v>237</v>
      </c>
      <c r="N315" s="691" t="s">
        <v>227</v>
      </c>
      <c r="O315" s="589"/>
      <c r="P315" s="717" cm="1">
        <f t="array" ref="P315">F315</f>
        <v>314</v>
      </c>
      <c r="Q315" s="620" t="str" cm="1">
        <f t="array" ref="Q315">RIGHT(G315,1)</f>
        <v>I</v>
      </c>
      <c r="R315" s="590" t="str" cm="1">
        <f t="array" ref="R315">RIGHT(H315,1)</f>
        <v>J</v>
      </c>
      <c r="S315" s="590" t="str" cm="1">
        <f t="array" ref="S315">RIGHT(I315,1)</f>
        <v>B</v>
      </c>
      <c r="T315" s="590" t="str" cm="1">
        <f t="array" ref="T315">RIGHT(J315,1)</f>
        <v>D</v>
      </c>
      <c r="U315" s="590" t="str" cm="1">
        <f t="array" ref="U315">RIGHT(K315,1)</f>
        <v>A</v>
      </c>
      <c r="V315" s="590" t="str" cm="1">
        <f t="array" ref="V315">RIGHT(L315,1)</f>
        <v>H</v>
      </c>
      <c r="W315" s="590" t="str" cm="1">
        <f t="array" ref="W315">RIGHT(M315,1)</f>
        <v>L</v>
      </c>
      <c r="X315" s="590" t="str" cm="1">
        <f t="array" ref="X315">RIGHT(N315,1)</f>
        <v>K</v>
      </c>
      <c r="Y315" s="708" cm="1">
        <f t="array" ref="Y315">COUNTIF($AA$2:$AA$9,Q315)+COUNTIF($AA$2:$AA$9,R315)+COUNTIF($AA$2:$AA$9,S315)+COUNTIF($AA$2:$AA$9,T315)+COUNTIF($AA$2:$AA$9,U315)+COUNTIF($AA$2:$AA$9,V315)+COUNTIF($AA$2:$AA$9,W315)+COUNTIF($AA$2:$AA$9,X315)</f>
        <v>5</v>
      </c>
      <c r="Z315" s="589"/>
      <c r="AA315" s="589"/>
      <c r="AB315" s="589"/>
      <c r="AC315" s="589"/>
      <c r="AD315" s="589"/>
      <c r="AE315" s="589"/>
      <c r="AF315" s="589"/>
      <c r="AG315" s="589"/>
      <c r="AH315" s="589"/>
      <c r="AI315" s="589"/>
      <c r="AJ315" s="589"/>
      <c r="AK315" s="589"/>
      <c r="AL315" s="589"/>
      <c r="AM315" s="589"/>
      <c r="AN315" s="589"/>
      <c r="AO315" s="589"/>
      <c r="AP315" s="589"/>
      <c r="AQ315" s="589"/>
      <c r="AR315" s="589"/>
      <c r="AS315" s="589"/>
      <c r="AT315" s="589"/>
      <c r="AU315" s="589"/>
      <c r="AV315" s="589"/>
      <c r="AW315" s="589"/>
      <c r="AX315" s="589"/>
      <c r="AY315" s="589"/>
      <c r="AZ315" s="589"/>
      <c r="BA315" s="589"/>
      <c r="BB315" s="589"/>
      <c r="BC315" s="589"/>
      <c r="BD315" s="589"/>
      <c r="BE315" s="589"/>
      <c r="BF315" s="589"/>
      <c r="BG315" s="589"/>
      <c r="BH315" s="589"/>
      <c r="BI315" s="589"/>
      <c r="BJ315" s="589"/>
      <c r="BK315" s="589"/>
      <c r="BL315" s="589"/>
    </row>
    <row r="316" spans="1:64" ht="14.25" customHeight="1">
      <c r="A316" s="691" t="s">
        <v>653</v>
      </c>
      <c r="B316" s="589"/>
      <c r="C316" s="589"/>
      <c r="D316" s="589"/>
      <c r="E316" s="589"/>
      <c r="F316" s="591">
        <v>315</v>
      </c>
      <c r="G316" s="691" t="s">
        <v>207</v>
      </c>
      <c r="H316" s="691" t="s">
        <v>217</v>
      </c>
      <c r="I316" s="691" t="s">
        <v>137</v>
      </c>
      <c r="J316" s="691" t="s">
        <v>157</v>
      </c>
      <c r="K316" s="691" t="s">
        <v>125</v>
      </c>
      <c r="L316" s="691" t="s">
        <v>187</v>
      </c>
      <c r="M316" s="691" t="s">
        <v>237</v>
      </c>
      <c r="N316" s="691" t="s">
        <v>227</v>
      </c>
      <c r="O316" s="589"/>
      <c r="P316" s="717" cm="1">
        <f t="array" ref="P316">F316</f>
        <v>315</v>
      </c>
      <c r="Q316" s="620" t="str" cm="1">
        <f t="array" ref="Q316">RIGHT(G316,1)</f>
        <v>I</v>
      </c>
      <c r="R316" s="590" t="str" cm="1">
        <f t="array" ref="R316">RIGHT(H316,1)</f>
        <v>J</v>
      </c>
      <c r="S316" s="590" t="str" cm="1">
        <f t="array" ref="S316">RIGHT(I316,1)</f>
        <v>B</v>
      </c>
      <c r="T316" s="590" t="str" cm="1">
        <f t="array" ref="T316">RIGHT(J316,1)</f>
        <v>D</v>
      </c>
      <c r="U316" s="590" t="str" cm="1">
        <f t="array" ref="U316">RIGHT(K316,1)</f>
        <v>A</v>
      </c>
      <c r="V316" s="590" t="str" cm="1">
        <f t="array" ref="V316">RIGHT(L316,1)</f>
        <v>G</v>
      </c>
      <c r="W316" s="590" t="str" cm="1">
        <f t="array" ref="W316">RIGHT(M316,1)</f>
        <v>L</v>
      </c>
      <c r="X316" s="590" t="str" cm="1">
        <f t="array" ref="X316">RIGHT(N316,1)</f>
        <v>K</v>
      </c>
      <c r="Y316" s="708" cm="1">
        <f t="array" ref="Y316">COUNTIF($AA$2:$AA$9,Q316)+COUNTIF($AA$2:$AA$9,R316)+COUNTIF($AA$2:$AA$9,S316)+COUNTIF($AA$2:$AA$9,T316)+COUNTIF($AA$2:$AA$9,U316)+COUNTIF($AA$2:$AA$9,V316)+COUNTIF($AA$2:$AA$9,W316)+COUNTIF($AA$2:$AA$9,X316)</f>
        <v>5</v>
      </c>
      <c r="Z316" s="589"/>
      <c r="AA316" s="589"/>
      <c r="AB316" s="589"/>
      <c r="AC316" s="589"/>
      <c r="AD316" s="589"/>
      <c r="AE316" s="589"/>
      <c r="AF316" s="589"/>
      <c r="AG316" s="589"/>
      <c r="AH316" s="589"/>
      <c r="AI316" s="589"/>
      <c r="AJ316" s="589"/>
      <c r="AK316" s="589"/>
      <c r="AL316" s="589"/>
      <c r="AM316" s="589"/>
      <c r="AN316" s="589"/>
      <c r="AO316" s="589"/>
      <c r="AP316" s="589"/>
      <c r="AQ316" s="589"/>
      <c r="AR316" s="589"/>
      <c r="AS316" s="589"/>
      <c r="AT316" s="589"/>
      <c r="AU316" s="589"/>
      <c r="AV316" s="589"/>
      <c r="AW316" s="589"/>
      <c r="AX316" s="589"/>
      <c r="AY316" s="589"/>
      <c r="AZ316" s="589"/>
      <c r="BA316" s="589"/>
      <c r="BB316" s="589"/>
      <c r="BC316" s="589"/>
      <c r="BD316" s="589"/>
      <c r="BE316" s="589"/>
      <c r="BF316" s="589"/>
      <c r="BG316" s="589"/>
      <c r="BH316" s="589"/>
      <c r="BI316" s="589"/>
      <c r="BJ316" s="589"/>
      <c r="BK316" s="589"/>
      <c r="BL316" s="589"/>
    </row>
    <row r="317" spans="1:64" ht="14.25" customHeight="1">
      <c r="A317" s="691" t="s">
        <v>654</v>
      </c>
      <c r="B317" s="589"/>
      <c r="C317" s="589"/>
      <c r="D317" s="589"/>
      <c r="E317" s="589"/>
      <c r="F317" s="591">
        <v>316</v>
      </c>
      <c r="G317" s="691" t="s">
        <v>197</v>
      </c>
      <c r="H317" s="691" t="s">
        <v>217</v>
      </c>
      <c r="I317" s="691" t="s">
        <v>137</v>
      </c>
      <c r="J317" s="691" t="s">
        <v>157</v>
      </c>
      <c r="K317" s="691" t="s">
        <v>125</v>
      </c>
      <c r="L317" s="691" t="s">
        <v>187</v>
      </c>
      <c r="M317" s="691" t="s">
        <v>237</v>
      </c>
      <c r="N317" s="691" t="s">
        <v>227</v>
      </c>
      <c r="O317" s="589"/>
      <c r="P317" s="717" cm="1">
        <f t="array" ref="P317">F317</f>
        <v>316</v>
      </c>
      <c r="Q317" s="620" t="str" cm="1">
        <f t="array" ref="Q317">RIGHT(G317,1)</f>
        <v>H</v>
      </c>
      <c r="R317" s="590" t="str" cm="1">
        <f t="array" ref="R317">RIGHT(H317,1)</f>
        <v>J</v>
      </c>
      <c r="S317" s="590" t="str" cm="1">
        <f t="array" ref="S317">RIGHT(I317,1)</f>
        <v>B</v>
      </c>
      <c r="T317" s="590" t="str" cm="1">
        <f t="array" ref="T317">RIGHT(J317,1)</f>
        <v>D</v>
      </c>
      <c r="U317" s="590" t="str" cm="1">
        <f t="array" ref="U317">RIGHT(K317,1)</f>
        <v>A</v>
      </c>
      <c r="V317" s="590" t="str" cm="1">
        <f t="array" ref="V317">RIGHT(L317,1)</f>
        <v>G</v>
      </c>
      <c r="W317" s="590" t="str" cm="1">
        <f t="array" ref="W317">RIGHT(M317,1)</f>
        <v>L</v>
      </c>
      <c r="X317" s="590" t="str" cm="1">
        <f t="array" ref="X317">RIGHT(N317,1)</f>
        <v>K</v>
      </c>
      <c r="Y317" s="708" cm="1">
        <f t="array" ref="Y317">COUNTIF($AA$2:$AA$9,Q317)+COUNTIF($AA$2:$AA$9,R317)+COUNTIF($AA$2:$AA$9,S317)+COUNTIF($AA$2:$AA$9,T317)+COUNTIF($AA$2:$AA$9,U317)+COUNTIF($AA$2:$AA$9,V317)+COUNTIF($AA$2:$AA$9,W317)+COUNTIF($AA$2:$AA$9,X317)</f>
        <v>4</v>
      </c>
      <c r="Z317" s="589"/>
      <c r="AA317" s="589"/>
      <c r="AB317" s="589"/>
      <c r="AC317" s="589"/>
      <c r="AD317" s="589"/>
      <c r="AE317" s="589"/>
      <c r="AF317" s="589"/>
      <c r="AG317" s="589"/>
      <c r="AH317" s="589"/>
      <c r="AI317" s="589"/>
      <c r="AJ317" s="589"/>
      <c r="AK317" s="589"/>
      <c r="AL317" s="589"/>
      <c r="AM317" s="589"/>
      <c r="AN317" s="589"/>
      <c r="AO317" s="589"/>
      <c r="AP317" s="589"/>
      <c r="AQ317" s="589"/>
      <c r="AR317" s="589"/>
      <c r="AS317" s="589"/>
      <c r="AT317" s="589"/>
      <c r="AU317" s="589"/>
      <c r="AV317" s="589"/>
      <c r="AW317" s="589"/>
      <c r="AX317" s="589"/>
      <c r="AY317" s="589"/>
      <c r="AZ317" s="589"/>
      <c r="BA317" s="589"/>
      <c r="BB317" s="589"/>
      <c r="BC317" s="589"/>
      <c r="BD317" s="589"/>
      <c r="BE317" s="589"/>
      <c r="BF317" s="589"/>
      <c r="BG317" s="589"/>
      <c r="BH317" s="589"/>
      <c r="BI317" s="589"/>
      <c r="BJ317" s="589"/>
      <c r="BK317" s="589"/>
      <c r="BL317" s="589"/>
    </row>
    <row r="318" spans="1:64" ht="14.25" customHeight="1">
      <c r="A318" s="691" t="s">
        <v>655</v>
      </c>
      <c r="B318" s="589"/>
      <c r="C318" s="589"/>
      <c r="D318" s="589"/>
      <c r="E318" s="589"/>
      <c r="F318" s="591">
        <v>317</v>
      </c>
      <c r="G318" s="691" t="s">
        <v>207</v>
      </c>
      <c r="H318" s="691" t="s">
        <v>187</v>
      </c>
      <c r="I318" s="691" t="s">
        <v>137</v>
      </c>
      <c r="J318" s="691" t="s">
        <v>157</v>
      </c>
      <c r="K318" s="691" t="s">
        <v>125</v>
      </c>
      <c r="L318" s="691" t="s">
        <v>197</v>
      </c>
      <c r="M318" s="691" t="s">
        <v>237</v>
      </c>
      <c r="N318" s="691" t="s">
        <v>227</v>
      </c>
      <c r="O318" s="589"/>
      <c r="P318" s="717" cm="1">
        <f t="array" ref="P318">F318</f>
        <v>317</v>
      </c>
      <c r="Q318" s="620" t="str" cm="1">
        <f t="array" ref="Q318">RIGHT(G318,1)</f>
        <v>I</v>
      </c>
      <c r="R318" s="590" t="str" cm="1">
        <f t="array" ref="R318">RIGHT(H318,1)</f>
        <v>G</v>
      </c>
      <c r="S318" s="590" t="str" cm="1">
        <f t="array" ref="S318">RIGHT(I318,1)</f>
        <v>B</v>
      </c>
      <c r="T318" s="590" t="str" cm="1">
        <f t="array" ref="T318">RIGHT(J318,1)</f>
        <v>D</v>
      </c>
      <c r="U318" s="590" t="str" cm="1">
        <f t="array" ref="U318">RIGHT(K318,1)</f>
        <v>A</v>
      </c>
      <c r="V318" s="590" t="str" cm="1">
        <f t="array" ref="V318">RIGHT(L318,1)</f>
        <v>H</v>
      </c>
      <c r="W318" s="590" t="str" cm="1">
        <f t="array" ref="W318">RIGHT(M318,1)</f>
        <v>L</v>
      </c>
      <c r="X318" s="590" t="str" cm="1">
        <f t="array" ref="X318">RIGHT(N318,1)</f>
        <v>K</v>
      </c>
      <c r="Y318" s="708" cm="1">
        <f t="array" ref="Y318">COUNTIF($AA$2:$AA$9,Q318)+COUNTIF($AA$2:$AA$9,R318)+COUNTIF($AA$2:$AA$9,S318)+COUNTIF($AA$2:$AA$9,T318)+COUNTIF($AA$2:$AA$9,U318)+COUNTIF($AA$2:$AA$9,V318)+COUNTIF($AA$2:$AA$9,W318)+COUNTIF($AA$2:$AA$9,X318)</f>
        <v>4</v>
      </c>
      <c r="Z318" s="589"/>
      <c r="AA318" s="589"/>
      <c r="AB318" s="589"/>
      <c r="AC318" s="589"/>
      <c r="AD318" s="589"/>
      <c r="AE318" s="589"/>
      <c r="AF318" s="589"/>
      <c r="AG318" s="589"/>
      <c r="AH318" s="589"/>
      <c r="AI318" s="589"/>
      <c r="AJ318" s="589"/>
      <c r="AK318" s="589"/>
      <c r="AL318" s="589"/>
      <c r="AM318" s="589"/>
      <c r="AN318" s="589"/>
      <c r="AO318" s="589"/>
      <c r="AP318" s="589"/>
      <c r="AQ318" s="589"/>
      <c r="AR318" s="589"/>
      <c r="AS318" s="589"/>
      <c r="AT318" s="589"/>
      <c r="AU318" s="589"/>
      <c r="AV318" s="589"/>
      <c r="AW318" s="589"/>
      <c r="AX318" s="589"/>
      <c r="AY318" s="589"/>
      <c r="AZ318" s="589"/>
      <c r="BA318" s="589"/>
      <c r="BB318" s="589"/>
      <c r="BC318" s="589"/>
      <c r="BD318" s="589"/>
      <c r="BE318" s="589"/>
      <c r="BF318" s="589"/>
      <c r="BG318" s="589"/>
      <c r="BH318" s="589"/>
      <c r="BI318" s="589"/>
      <c r="BJ318" s="589"/>
      <c r="BK318" s="589"/>
      <c r="BL318" s="589"/>
    </row>
    <row r="319" spans="1:64" ht="14.25" customHeight="1">
      <c r="A319" s="691" t="s">
        <v>656</v>
      </c>
      <c r="B319" s="589"/>
      <c r="C319" s="589"/>
      <c r="D319" s="589"/>
      <c r="E319" s="589"/>
      <c r="F319" s="591">
        <v>318</v>
      </c>
      <c r="G319" s="691" t="s">
        <v>197</v>
      </c>
      <c r="H319" s="691" t="s">
        <v>217</v>
      </c>
      <c r="I319" s="691" t="s">
        <v>137</v>
      </c>
      <c r="J319" s="691" t="s">
        <v>157</v>
      </c>
      <c r="K319" s="691" t="s">
        <v>125</v>
      </c>
      <c r="L319" s="691" t="s">
        <v>187</v>
      </c>
      <c r="M319" s="691" t="s">
        <v>237</v>
      </c>
      <c r="N319" s="691" t="s">
        <v>207</v>
      </c>
      <c r="O319" s="589"/>
      <c r="P319" s="717" cm="1">
        <f t="array" ref="P319">F319</f>
        <v>318</v>
      </c>
      <c r="Q319" s="620" t="str" cm="1">
        <f t="array" ref="Q319">RIGHT(G319,1)</f>
        <v>H</v>
      </c>
      <c r="R319" s="590" t="str" cm="1">
        <f t="array" ref="R319">RIGHT(H319,1)</f>
        <v>J</v>
      </c>
      <c r="S319" s="590" t="str" cm="1">
        <f t="array" ref="S319">RIGHT(I319,1)</f>
        <v>B</v>
      </c>
      <c r="T319" s="590" t="str" cm="1">
        <f t="array" ref="T319">RIGHT(J319,1)</f>
        <v>D</v>
      </c>
      <c r="U319" s="590" t="str" cm="1">
        <f t="array" ref="U319">RIGHT(K319,1)</f>
        <v>A</v>
      </c>
      <c r="V319" s="590" t="str" cm="1">
        <f t="array" ref="V319">RIGHT(L319,1)</f>
        <v>G</v>
      </c>
      <c r="W319" s="590" t="str" cm="1">
        <f t="array" ref="W319">RIGHT(M319,1)</f>
        <v>L</v>
      </c>
      <c r="X319" s="590" t="str" cm="1">
        <f t="array" ref="X319">RIGHT(N319,1)</f>
        <v>I</v>
      </c>
      <c r="Y319" s="708" cm="1">
        <f t="array" ref="Y319">COUNTIF($AA$2:$AA$9,Q319)+COUNTIF($AA$2:$AA$9,R319)+COUNTIF($AA$2:$AA$9,S319)+COUNTIF($AA$2:$AA$9,T319)+COUNTIF($AA$2:$AA$9,U319)+COUNTIF($AA$2:$AA$9,V319)+COUNTIF($AA$2:$AA$9,W319)+COUNTIF($AA$2:$AA$9,X319)</f>
        <v>5</v>
      </c>
      <c r="Z319" s="589"/>
      <c r="AA319" s="589"/>
      <c r="AB319" s="589"/>
      <c r="AC319" s="589"/>
      <c r="AD319" s="589"/>
      <c r="AE319" s="589"/>
      <c r="AF319" s="589"/>
      <c r="AG319" s="589"/>
      <c r="AH319" s="589"/>
      <c r="AI319" s="589"/>
      <c r="AJ319" s="589"/>
      <c r="AK319" s="589"/>
      <c r="AL319" s="589"/>
      <c r="AM319" s="589"/>
      <c r="AN319" s="589"/>
      <c r="AO319" s="589"/>
      <c r="AP319" s="589"/>
      <c r="AQ319" s="589"/>
      <c r="AR319" s="589"/>
      <c r="AS319" s="589"/>
      <c r="AT319" s="589"/>
      <c r="AU319" s="589"/>
      <c r="AV319" s="589"/>
      <c r="AW319" s="589"/>
      <c r="AX319" s="589"/>
      <c r="AY319" s="589"/>
      <c r="AZ319" s="589"/>
      <c r="BA319" s="589"/>
      <c r="BB319" s="589"/>
      <c r="BC319" s="589"/>
      <c r="BD319" s="589"/>
      <c r="BE319" s="589"/>
      <c r="BF319" s="589"/>
      <c r="BG319" s="589"/>
      <c r="BH319" s="589"/>
      <c r="BI319" s="589"/>
      <c r="BJ319" s="589"/>
      <c r="BK319" s="589"/>
      <c r="BL319" s="589"/>
    </row>
    <row r="320" spans="1:64" ht="14.25" customHeight="1">
      <c r="A320" s="691" t="s">
        <v>657</v>
      </c>
      <c r="B320" s="589"/>
      <c r="C320" s="589"/>
      <c r="D320" s="589"/>
      <c r="E320" s="589"/>
      <c r="F320" s="591">
        <v>319</v>
      </c>
      <c r="G320" s="691" t="s">
        <v>197</v>
      </c>
      <c r="H320" s="691" t="s">
        <v>217</v>
      </c>
      <c r="I320" s="691" t="s">
        <v>137</v>
      </c>
      <c r="J320" s="691" t="s">
        <v>157</v>
      </c>
      <c r="K320" s="691" t="s">
        <v>125</v>
      </c>
      <c r="L320" s="691" t="s">
        <v>187</v>
      </c>
      <c r="M320" s="691" t="s">
        <v>207</v>
      </c>
      <c r="N320" s="691" t="s">
        <v>227</v>
      </c>
      <c r="O320" s="589"/>
      <c r="P320" s="717" cm="1">
        <f t="array" ref="P320">F320</f>
        <v>319</v>
      </c>
      <c r="Q320" s="620" t="str" cm="1">
        <f t="array" ref="Q320">RIGHT(G320,1)</f>
        <v>H</v>
      </c>
      <c r="R320" s="590" t="str" cm="1">
        <f t="array" ref="R320">RIGHT(H320,1)</f>
        <v>J</v>
      </c>
      <c r="S320" s="590" t="str" cm="1">
        <f t="array" ref="S320">RIGHT(I320,1)</f>
        <v>B</v>
      </c>
      <c r="T320" s="590" t="str" cm="1">
        <f t="array" ref="T320">RIGHT(J320,1)</f>
        <v>D</v>
      </c>
      <c r="U320" s="590" t="str" cm="1">
        <f t="array" ref="U320">RIGHT(K320,1)</f>
        <v>A</v>
      </c>
      <c r="V320" s="590" t="str" cm="1">
        <f t="array" ref="V320">RIGHT(L320,1)</f>
        <v>G</v>
      </c>
      <c r="W320" s="590" t="str" cm="1">
        <f t="array" ref="W320">RIGHT(M320,1)</f>
        <v>I</v>
      </c>
      <c r="X320" s="590" t="str" cm="1">
        <f t="array" ref="X320">RIGHT(N320,1)</f>
        <v>K</v>
      </c>
      <c r="Y320" s="708" cm="1">
        <f t="array" ref="Y320">COUNTIF($AA$2:$AA$9,Q320)+COUNTIF($AA$2:$AA$9,R320)+COUNTIF($AA$2:$AA$9,S320)+COUNTIF($AA$2:$AA$9,T320)+COUNTIF($AA$2:$AA$9,U320)+COUNTIF($AA$2:$AA$9,V320)+COUNTIF($AA$2:$AA$9,W320)+COUNTIF($AA$2:$AA$9,X320)</f>
        <v>4</v>
      </c>
      <c r="Z320" s="589"/>
      <c r="AA320" s="589"/>
      <c r="AB320" s="589"/>
      <c r="AC320" s="589"/>
      <c r="AD320" s="589"/>
      <c r="AE320" s="589"/>
      <c r="AF320" s="589"/>
      <c r="AG320" s="589"/>
      <c r="AH320" s="589"/>
      <c r="AI320" s="589"/>
      <c r="AJ320" s="589"/>
      <c r="AK320" s="589"/>
      <c r="AL320" s="589"/>
      <c r="AM320" s="589"/>
      <c r="AN320" s="589"/>
      <c r="AO320" s="589"/>
      <c r="AP320" s="589"/>
      <c r="AQ320" s="589"/>
      <c r="AR320" s="589"/>
      <c r="AS320" s="589"/>
      <c r="AT320" s="589"/>
      <c r="AU320" s="589"/>
      <c r="AV320" s="589"/>
      <c r="AW320" s="589"/>
      <c r="AX320" s="589"/>
      <c r="AY320" s="589"/>
      <c r="AZ320" s="589"/>
      <c r="BA320" s="589"/>
      <c r="BB320" s="589"/>
      <c r="BC320" s="589"/>
      <c r="BD320" s="589"/>
      <c r="BE320" s="589"/>
      <c r="BF320" s="589"/>
      <c r="BG320" s="589"/>
      <c r="BH320" s="589"/>
      <c r="BI320" s="589"/>
      <c r="BJ320" s="589"/>
      <c r="BK320" s="589"/>
      <c r="BL320" s="589"/>
    </row>
    <row r="321" spans="1:64" ht="14.25" customHeight="1">
      <c r="A321" s="691" t="s">
        <v>658</v>
      </c>
      <c r="B321" s="589"/>
      <c r="C321" s="589"/>
      <c r="D321" s="589"/>
      <c r="E321" s="589"/>
      <c r="F321" s="591">
        <v>320</v>
      </c>
      <c r="G321" s="691" t="s">
        <v>207</v>
      </c>
      <c r="H321" s="691" t="s">
        <v>217</v>
      </c>
      <c r="I321" s="691" t="s">
        <v>137</v>
      </c>
      <c r="J321" s="691" t="s">
        <v>157</v>
      </c>
      <c r="K321" s="691" t="s">
        <v>125</v>
      </c>
      <c r="L321" s="691" t="s">
        <v>177</v>
      </c>
      <c r="M321" s="691" t="s">
        <v>237</v>
      </c>
      <c r="N321" s="691" t="s">
        <v>227</v>
      </c>
      <c r="O321" s="589"/>
      <c r="P321" s="717" cm="1">
        <f t="array" ref="P321">F321</f>
        <v>320</v>
      </c>
      <c r="Q321" s="620" t="str" cm="1">
        <f t="array" ref="Q321">RIGHT(G321,1)</f>
        <v>I</v>
      </c>
      <c r="R321" s="590" t="str" cm="1">
        <f t="array" ref="R321">RIGHT(H321,1)</f>
        <v>J</v>
      </c>
      <c r="S321" s="590" t="str" cm="1">
        <f t="array" ref="S321">RIGHT(I321,1)</f>
        <v>B</v>
      </c>
      <c r="T321" s="590" t="str" cm="1">
        <f t="array" ref="T321">RIGHT(J321,1)</f>
        <v>D</v>
      </c>
      <c r="U321" s="590" t="str" cm="1">
        <f t="array" ref="U321">RIGHT(K321,1)</f>
        <v>A</v>
      </c>
      <c r="V321" s="590" t="str" cm="1">
        <f t="array" ref="V321">RIGHT(L321,1)</f>
        <v>F</v>
      </c>
      <c r="W321" s="590" t="str" cm="1">
        <f t="array" ref="W321">RIGHT(M321,1)</f>
        <v>L</v>
      </c>
      <c r="X321" s="590" t="str" cm="1">
        <f t="array" ref="X321">RIGHT(N321,1)</f>
        <v>K</v>
      </c>
      <c r="Y321" s="708" cm="1">
        <f t="array" ref="Y321">COUNTIF($AA$2:$AA$9,Q321)+COUNTIF($AA$2:$AA$9,R321)+COUNTIF($AA$2:$AA$9,S321)+COUNTIF($AA$2:$AA$9,T321)+COUNTIF($AA$2:$AA$9,U321)+COUNTIF($AA$2:$AA$9,V321)+COUNTIF($AA$2:$AA$9,W321)+COUNTIF($AA$2:$AA$9,X321)</f>
        <v>6</v>
      </c>
      <c r="Z321" s="589"/>
      <c r="AA321" s="589"/>
      <c r="AB321" s="589"/>
      <c r="AC321" s="589"/>
      <c r="AD321" s="589"/>
      <c r="AE321" s="589"/>
      <c r="AF321" s="589"/>
      <c r="AG321" s="589"/>
      <c r="AH321" s="589"/>
      <c r="AI321" s="589"/>
      <c r="AJ321" s="589"/>
      <c r="AK321" s="589"/>
      <c r="AL321" s="589"/>
      <c r="AM321" s="589"/>
      <c r="AN321" s="589"/>
      <c r="AO321" s="589"/>
      <c r="AP321" s="589"/>
      <c r="AQ321" s="589"/>
      <c r="AR321" s="589"/>
      <c r="AS321" s="589"/>
      <c r="AT321" s="589"/>
      <c r="AU321" s="589"/>
      <c r="AV321" s="589"/>
      <c r="AW321" s="589"/>
      <c r="AX321" s="589"/>
      <c r="AY321" s="589"/>
      <c r="AZ321" s="589"/>
      <c r="BA321" s="589"/>
      <c r="BB321" s="589"/>
      <c r="BC321" s="589"/>
      <c r="BD321" s="589"/>
      <c r="BE321" s="589"/>
      <c r="BF321" s="589"/>
      <c r="BG321" s="589"/>
      <c r="BH321" s="589"/>
      <c r="BI321" s="589"/>
      <c r="BJ321" s="589"/>
      <c r="BK321" s="589"/>
      <c r="BL321" s="589"/>
    </row>
    <row r="322" spans="1:64" ht="14.25" customHeight="1">
      <c r="A322" s="691" t="s">
        <v>659</v>
      </c>
      <c r="B322" s="589"/>
      <c r="C322" s="589"/>
      <c r="D322" s="589"/>
      <c r="E322" s="589"/>
      <c r="F322" s="591">
        <v>321</v>
      </c>
      <c r="G322" s="691" t="s">
        <v>197</v>
      </c>
      <c r="H322" s="691" t="s">
        <v>217</v>
      </c>
      <c r="I322" s="691" t="s">
        <v>137</v>
      </c>
      <c r="J322" s="691" t="s">
        <v>157</v>
      </c>
      <c r="K322" s="691" t="s">
        <v>125</v>
      </c>
      <c r="L322" s="691" t="s">
        <v>177</v>
      </c>
      <c r="M322" s="691" t="s">
        <v>237</v>
      </c>
      <c r="N322" s="691" t="s">
        <v>227</v>
      </c>
      <c r="O322" s="589"/>
      <c r="P322" s="717" cm="1">
        <f t="array" ref="P322">F322</f>
        <v>321</v>
      </c>
      <c r="Q322" s="620" t="str" cm="1">
        <f t="array" ref="Q322">RIGHT(G322,1)</f>
        <v>H</v>
      </c>
      <c r="R322" s="590" t="str" cm="1">
        <f t="array" ref="R322">RIGHT(H322,1)</f>
        <v>J</v>
      </c>
      <c r="S322" s="590" t="str" cm="1">
        <f t="array" ref="S322">RIGHT(I322,1)</f>
        <v>B</v>
      </c>
      <c r="T322" s="590" t="str" cm="1">
        <f t="array" ref="T322">RIGHT(J322,1)</f>
        <v>D</v>
      </c>
      <c r="U322" s="590" t="str" cm="1">
        <f t="array" ref="U322">RIGHT(K322,1)</f>
        <v>A</v>
      </c>
      <c r="V322" s="590" t="str" cm="1">
        <f t="array" ref="V322">RIGHT(L322,1)</f>
        <v>F</v>
      </c>
      <c r="W322" s="590" t="str" cm="1">
        <f t="array" ref="W322">RIGHT(M322,1)</f>
        <v>L</v>
      </c>
      <c r="X322" s="590" t="str" cm="1">
        <f t="array" ref="X322">RIGHT(N322,1)</f>
        <v>K</v>
      </c>
      <c r="Y322" s="708" cm="1">
        <f t="array" ref="Y322">COUNTIF($AA$2:$AA$9,Q322)+COUNTIF($AA$2:$AA$9,R322)+COUNTIF($AA$2:$AA$9,S322)+COUNTIF($AA$2:$AA$9,T322)+COUNTIF($AA$2:$AA$9,U322)+COUNTIF($AA$2:$AA$9,V322)+COUNTIF($AA$2:$AA$9,W322)+COUNTIF($AA$2:$AA$9,X322)</f>
        <v>5</v>
      </c>
      <c r="Z322" s="589"/>
      <c r="AA322" s="589"/>
      <c r="AB322" s="589"/>
      <c r="AC322" s="589"/>
      <c r="AD322" s="589"/>
      <c r="AE322" s="589"/>
      <c r="AF322" s="589"/>
      <c r="AG322" s="589"/>
      <c r="AH322" s="589"/>
      <c r="AI322" s="589"/>
      <c r="AJ322" s="589"/>
      <c r="AK322" s="589"/>
      <c r="AL322" s="589"/>
      <c r="AM322" s="589"/>
      <c r="AN322" s="589"/>
      <c r="AO322" s="589"/>
      <c r="AP322" s="589"/>
      <c r="AQ322" s="589"/>
      <c r="AR322" s="589"/>
      <c r="AS322" s="589"/>
      <c r="AT322" s="589"/>
      <c r="AU322" s="589"/>
      <c r="AV322" s="589"/>
      <c r="AW322" s="589"/>
      <c r="AX322" s="589"/>
      <c r="AY322" s="589"/>
      <c r="AZ322" s="589"/>
      <c r="BA322" s="589"/>
      <c r="BB322" s="589"/>
      <c r="BC322" s="589"/>
      <c r="BD322" s="589"/>
      <c r="BE322" s="589"/>
      <c r="BF322" s="589"/>
      <c r="BG322" s="589"/>
      <c r="BH322" s="589"/>
      <c r="BI322" s="589"/>
      <c r="BJ322" s="589"/>
      <c r="BK322" s="589"/>
      <c r="BL322" s="589"/>
    </row>
    <row r="323" spans="1:64" ht="14.25" customHeight="1">
      <c r="A323" s="691" t="s">
        <v>660</v>
      </c>
      <c r="B323" s="589"/>
      <c r="C323" s="589"/>
      <c r="D323" s="589"/>
      <c r="E323" s="589"/>
      <c r="F323" s="591">
        <v>322</v>
      </c>
      <c r="G323" s="691" t="s">
        <v>197</v>
      </c>
      <c r="H323" s="691" t="s">
        <v>207</v>
      </c>
      <c r="I323" s="691" t="s">
        <v>137</v>
      </c>
      <c r="J323" s="691" t="s">
        <v>157</v>
      </c>
      <c r="K323" s="691" t="s">
        <v>125</v>
      </c>
      <c r="L323" s="691" t="s">
        <v>177</v>
      </c>
      <c r="M323" s="691" t="s">
        <v>237</v>
      </c>
      <c r="N323" s="691" t="s">
        <v>227</v>
      </c>
      <c r="O323" s="589"/>
      <c r="P323" s="717" cm="1">
        <f t="array" ref="P323">F323</f>
        <v>322</v>
      </c>
      <c r="Q323" s="620" t="str" cm="1">
        <f t="array" ref="Q323">RIGHT(G323,1)</f>
        <v>H</v>
      </c>
      <c r="R323" s="590" t="str" cm="1">
        <f t="array" ref="R323">RIGHT(H323,1)</f>
        <v>I</v>
      </c>
      <c r="S323" s="590" t="str" cm="1">
        <f t="array" ref="S323">RIGHT(I323,1)</f>
        <v>B</v>
      </c>
      <c r="T323" s="590" t="str" cm="1">
        <f t="array" ref="T323">RIGHT(J323,1)</f>
        <v>D</v>
      </c>
      <c r="U323" s="590" t="str" cm="1">
        <f t="array" ref="U323">RIGHT(K323,1)</f>
        <v>A</v>
      </c>
      <c r="V323" s="590" t="str" cm="1">
        <f t="array" ref="V323">RIGHT(L323,1)</f>
        <v>F</v>
      </c>
      <c r="W323" s="590" t="str" cm="1">
        <f t="array" ref="W323">RIGHT(M323,1)</f>
        <v>L</v>
      </c>
      <c r="X323" s="590" t="str" cm="1">
        <f t="array" ref="X323">RIGHT(N323,1)</f>
        <v>K</v>
      </c>
      <c r="Y323" s="708" cm="1">
        <f t="array" ref="Y323">COUNTIF($AA$2:$AA$9,Q323)+COUNTIF($AA$2:$AA$9,R323)+COUNTIF($AA$2:$AA$9,S323)+COUNTIF($AA$2:$AA$9,T323)+COUNTIF($AA$2:$AA$9,U323)+COUNTIF($AA$2:$AA$9,V323)+COUNTIF($AA$2:$AA$9,W323)+COUNTIF($AA$2:$AA$9,X323)</f>
        <v>5</v>
      </c>
      <c r="Z323" s="589"/>
      <c r="AA323" s="589"/>
      <c r="AB323" s="589"/>
      <c r="AC323" s="589"/>
      <c r="AD323" s="589"/>
      <c r="AE323" s="589"/>
      <c r="AF323" s="589"/>
      <c r="AG323" s="589"/>
      <c r="AH323" s="589"/>
      <c r="AI323" s="589"/>
      <c r="AJ323" s="589"/>
      <c r="AK323" s="589"/>
      <c r="AL323" s="589"/>
      <c r="AM323" s="589"/>
      <c r="AN323" s="589"/>
      <c r="AO323" s="589"/>
      <c r="AP323" s="589"/>
      <c r="AQ323" s="589"/>
      <c r="AR323" s="589"/>
      <c r="AS323" s="589"/>
      <c r="AT323" s="589"/>
      <c r="AU323" s="589"/>
      <c r="AV323" s="589"/>
      <c r="AW323" s="589"/>
      <c r="AX323" s="589"/>
      <c r="AY323" s="589"/>
      <c r="AZ323" s="589"/>
      <c r="BA323" s="589"/>
      <c r="BB323" s="589"/>
      <c r="BC323" s="589"/>
      <c r="BD323" s="589"/>
      <c r="BE323" s="589"/>
      <c r="BF323" s="589"/>
      <c r="BG323" s="589"/>
      <c r="BH323" s="589"/>
      <c r="BI323" s="589"/>
      <c r="BJ323" s="589"/>
      <c r="BK323" s="589"/>
      <c r="BL323" s="589"/>
    </row>
    <row r="324" spans="1:64" ht="14.25" customHeight="1">
      <c r="A324" s="691" t="s">
        <v>661</v>
      </c>
      <c r="B324" s="589"/>
      <c r="C324" s="589"/>
      <c r="D324" s="589"/>
      <c r="E324" s="589"/>
      <c r="F324" s="591">
        <v>323</v>
      </c>
      <c r="G324" s="691" t="s">
        <v>197</v>
      </c>
      <c r="H324" s="691" t="s">
        <v>217</v>
      </c>
      <c r="I324" s="691" t="s">
        <v>137</v>
      </c>
      <c r="J324" s="691" t="s">
        <v>157</v>
      </c>
      <c r="K324" s="691" t="s">
        <v>125</v>
      </c>
      <c r="L324" s="691" t="s">
        <v>177</v>
      </c>
      <c r="M324" s="691" t="s">
        <v>237</v>
      </c>
      <c r="N324" s="691" t="s">
        <v>207</v>
      </c>
      <c r="O324" s="589"/>
      <c r="P324" s="717" cm="1">
        <f t="array" ref="P324">F324</f>
        <v>323</v>
      </c>
      <c r="Q324" s="620" t="str" cm="1">
        <f t="array" ref="Q324">RIGHT(G324,1)</f>
        <v>H</v>
      </c>
      <c r="R324" s="590" t="str" cm="1">
        <f t="array" ref="R324">RIGHT(H324,1)</f>
        <v>J</v>
      </c>
      <c r="S324" s="590" t="str" cm="1">
        <f t="array" ref="S324">RIGHT(I324,1)</f>
        <v>B</v>
      </c>
      <c r="T324" s="590" t="str" cm="1">
        <f t="array" ref="T324">RIGHT(J324,1)</f>
        <v>D</v>
      </c>
      <c r="U324" s="590" t="str" cm="1">
        <f t="array" ref="U324">RIGHT(K324,1)</f>
        <v>A</v>
      </c>
      <c r="V324" s="590" t="str" cm="1">
        <f t="array" ref="V324">RIGHT(L324,1)</f>
        <v>F</v>
      </c>
      <c r="W324" s="590" t="str" cm="1">
        <f t="array" ref="W324">RIGHT(M324,1)</f>
        <v>L</v>
      </c>
      <c r="X324" s="590" t="str" cm="1">
        <f t="array" ref="X324">RIGHT(N324,1)</f>
        <v>I</v>
      </c>
      <c r="Y324" s="708" cm="1">
        <f t="array" ref="Y324">COUNTIF($AA$2:$AA$9,Q324)+COUNTIF($AA$2:$AA$9,R324)+COUNTIF($AA$2:$AA$9,S324)+COUNTIF($AA$2:$AA$9,T324)+COUNTIF($AA$2:$AA$9,U324)+COUNTIF($AA$2:$AA$9,V324)+COUNTIF($AA$2:$AA$9,W324)+COUNTIF($AA$2:$AA$9,X324)</f>
        <v>6</v>
      </c>
      <c r="Z324" s="589"/>
      <c r="AA324" s="589"/>
      <c r="AB324" s="589"/>
      <c r="AC324" s="589"/>
      <c r="AD324" s="589"/>
      <c r="AE324" s="589"/>
      <c r="AF324" s="589"/>
      <c r="AG324" s="589"/>
      <c r="AH324" s="589"/>
      <c r="AI324" s="589"/>
      <c r="AJ324" s="589"/>
      <c r="AK324" s="589"/>
      <c r="AL324" s="589"/>
      <c r="AM324" s="589"/>
      <c r="AN324" s="589"/>
      <c r="AO324" s="589"/>
      <c r="AP324" s="589"/>
      <c r="AQ324" s="589"/>
      <c r="AR324" s="589"/>
      <c r="AS324" s="589"/>
      <c r="AT324" s="589"/>
      <c r="AU324" s="589"/>
      <c r="AV324" s="589"/>
      <c r="AW324" s="589"/>
      <c r="AX324" s="589"/>
      <c r="AY324" s="589"/>
      <c r="AZ324" s="589"/>
      <c r="BA324" s="589"/>
      <c r="BB324" s="589"/>
      <c r="BC324" s="589"/>
      <c r="BD324" s="589"/>
      <c r="BE324" s="589"/>
      <c r="BF324" s="589"/>
      <c r="BG324" s="589"/>
      <c r="BH324" s="589"/>
      <c r="BI324" s="589"/>
      <c r="BJ324" s="589"/>
      <c r="BK324" s="589"/>
      <c r="BL324" s="589"/>
    </row>
    <row r="325" spans="1:64" ht="14.25" customHeight="1">
      <c r="A325" s="691" t="s">
        <v>662</v>
      </c>
      <c r="B325" s="589"/>
      <c r="C325" s="589"/>
      <c r="D325" s="589"/>
      <c r="E325" s="589"/>
      <c r="F325" s="591">
        <v>324</v>
      </c>
      <c r="G325" s="691" t="s">
        <v>197</v>
      </c>
      <c r="H325" s="691" t="s">
        <v>217</v>
      </c>
      <c r="I325" s="691" t="s">
        <v>137</v>
      </c>
      <c r="J325" s="691" t="s">
        <v>157</v>
      </c>
      <c r="K325" s="691" t="s">
        <v>125</v>
      </c>
      <c r="L325" s="691" t="s">
        <v>177</v>
      </c>
      <c r="M325" s="691" t="s">
        <v>207</v>
      </c>
      <c r="N325" s="691" t="s">
        <v>227</v>
      </c>
      <c r="O325" s="589"/>
      <c r="P325" s="717" cm="1">
        <f t="array" ref="P325">F325</f>
        <v>324</v>
      </c>
      <c r="Q325" s="620" t="str" cm="1">
        <f t="array" ref="Q325">RIGHT(G325,1)</f>
        <v>H</v>
      </c>
      <c r="R325" s="590" t="str" cm="1">
        <f t="array" ref="R325">RIGHT(H325,1)</f>
        <v>J</v>
      </c>
      <c r="S325" s="590" t="str" cm="1">
        <f t="array" ref="S325">RIGHT(I325,1)</f>
        <v>B</v>
      </c>
      <c r="T325" s="590" t="str" cm="1">
        <f t="array" ref="T325">RIGHT(J325,1)</f>
        <v>D</v>
      </c>
      <c r="U325" s="590" t="str" cm="1">
        <f t="array" ref="U325">RIGHT(K325,1)</f>
        <v>A</v>
      </c>
      <c r="V325" s="590" t="str" cm="1">
        <f t="array" ref="V325">RIGHT(L325,1)</f>
        <v>F</v>
      </c>
      <c r="W325" s="590" t="str" cm="1">
        <f t="array" ref="W325">RIGHT(M325,1)</f>
        <v>I</v>
      </c>
      <c r="X325" s="590" t="str" cm="1">
        <f t="array" ref="X325">RIGHT(N325,1)</f>
        <v>K</v>
      </c>
      <c r="Y325" s="708" cm="1">
        <f t="array" ref="Y325">COUNTIF($AA$2:$AA$9,Q325)+COUNTIF($AA$2:$AA$9,R325)+COUNTIF($AA$2:$AA$9,S325)+COUNTIF($AA$2:$AA$9,T325)+COUNTIF($AA$2:$AA$9,U325)+COUNTIF($AA$2:$AA$9,V325)+COUNTIF($AA$2:$AA$9,W325)+COUNTIF($AA$2:$AA$9,X325)</f>
        <v>5</v>
      </c>
      <c r="Z325" s="589"/>
      <c r="AA325" s="589"/>
      <c r="AB325" s="589"/>
      <c r="AC325" s="589"/>
      <c r="AD325" s="589"/>
      <c r="AE325" s="589"/>
      <c r="AF325" s="589"/>
      <c r="AG325" s="589"/>
      <c r="AH325" s="589"/>
      <c r="AI325" s="589"/>
      <c r="AJ325" s="589"/>
      <c r="AK325" s="589"/>
      <c r="AL325" s="589"/>
      <c r="AM325" s="589"/>
      <c r="AN325" s="589"/>
      <c r="AO325" s="589"/>
      <c r="AP325" s="589"/>
      <c r="AQ325" s="589"/>
      <c r="AR325" s="589"/>
      <c r="AS325" s="589"/>
      <c r="AT325" s="589"/>
      <c r="AU325" s="589"/>
      <c r="AV325" s="589"/>
      <c r="AW325" s="589"/>
      <c r="AX325" s="589"/>
      <c r="AY325" s="589"/>
      <c r="AZ325" s="589"/>
      <c r="BA325" s="589"/>
      <c r="BB325" s="589"/>
      <c r="BC325" s="589"/>
      <c r="BD325" s="589"/>
      <c r="BE325" s="589"/>
      <c r="BF325" s="589"/>
      <c r="BG325" s="589"/>
      <c r="BH325" s="589"/>
      <c r="BI325" s="589"/>
      <c r="BJ325" s="589"/>
      <c r="BK325" s="589"/>
      <c r="BL325" s="589"/>
    </row>
    <row r="326" spans="1:64" ht="14.25" customHeight="1">
      <c r="A326" s="691" t="s">
        <v>663</v>
      </c>
      <c r="B326" s="589"/>
      <c r="C326" s="589"/>
      <c r="D326" s="589"/>
      <c r="E326" s="589"/>
      <c r="F326" s="591">
        <v>325</v>
      </c>
      <c r="G326" s="691" t="s">
        <v>177</v>
      </c>
      <c r="H326" s="691" t="s">
        <v>217</v>
      </c>
      <c r="I326" s="691" t="s">
        <v>137</v>
      </c>
      <c r="J326" s="691" t="s">
        <v>157</v>
      </c>
      <c r="K326" s="691" t="s">
        <v>125</v>
      </c>
      <c r="L326" s="691" t="s">
        <v>187</v>
      </c>
      <c r="M326" s="691" t="s">
        <v>237</v>
      </c>
      <c r="N326" s="691" t="s">
        <v>227</v>
      </c>
      <c r="O326" s="589"/>
      <c r="P326" s="717" cm="1">
        <f t="array" ref="P326">F326</f>
        <v>325</v>
      </c>
      <c r="Q326" s="620" t="str" cm="1">
        <f t="array" ref="Q326">RIGHT(G326,1)</f>
        <v>F</v>
      </c>
      <c r="R326" s="590" t="str" cm="1">
        <f t="array" ref="R326">RIGHT(H326,1)</f>
        <v>J</v>
      </c>
      <c r="S326" s="590" t="str" cm="1">
        <f t="array" ref="S326">RIGHT(I326,1)</f>
        <v>B</v>
      </c>
      <c r="T326" s="590" t="str" cm="1">
        <f t="array" ref="T326">RIGHT(J326,1)</f>
        <v>D</v>
      </c>
      <c r="U326" s="590" t="str" cm="1">
        <f t="array" ref="U326">RIGHT(K326,1)</f>
        <v>A</v>
      </c>
      <c r="V326" s="590" t="str" cm="1">
        <f t="array" ref="V326">RIGHT(L326,1)</f>
        <v>G</v>
      </c>
      <c r="W326" s="590" t="str" cm="1">
        <f t="array" ref="W326">RIGHT(M326,1)</f>
        <v>L</v>
      </c>
      <c r="X326" s="590" t="str" cm="1">
        <f t="array" ref="X326">RIGHT(N326,1)</f>
        <v>K</v>
      </c>
      <c r="Y326" s="708" cm="1">
        <f t="array" ref="Y326">COUNTIF($AA$2:$AA$9,Q326)+COUNTIF($AA$2:$AA$9,R326)+COUNTIF($AA$2:$AA$9,S326)+COUNTIF($AA$2:$AA$9,T326)+COUNTIF($AA$2:$AA$9,U326)+COUNTIF($AA$2:$AA$9,V326)+COUNTIF($AA$2:$AA$9,W326)+COUNTIF($AA$2:$AA$9,X326)</f>
        <v>5</v>
      </c>
      <c r="Z326" s="589"/>
      <c r="AA326" s="589"/>
      <c r="AB326" s="589"/>
      <c r="AC326" s="589"/>
      <c r="AD326" s="589"/>
      <c r="AE326" s="589"/>
      <c r="AF326" s="589"/>
      <c r="AG326" s="589"/>
      <c r="AH326" s="589"/>
      <c r="AI326" s="589"/>
      <c r="AJ326" s="589"/>
      <c r="AK326" s="589"/>
      <c r="AL326" s="589"/>
      <c r="AM326" s="589"/>
      <c r="AN326" s="589"/>
      <c r="AO326" s="589"/>
      <c r="AP326" s="589"/>
      <c r="AQ326" s="589"/>
      <c r="AR326" s="589"/>
      <c r="AS326" s="589"/>
      <c r="AT326" s="589"/>
      <c r="AU326" s="589"/>
      <c r="AV326" s="589"/>
      <c r="AW326" s="589"/>
      <c r="AX326" s="589"/>
      <c r="AY326" s="589"/>
      <c r="AZ326" s="589"/>
      <c r="BA326" s="589"/>
      <c r="BB326" s="589"/>
      <c r="BC326" s="589"/>
      <c r="BD326" s="589"/>
      <c r="BE326" s="589"/>
      <c r="BF326" s="589"/>
      <c r="BG326" s="589"/>
      <c r="BH326" s="589"/>
      <c r="BI326" s="589"/>
      <c r="BJ326" s="589"/>
      <c r="BK326" s="589"/>
      <c r="BL326" s="589"/>
    </row>
    <row r="327" spans="1:64" ht="14.25" customHeight="1">
      <c r="A327" s="691" t="s">
        <v>664</v>
      </c>
      <c r="B327" s="589"/>
      <c r="C327" s="589"/>
      <c r="D327" s="589"/>
      <c r="E327" s="589"/>
      <c r="F327" s="591">
        <v>326</v>
      </c>
      <c r="G327" s="691" t="s">
        <v>207</v>
      </c>
      <c r="H327" s="691" t="s">
        <v>187</v>
      </c>
      <c r="I327" s="691" t="s">
        <v>137</v>
      </c>
      <c r="J327" s="691" t="s">
        <v>157</v>
      </c>
      <c r="K327" s="691" t="s">
        <v>125</v>
      </c>
      <c r="L327" s="691" t="s">
        <v>177</v>
      </c>
      <c r="M327" s="691" t="s">
        <v>237</v>
      </c>
      <c r="N327" s="691" t="s">
        <v>227</v>
      </c>
      <c r="O327" s="589"/>
      <c r="P327" s="717" cm="1">
        <f t="array" ref="P327">F327</f>
        <v>326</v>
      </c>
      <c r="Q327" s="620" t="str" cm="1">
        <f t="array" ref="Q327">RIGHT(G327,1)</f>
        <v>I</v>
      </c>
      <c r="R327" s="590" t="str" cm="1">
        <f t="array" ref="R327">RIGHT(H327,1)</f>
        <v>G</v>
      </c>
      <c r="S327" s="590" t="str" cm="1">
        <f t="array" ref="S327">RIGHT(I327,1)</f>
        <v>B</v>
      </c>
      <c r="T327" s="590" t="str" cm="1">
        <f t="array" ref="T327">RIGHT(J327,1)</f>
        <v>D</v>
      </c>
      <c r="U327" s="590" t="str" cm="1">
        <f t="array" ref="U327">RIGHT(K327,1)</f>
        <v>A</v>
      </c>
      <c r="V327" s="590" t="str" cm="1">
        <f t="array" ref="V327">RIGHT(L327,1)</f>
        <v>F</v>
      </c>
      <c r="W327" s="590" t="str" cm="1">
        <f t="array" ref="W327">RIGHT(M327,1)</f>
        <v>L</v>
      </c>
      <c r="X327" s="590" t="str" cm="1">
        <f t="array" ref="X327">RIGHT(N327,1)</f>
        <v>K</v>
      </c>
      <c r="Y327" s="708" cm="1">
        <f t="array" ref="Y327">COUNTIF($AA$2:$AA$9,Q327)+COUNTIF($AA$2:$AA$9,R327)+COUNTIF($AA$2:$AA$9,S327)+COUNTIF($AA$2:$AA$9,T327)+COUNTIF($AA$2:$AA$9,U327)+COUNTIF($AA$2:$AA$9,V327)+COUNTIF($AA$2:$AA$9,W327)+COUNTIF($AA$2:$AA$9,X327)</f>
        <v>5</v>
      </c>
      <c r="Z327" s="589"/>
      <c r="AA327" s="589"/>
      <c r="AB327" s="589"/>
      <c r="AC327" s="589"/>
      <c r="AD327" s="589"/>
      <c r="AE327" s="589"/>
      <c r="AF327" s="589"/>
      <c r="AG327" s="589"/>
      <c r="AH327" s="589"/>
      <c r="AI327" s="589"/>
      <c r="AJ327" s="589"/>
      <c r="AK327" s="589"/>
      <c r="AL327" s="589"/>
      <c r="AM327" s="589"/>
      <c r="AN327" s="589"/>
      <c r="AO327" s="589"/>
      <c r="AP327" s="589"/>
      <c r="AQ327" s="589"/>
      <c r="AR327" s="589"/>
      <c r="AS327" s="589"/>
      <c r="AT327" s="589"/>
      <c r="AU327" s="589"/>
      <c r="AV327" s="589"/>
      <c r="AW327" s="589"/>
      <c r="AX327" s="589"/>
      <c r="AY327" s="589"/>
      <c r="AZ327" s="589"/>
      <c r="BA327" s="589"/>
      <c r="BB327" s="589"/>
      <c r="BC327" s="589"/>
      <c r="BD327" s="589"/>
      <c r="BE327" s="589"/>
      <c r="BF327" s="589"/>
      <c r="BG327" s="589"/>
      <c r="BH327" s="589"/>
      <c r="BI327" s="589"/>
      <c r="BJ327" s="589"/>
      <c r="BK327" s="589"/>
      <c r="BL327" s="589"/>
    </row>
    <row r="328" spans="1:64" ht="14.25" customHeight="1">
      <c r="A328" s="691" t="s">
        <v>665</v>
      </c>
      <c r="B328" s="589"/>
      <c r="C328" s="589"/>
      <c r="D328" s="589"/>
      <c r="E328" s="589"/>
      <c r="F328" s="591">
        <v>327</v>
      </c>
      <c r="G328" s="691" t="s">
        <v>177</v>
      </c>
      <c r="H328" s="691" t="s">
        <v>217</v>
      </c>
      <c r="I328" s="691" t="s">
        <v>137</v>
      </c>
      <c r="J328" s="691" t="s">
        <v>157</v>
      </c>
      <c r="K328" s="691" t="s">
        <v>125</v>
      </c>
      <c r="L328" s="691" t="s">
        <v>187</v>
      </c>
      <c r="M328" s="691" t="s">
        <v>237</v>
      </c>
      <c r="N328" s="691" t="s">
        <v>207</v>
      </c>
      <c r="O328" s="589"/>
      <c r="P328" s="717" cm="1">
        <f t="array" ref="P328">F328</f>
        <v>327</v>
      </c>
      <c r="Q328" s="620" t="str" cm="1">
        <f t="array" ref="Q328">RIGHT(G328,1)</f>
        <v>F</v>
      </c>
      <c r="R328" s="590" t="str" cm="1">
        <f t="array" ref="R328">RIGHT(H328,1)</f>
        <v>J</v>
      </c>
      <c r="S328" s="590" t="str" cm="1">
        <f t="array" ref="S328">RIGHT(I328,1)</f>
        <v>B</v>
      </c>
      <c r="T328" s="590" t="str" cm="1">
        <f t="array" ref="T328">RIGHT(J328,1)</f>
        <v>D</v>
      </c>
      <c r="U328" s="590" t="str" cm="1">
        <f t="array" ref="U328">RIGHT(K328,1)</f>
        <v>A</v>
      </c>
      <c r="V328" s="590" t="str" cm="1">
        <f t="array" ref="V328">RIGHT(L328,1)</f>
        <v>G</v>
      </c>
      <c r="W328" s="590" t="str" cm="1">
        <f t="array" ref="W328">RIGHT(M328,1)</f>
        <v>L</v>
      </c>
      <c r="X328" s="590" t="str" cm="1">
        <f t="array" ref="X328">RIGHT(N328,1)</f>
        <v>I</v>
      </c>
      <c r="Y328" s="708" cm="1">
        <f t="array" ref="Y328">COUNTIF($AA$2:$AA$9,Q328)+COUNTIF($AA$2:$AA$9,R328)+COUNTIF($AA$2:$AA$9,S328)+COUNTIF($AA$2:$AA$9,T328)+COUNTIF($AA$2:$AA$9,U328)+COUNTIF($AA$2:$AA$9,V328)+COUNTIF($AA$2:$AA$9,W328)+COUNTIF($AA$2:$AA$9,X328)</f>
        <v>6</v>
      </c>
      <c r="Z328" s="589"/>
      <c r="AA328" s="589"/>
      <c r="AB328" s="589"/>
      <c r="AC328" s="589"/>
      <c r="AD328" s="589"/>
      <c r="AE328" s="589"/>
      <c r="AF328" s="589"/>
      <c r="AG328" s="589"/>
      <c r="AH328" s="589"/>
      <c r="AI328" s="589"/>
      <c r="AJ328" s="589"/>
      <c r="AK328" s="589"/>
      <c r="AL328" s="589"/>
      <c r="AM328" s="589"/>
      <c r="AN328" s="589"/>
      <c r="AO328" s="589"/>
      <c r="AP328" s="589"/>
      <c r="AQ328" s="589"/>
      <c r="AR328" s="589"/>
      <c r="AS328" s="589"/>
      <c r="AT328" s="589"/>
      <c r="AU328" s="589"/>
      <c r="AV328" s="589"/>
      <c r="AW328" s="589"/>
      <c r="AX328" s="589"/>
      <c r="AY328" s="589"/>
      <c r="AZ328" s="589"/>
      <c r="BA328" s="589"/>
      <c r="BB328" s="589"/>
      <c r="BC328" s="589"/>
      <c r="BD328" s="589"/>
      <c r="BE328" s="589"/>
      <c r="BF328" s="589"/>
      <c r="BG328" s="589"/>
      <c r="BH328" s="589"/>
      <c r="BI328" s="589"/>
      <c r="BJ328" s="589"/>
      <c r="BK328" s="589"/>
      <c r="BL328" s="589"/>
    </row>
    <row r="329" spans="1:64" ht="14.25" customHeight="1">
      <c r="A329" s="691" t="s">
        <v>666</v>
      </c>
      <c r="B329" s="589"/>
      <c r="C329" s="589"/>
      <c r="D329" s="589"/>
      <c r="E329" s="589"/>
      <c r="F329" s="591">
        <v>328</v>
      </c>
      <c r="G329" s="691" t="s">
        <v>177</v>
      </c>
      <c r="H329" s="691" t="s">
        <v>217</v>
      </c>
      <c r="I329" s="691" t="s">
        <v>137</v>
      </c>
      <c r="J329" s="691" t="s">
        <v>157</v>
      </c>
      <c r="K329" s="691" t="s">
        <v>125</v>
      </c>
      <c r="L329" s="691" t="s">
        <v>187</v>
      </c>
      <c r="M329" s="691" t="s">
        <v>207</v>
      </c>
      <c r="N329" s="691" t="s">
        <v>227</v>
      </c>
      <c r="O329" s="589"/>
      <c r="P329" s="717" cm="1">
        <f t="array" ref="P329">F329</f>
        <v>328</v>
      </c>
      <c r="Q329" s="620" t="str" cm="1">
        <f t="array" ref="Q329">RIGHT(G329,1)</f>
        <v>F</v>
      </c>
      <c r="R329" s="590" t="str" cm="1">
        <f t="array" ref="R329">RIGHT(H329,1)</f>
        <v>J</v>
      </c>
      <c r="S329" s="590" t="str" cm="1">
        <f t="array" ref="S329">RIGHT(I329,1)</f>
        <v>B</v>
      </c>
      <c r="T329" s="590" t="str" cm="1">
        <f t="array" ref="T329">RIGHT(J329,1)</f>
        <v>D</v>
      </c>
      <c r="U329" s="590" t="str" cm="1">
        <f t="array" ref="U329">RIGHT(K329,1)</f>
        <v>A</v>
      </c>
      <c r="V329" s="590" t="str" cm="1">
        <f t="array" ref="V329">RIGHT(L329,1)</f>
        <v>G</v>
      </c>
      <c r="W329" s="590" t="str" cm="1">
        <f t="array" ref="W329">RIGHT(M329,1)</f>
        <v>I</v>
      </c>
      <c r="X329" s="590" t="str" cm="1">
        <f t="array" ref="X329">RIGHT(N329,1)</f>
        <v>K</v>
      </c>
      <c r="Y329" s="708" cm="1">
        <f t="array" ref="Y329">COUNTIF($AA$2:$AA$9,Q329)+COUNTIF($AA$2:$AA$9,R329)+COUNTIF($AA$2:$AA$9,S329)+COUNTIF($AA$2:$AA$9,T329)+COUNTIF($AA$2:$AA$9,U329)+COUNTIF($AA$2:$AA$9,V329)+COUNTIF($AA$2:$AA$9,W329)+COUNTIF($AA$2:$AA$9,X329)</f>
        <v>5</v>
      </c>
      <c r="Z329" s="589"/>
      <c r="AA329" s="589"/>
      <c r="AB329" s="589"/>
      <c r="AC329" s="589"/>
      <c r="AD329" s="589"/>
      <c r="AE329" s="589"/>
      <c r="AF329" s="589"/>
      <c r="AG329" s="589"/>
      <c r="AH329" s="589"/>
      <c r="AI329" s="589"/>
      <c r="AJ329" s="589"/>
      <c r="AK329" s="589"/>
      <c r="AL329" s="589"/>
      <c r="AM329" s="589"/>
      <c r="AN329" s="589"/>
      <c r="AO329" s="589"/>
      <c r="AP329" s="589"/>
      <c r="AQ329" s="589"/>
      <c r="AR329" s="589"/>
      <c r="AS329" s="589"/>
      <c r="AT329" s="589"/>
      <c r="AU329" s="589"/>
      <c r="AV329" s="589"/>
      <c r="AW329" s="589"/>
      <c r="AX329" s="589"/>
      <c r="AY329" s="589"/>
      <c r="AZ329" s="589"/>
      <c r="BA329" s="589"/>
      <c r="BB329" s="589"/>
      <c r="BC329" s="589"/>
      <c r="BD329" s="589"/>
      <c r="BE329" s="589"/>
      <c r="BF329" s="589"/>
      <c r="BG329" s="589"/>
      <c r="BH329" s="589"/>
      <c r="BI329" s="589"/>
      <c r="BJ329" s="589"/>
      <c r="BK329" s="589"/>
      <c r="BL329" s="589"/>
    </row>
    <row r="330" spans="1:64" ht="14.25" customHeight="1">
      <c r="A330" s="691" t="s">
        <v>667</v>
      </c>
      <c r="B330" s="589"/>
      <c r="C330" s="589"/>
      <c r="D330" s="589"/>
      <c r="E330" s="589"/>
      <c r="F330" s="591">
        <v>329</v>
      </c>
      <c r="G330" s="691" t="s">
        <v>197</v>
      </c>
      <c r="H330" s="691" t="s">
        <v>187</v>
      </c>
      <c r="I330" s="691" t="s">
        <v>137</v>
      </c>
      <c r="J330" s="691" t="s">
        <v>157</v>
      </c>
      <c r="K330" s="691" t="s">
        <v>125</v>
      </c>
      <c r="L330" s="691" t="s">
        <v>177</v>
      </c>
      <c r="M330" s="691" t="s">
        <v>237</v>
      </c>
      <c r="N330" s="691" t="s">
        <v>227</v>
      </c>
      <c r="O330" s="589"/>
      <c r="P330" s="717" cm="1">
        <f t="array" ref="P330">F330</f>
        <v>329</v>
      </c>
      <c r="Q330" s="620" t="str" cm="1">
        <f t="array" ref="Q330">RIGHT(G330,1)</f>
        <v>H</v>
      </c>
      <c r="R330" s="590" t="str" cm="1">
        <f t="array" ref="R330">RIGHT(H330,1)</f>
        <v>G</v>
      </c>
      <c r="S330" s="590" t="str" cm="1">
        <f t="array" ref="S330">RIGHT(I330,1)</f>
        <v>B</v>
      </c>
      <c r="T330" s="590" t="str" cm="1">
        <f t="array" ref="T330">RIGHT(J330,1)</f>
        <v>D</v>
      </c>
      <c r="U330" s="590" t="str" cm="1">
        <f t="array" ref="U330">RIGHT(K330,1)</f>
        <v>A</v>
      </c>
      <c r="V330" s="590" t="str" cm="1">
        <f t="array" ref="V330">RIGHT(L330,1)</f>
        <v>F</v>
      </c>
      <c r="W330" s="590" t="str" cm="1">
        <f t="array" ref="W330">RIGHT(M330,1)</f>
        <v>L</v>
      </c>
      <c r="X330" s="590" t="str" cm="1">
        <f t="array" ref="X330">RIGHT(N330,1)</f>
        <v>K</v>
      </c>
      <c r="Y330" s="708" cm="1">
        <f t="array" ref="Y330">COUNTIF($AA$2:$AA$9,Q330)+COUNTIF($AA$2:$AA$9,R330)+COUNTIF($AA$2:$AA$9,S330)+COUNTIF($AA$2:$AA$9,T330)+COUNTIF($AA$2:$AA$9,U330)+COUNTIF($AA$2:$AA$9,V330)+COUNTIF($AA$2:$AA$9,W330)+COUNTIF($AA$2:$AA$9,X330)</f>
        <v>4</v>
      </c>
      <c r="Z330" s="589"/>
      <c r="AA330" s="589"/>
      <c r="AB330" s="589"/>
      <c r="AC330" s="589"/>
      <c r="AD330" s="589"/>
      <c r="AE330" s="589"/>
      <c r="AF330" s="589"/>
      <c r="AG330" s="589"/>
      <c r="AH330" s="589"/>
      <c r="AI330" s="589"/>
      <c r="AJ330" s="589"/>
      <c r="AK330" s="589"/>
      <c r="AL330" s="589"/>
      <c r="AM330" s="589"/>
      <c r="AN330" s="589"/>
      <c r="AO330" s="589"/>
      <c r="AP330" s="589"/>
      <c r="AQ330" s="589"/>
      <c r="AR330" s="589"/>
      <c r="AS330" s="589"/>
      <c r="AT330" s="589"/>
      <c r="AU330" s="589"/>
      <c r="AV330" s="589"/>
      <c r="AW330" s="589"/>
      <c r="AX330" s="589"/>
      <c r="AY330" s="589"/>
      <c r="AZ330" s="589"/>
      <c r="BA330" s="589"/>
      <c r="BB330" s="589"/>
      <c r="BC330" s="589"/>
      <c r="BD330" s="589"/>
      <c r="BE330" s="589"/>
      <c r="BF330" s="589"/>
      <c r="BG330" s="589"/>
      <c r="BH330" s="589"/>
      <c r="BI330" s="589"/>
      <c r="BJ330" s="589"/>
      <c r="BK330" s="589"/>
      <c r="BL330" s="589"/>
    </row>
    <row r="331" spans="1:64" ht="14.25" customHeight="1">
      <c r="A331" s="691" t="s">
        <v>668</v>
      </c>
      <c r="B331" s="589"/>
      <c r="C331" s="589"/>
      <c r="D331" s="589"/>
      <c r="E331" s="589"/>
      <c r="F331" s="591">
        <v>330</v>
      </c>
      <c r="G331" s="691" t="s">
        <v>197</v>
      </c>
      <c r="H331" s="691" t="s">
        <v>187</v>
      </c>
      <c r="I331" s="691" t="s">
        <v>137</v>
      </c>
      <c r="J331" s="691" t="s">
        <v>157</v>
      </c>
      <c r="K331" s="691" t="s">
        <v>125</v>
      </c>
      <c r="L331" s="691" t="s">
        <v>177</v>
      </c>
      <c r="M331" s="691" t="s">
        <v>237</v>
      </c>
      <c r="N331" s="691" t="s">
        <v>217</v>
      </c>
      <c r="O331" s="589"/>
      <c r="P331" s="717" cm="1">
        <f t="array" ref="P331">F331</f>
        <v>330</v>
      </c>
      <c r="Q331" s="620" t="str" cm="1">
        <f t="array" ref="Q331">RIGHT(G331,1)</f>
        <v>H</v>
      </c>
      <c r="R331" s="590" t="str" cm="1">
        <f t="array" ref="R331">RIGHT(H331,1)</f>
        <v>G</v>
      </c>
      <c r="S331" s="590" t="str" cm="1">
        <f t="array" ref="S331">RIGHT(I331,1)</f>
        <v>B</v>
      </c>
      <c r="T331" s="590" t="str" cm="1">
        <f t="array" ref="T331">RIGHT(J331,1)</f>
        <v>D</v>
      </c>
      <c r="U331" s="590" t="str" cm="1">
        <f t="array" ref="U331">RIGHT(K331,1)</f>
        <v>A</v>
      </c>
      <c r="V331" s="590" t="str" cm="1">
        <f t="array" ref="V331">RIGHT(L331,1)</f>
        <v>F</v>
      </c>
      <c r="W331" s="590" t="str" cm="1">
        <f t="array" ref="W331">RIGHT(M331,1)</f>
        <v>L</v>
      </c>
      <c r="X331" s="590" t="str" cm="1">
        <f t="array" ref="X331">RIGHT(N331,1)</f>
        <v>J</v>
      </c>
      <c r="Y331" s="708" cm="1">
        <f t="array" ref="Y331">COUNTIF($AA$2:$AA$9,Q331)+COUNTIF($AA$2:$AA$9,R331)+COUNTIF($AA$2:$AA$9,S331)+COUNTIF($AA$2:$AA$9,T331)+COUNTIF($AA$2:$AA$9,U331)+COUNTIF($AA$2:$AA$9,V331)+COUNTIF($AA$2:$AA$9,W331)+COUNTIF($AA$2:$AA$9,X331)</f>
        <v>5</v>
      </c>
      <c r="Z331" s="589"/>
      <c r="AA331" s="589"/>
      <c r="AB331" s="589"/>
      <c r="AC331" s="589"/>
      <c r="AD331" s="589"/>
      <c r="AE331" s="589"/>
      <c r="AF331" s="589"/>
      <c r="AG331" s="589"/>
      <c r="AH331" s="589"/>
      <c r="AI331" s="589"/>
      <c r="AJ331" s="589"/>
      <c r="AK331" s="589"/>
      <c r="AL331" s="589"/>
      <c r="AM331" s="589"/>
      <c r="AN331" s="589"/>
      <c r="AO331" s="589"/>
      <c r="AP331" s="589"/>
      <c r="AQ331" s="589"/>
      <c r="AR331" s="589"/>
      <c r="AS331" s="589"/>
      <c r="AT331" s="589"/>
      <c r="AU331" s="589"/>
      <c r="AV331" s="589"/>
      <c r="AW331" s="589"/>
      <c r="AX331" s="589"/>
      <c r="AY331" s="589"/>
      <c r="AZ331" s="589"/>
      <c r="BA331" s="589"/>
      <c r="BB331" s="589"/>
      <c r="BC331" s="589"/>
      <c r="BD331" s="589"/>
      <c r="BE331" s="589"/>
      <c r="BF331" s="589"/>
      <c r="BG331" s="589"/>
      <c r="BH331" s="589"/>
      <c r="BI331" s="589"/>
      <c r="BJ331" s="589"/>
      <c r="BK331" s="589"/>
      <c r="BL331" s="589"/>
    </row>
    <row r="332" spans="1:64" ht="14.25" customHeight="1">
      <c r="A332" s="691" t="s">
        <v>669</v>
      </c>
      <c r="B332" s="589"/>
      <c r="C332" s="589"/>
      <c r="D332" s="589"/>
      <c r="E332" s="589"/>
      <c r="F332" s="591">
        <v>331</v>
      </c>
      <c r="G332" s="691" t="s">
        <v>197</v>
      </c>
      <c r="H332" s="691" t="s">
        <v>187</v>
      </c>
      <c r="I332" s="691" t="s">
        <v>137</v>
      </c>
      <c r="J332" s="691" t="s">
        <v>157</v>
      </c>
      <c r="K332" s="691" t="s">
        <v>125</v>
      </c>
      <c r="L332" s="691" t="s">
        <v>177</v>
      </c>
      <c r="M332" s="691" t="s">
        <v>217</v>
      </c>
      <c r="N332" s="691" t="s">
        <v>227</v>
      </c>
      <c r="O332" s="589"/>
      <c r="P332" s="717" cm="1">
        <f t="array" ref="P332">F332</f>
        <v>331</v>
      </c>
      <c r="Q332" s="620" t="str" cm="1">
        <f t="array" ref="Q332">RIGHT(G332,1)</f>
        <v>H</v>
      </c>
      <c r="R332" s="590" t="str" cm="1">
        <f t="array" ref="R332">RIGHT(H332,1)</f>
        <v>G</v>
      </c>
      <c r="S332" s="590" t="str" cm="1">
        <f t="array" ref="S332">RIGHT(I332,1)</f>
        <v>B</v>
      </c>
      <c r="T332" s="590" t="str" cm="1">
        <f t="array" ref="T332">RIGHT(J332,1)</f>
        <v>D</v>
      </c>
      <c r="U332" s="590" t="str" cm="1">
        <f t="array" ref="U332">RIGHT(K332,1)</f>
        <v>A</v>
      </c>
      <c r="V332" s="590" t="str" cm="1">
        <f t="array" ref="V332">RIGHT(L332,1)</f>
        <v>F</v>
      </c>
      <c r="W332" s="590" t="str" cm="1">
        <f t="array" ref="W332">RIGHT(M332,1)</f>
        <v>J</v>
      </c>
      <c r="X332" s="590" t="str" cm="1">
        <f t="array" ref="X332">RIGHT(N332,1)</f>
        <v>K</v>
      </c>
      <c r="Y332" s="708" cm="1">
        <f t="array" ref="Y332">COUNTIF($AA$2:$AA$9,Q332)+COUNTIF($AA$2:$AA$9,R332)+COUNTIF($AA$2:$AA$9,S332)+COUNTIF($AA$2:$AA$9,T332)+COUNTIF($AA$2:$AA$9,U332)+COUNTIF($AA$2:$AA$9,V332)+COUNTIF($AA$2:$AA$9,W332)+COUNTIF($AA$2:$AA$9,X332)</f>
        <v>4</v>
      </c>
      <c r="Z332" s="589"/>
      <c r="AA332" s="589"/>
      <c r="AB332" s="589"/>
      <c r="AC332" s="589"/>
      <c r="AD332" s="589"/>
      <c r="AE332" s="589"/>
      <c r="AF332" s="589"/>
      <c r="AG332" s="589"/>
      <c r="AH332" s="589"/>
      <c r="AI332" s="589"/>
      <c r="AJ332" s="589"/>
      <c r="AK332" s="589"/>
      <c r="AL332" s="589"/>
      <c r="AM332" s="589"/>
      <c r="AN332" s="589"/>
      <c r="AO332" s="589"/>
      <c r="AP332" s="589"/>
      <c r="AQ332" s="589"/>
      <c r="AR332" s="589"/>
      <c r="AS332" s="589"/>
      <c r="AT332" s="589"/>
      <c r="AU332" s="589"/>
      <c r="AV332" s="589"/>
      <c r="AW332" s="589"/>
      <c r="AX332" s="589"/>
      <c r="AY332" s="589"/>
      <c r="AZ332" s="589"/>
      <c r="BA332" s="589"/>
      <c r="BB332" s="589"/>
      <c r="BC332" s="589"/>
      <c r="BD332" s="589"/>
      <c r="BE332" s="589"/>
      <c r="BF332" s="589"/>
      <c r="BG332" s="589"/>
      <c r="BH332" s="589"/>
      <c r="BI332" s="589"/>
      <c r="BJ332" s="589"/>
      <c r="BK332" s="589"/>
      <c r="BL332" s="589"/>
    </row>
    <row r="333" spans="1:64" ht="14.25" customHeight="1">
      <c r="A333" s="691" t="s">
        <v>670</v>
      </c>
      <c r="B333" s="589"/>
      <c r="C333" s="589"/>
      <c r="D333" s="589"/>
      <c r="E333" s="589"/>
      <c r="F333" s="591">
        <v>332</v>
      </c>
      <c r="G333" s="691" t="s">
        <v>197</v>
      </c>
      <c r="H333" s="691" t="s">
        <v>187</v>
      </c>
      <c r="I333" s="691" t="s">
        <v>137</v>
      </c>
      <c r="J333" s="691" t="s">
        <v>157</v>
      </c>
      <c r="K333" s="691" t="s">
        <v>125</v>
      </c>
      <c r="L333" s="691" t="s">
        <v>177</v>
      </c>
      <c r="M333" s="691" t="s">
        <v>237</v>
      </c>
      <c r="N333" s="691" t="s">
        <v>207</v>
      </c>
      <c r="O333" s="589"/>
      <c r="P333" s="717" cm="1">
        <f t="array" ref="P333">F333</f>
        <v>332</v>
      </c>
      <c r="Q333" s="620" t="str" cm="1">
        <f t="array" ref="Q333">RIGHT(G333,1)</f>
        <v>H</v>
      </c>
      <c r="R333" s="590" t="str" cm="1">
        <f t="array" ref="R333">RIGHT(H333,1)</f>
        <v>G</v>
      </c>
      <c r="S333" s="590" t="str" cm="1">
        <f t="array" ref="S333">RIGHT(I333,1)</f>
        <v>B</v>
      </c>
      <c r="T333" s="590" t="str" cm="1">
        <f t="array" ref="T333">RIGHT(J333,1)</f>
        <v>D</v>
      </c>
      <c r="U333" s="590" t="str" cm="1">
        <f t="array" ref="U333">RIGHT(K333,1)</f>
        <v>A</v>
      </c>
      <c r="V333" s="590" t="str" cm="1">
        <f t="array" ref="V333">RIGHT(L333,1)</f>
        <v>F</v>
      </c>
      <c r="W333" s="590" t="str" cm="1">
        <f t="array" ref="W333">RIGHT(M333,1)</f>
        <v>L</v>
      </c>
      <c r="X333" s="590" t="str" cm="1">
        <f t="array" ref="X333">RIGHT(N333,1)</f>
        <v>I</v>
      </c>
      <c r="Y333" s="708" cm="1">
        <f t="array" ref="Y333">COUNTIF($AA$2:$AA$9,Q333)+COUNTIF($AA$2:$AA$9,R333)+COUNTIF($AA$2:$AA$9,S333)+COUNTIF($AA$2:$AA$9,T333)+COUNTIF($AA$2:$AA$9,U333)+COUNTIF($AA$2:$AA$9,V333)+COUNTIF($AA$2:$AA$9,W333)+COUNTIF($AA$2:$AA$9,X333)</f>
        <v>5</v>
      </c>
      <c r="Z333" s="589"/>
      <c r="AA333" s="589"/>
      <c r="AB333" s="589"/>
      <c r="AC333" s="589"/>
      <c r="AD333" s="589"/>
      <c r="AE333" s="589"/>
      <c r="AF333" s="589"/>
      <c r="AG333" s="589"/>
      <c r="AH333" s="589"/>
      <c r="AI333" s="589"/>
      <c r="AJ333" s="589"/>
      <c r="AK333" s="589"/>
      <c r="AL333" s="589"/>
      <c r="AM333" s="589"/>
      <c r="AN333" s="589"/>
      <c r="AO333" s="589"/>
      <c r="AP333" s="589"/>
      <c r="AQ333" s="589"/>
      <c r="AR333" s="589"/>
      <c r="AS333" s="589"/>
      <c r="AT333" s="589"/>
      <c r="AU333" s="589"/>
      <c r="AV333" s="589"/>
      <c r="AW333" s="589"/>
      <c r="AX333" s="589"/>
      <c r="AY333" s="589"/>
      <c r="AZ333" s="589"/>
      <c r="BA333" s="589"/>
      <c r="BB333" s="589"/>
      <c r="BC333" s="589"/>
      <c r="BD333" s="589"/>
      <c r="BE333" s="589"/>
      <c r="BF333" s="589"/>
      <c r="BG333" s="589"/>
      <c r="BH333" s="589"/>
      <c r="BI333" s="589"/>
      <c r="BJ333" s="589"/>
      <c r="BK333" s="589"/>
      <c r="BL333" s="589"/>
    </row>
    <row r="334" spans="1:64" ht="14.25" customHeight="1">
      <c r="A334" s="691" t="s">
        <v>671</v>
      </c>
      <c r="B334" s="589"/>
      <c r="C334" s="589"/>
      <c r="D334" s="589"/>
      <c r="E334" s="589"/>
      <c r="F334" s="591">
        <v>333</v>
      </c>
      <c r="G334" s="691" t="s">
        <v>197</v>
      </c>
      <c r="H334" s="691" t="s">
        <v>187</v>
      </c>
      <c r="I334" s="691" t="s">
        <v>137</v>
      </c>
      <c r="J334" s="691" t="s">
        <v>157</v>
      </c>
      <c r="K334" s="691" t="s">
        <v>125</v>
      </c>
      <c r="L334" s="691" t="s">
        <v>177</v>
      </c>
      <c r="M334" s="691" t="s">
        <v>207</v>
      </c>
      <c r="N334" s="691" t="s">
        <v>227</v>
      </c>
      <c r="O334" s="589"/>
      <c r="P334" s="717" cm="1">
        <f t="array" ref="P334">F334</f>
        <v>333</v>
      </c>
      <c r="Q334" s="620" t="str" cm="1">
        <f t="array" ref="Q334">RIGHT(G334,1)</f>
        <v>H</v>
      </c>
      <c r="R334" s="590" t="str" cm="1">
        <f t="array" ref="R334">RIGHT(H334,1)</f>
        <v>G</v>
      </c>
      <c r="S334" s="590" t="str" cm="1">
        <f t="array" ref="S334">RIGHT(I334,1)</f>
        <v>B</v>
      </c>
      <c r="T334" s="590" t="str" cm="1">
        <f t="array" ref="T334">RIGHT(J334,1)</f>
        <v>D</v>
      </c>
      <c r="U334" s="590" t="str" cm="1">
        <f t="array" ref="U334">RIGHT(K334,1)</f>
        <v>A</v>
      </c>
      <c r="V334" s="590" t="str" cm="1">
        <f t="array" ref="V334">RIGHT(L334,1)</f>
        <v>F</v>
      </c>
      <c r="W334" s="590" t="str" cm="1">
        <f t="array" ref="W334">RIGHT(M334,1)</f>
        <v>I</v>
      </c>
      <c r="X334" s="590" t="str" cm="1">
        <f t="array" ref="X334">RIGHT(N334,1)</f>
        <v>K</v>
      </c>
      <c r="Y334" s="708" cm="1">
        <f t="array" ref="Y334">COUNTIF($AA$2:$AA$9,Q334)+COUNTIF($AA$2:$AA$9,R334)+COUNTIF($AA$2:$AA$9,S334)+COUNTIF($AA$2:$AA$9,T334)+COUNTIF($AA$2:$AA$9,U334)+COUNTIF($AA$2:$AA$9,V334)+COUNTIF($AA$2:$AA$9,W334)+COUNTIF($AA$2:$AA$9,X334)</f>
        <v>4</v>
      </c>
      <c r="Z334" s="589"/>
      <c r="AA334" s="589"/>
      <c r="AB334" s="589"/>
      <c r="AC334" s="589"/>
      <c r="AD334" s="589"/>
      <c r="AE334" s="589"/>
      <c r="AF334" s="589"/>
      <c r="AG334" s="589"/>
      <c r="AH334" s="589"/>
      <c r="AI334" s="589"/>
      <c r="AJ334" s="589"/>
      <c r="AK334" s="589"/>
      <c r="AL334" s="589"/>
      <c r="AM334" s="589"/>
      <c r="AN334" s="589"/>
      <c r="AO334" s="589"/>
      <c r="AP334" s="589"/>
      <c r="AQ334" s="589"/>
      <c r="AR334" s="589"/>
      <c r="AS334" s="589"/>
      <c r="AT334" s="589"/>
      <c r="AU334" s="589"/>
      <c r="AV334" s="589"/>
      <c r="AW334" s="589"/>
      <c r="AX334" s="589"/>
      <c r="AY334" s="589"/>
      <c r="AZ334" s="589"/>
      <c r="BA334" s="589"/>
      <c r="BB334" s="589"/>
      <c r="BC334" s="589"/>
      <c r="BD334" s="589"/>
      <c r="BE334" s="589"/>
      <c r="BF334" s="589"/>
      <c r="BG334" s="589"/>
      <c r="BH334" s="589"/>
      <c r="BI334" s="589"/>
      <c r="BJ334" s="589"/>
      <c r="BK334" s="589"/>
      <c r="BL334" s="589"/>
    </row>
    <row r="335" spans="1:64" ht="14.25" customHeight="1">
      <c r="A335" s="691" t="s">
        <v>672</v>
      </c>
      <c r="B335" s="589"/>
      <c r="C335" s="589"/>
      <c r="D335" s="589"/>
      <c r="E335" s="589"/>
      <c r="F335" s="591">
        <v>334</v>
      </c>
      <c r="G335" s="691" t="s">
        <v>197</v>
      </c>
      <c r="H335" s="691" t="s">
        <v>187</v>
      </c>
      <c r="I335" s="691" t="s">
        <v>137</v>
      </c>
      <c r="J335" s="691" t="s">
        <v>157</v>
      </c>
      <c r="K335" s="691" t="s">
        <v>125</v>
      </c>
      <c r="L335" s="691" t="s">
        <v>177</v>
      </c>
      <c r="M335" s="691" t="s">
        <v>207</v>
      </c>
      <c r="N335" s="691" t="s">
        <v>217</v>
      </c>
      <c r="O335" s="589"/>
      <c r="P335" s="717" cm="1">
        <f t="array" ref="P335">F335</f>
        <v>334</v>
      </c>
      <c r="Q335" s="620" t="str" cm="1">
        <f t="array" ref="Q335">RIGHT(G335,1)</f>
        <v>H</v>
      </c>
      <c r="R335" s="590" t="str" cm="1">
        <f t="array" ref="R335">RIGHT(H335,1)</f>
        <v>G</v>
      </c>
      <c r="S335" s="590" t="str" cm="1">
        <f t="array" ref="S335">RIGHT(I335,1)</f>
        <v>B</v>
      </c>
      <c r="T335" s="590" t="str" cm="1">
        <f t="array" ref="T335">RIGHT(J335,1)</f>
        <v>D</v>
      </c>
      <c r="U335" s="590" t="str" cm="1">
        <f t="array" ref="U335">RIGHT(K335,1)</f>
        <v>A</v>
      </c>
      <c r="V335" s="590" t="str" cm="1">
        <f t="array" ref="V335">RIGHT(L335,1)</f>
        <v>F</v>
      </c>
      <c r="W335" s="590" t="str" cm="1">
        <f t="array" ref="W335">RIGHT(M335,1)</f>
        <v>I</v>
      </c>
      <c r="X335" s="590" t="str" cm="1">
        <f t="array" ref="X335">RIGHT(N335,1)</f>
        <v>J</v>
      </c>
      <c r="Y335" s="708" cm="1">
        <f t="array" ref="Y335">COUNTIF($AA$2:$AA$9,Q335)+COUNTIF($AA$2:$AA$9,R335)+COUNTIF($AA$2:$AA$9,S335)+COUNTIF($AA$2:$AA$9,T335)+COUNTIF($AA$2:$AA$9,U335)+COUNTIF($AA$2:$AA$9,V335)+COUNTIF($AA$2:$AA$9,W335)+COUNTIF($AA$2:$AA$9,X335)</f>
        <v>5</v>
      </c>
      <c r="Z335" s="589"/>
      <c r="AA335" s="589"/>
      <c r="AB335" s="589"/>
      <c r="AC335" s="589"/>
      <c r="AD335" s="589"/>
      <c r="AE335" s="589"/>
      <c r="AF335" s="589"/>
      <c r="AG335" s="589"/>
      <c r="AH335" s="589"/>
      <c r="AI335" s="589"/>
      <c r="AJ335" s="589"/>
      <c r="AK335" s="589"/>
      <c r="AL335" s="589"/>
      <c r="AM335" s="589"/>
      <c r="AN335" s="589"/>
      <c r="AO335" s="589"/>
      <c r="AP335" s="589"/>
      <c r="AQ335" s="589"/>
      <c r="AR335" s="589"/>
      <c r="AS335" s="589"/>
      <c r="AT335" s="589"/>
      <c r="AU335" s="589"/>
      <c r="AV335" s="589"/>
      <c r="AW335" s="589"/>
      <c r="AX335" s="589"/>
      <c r="AY335" s="589"/>
      <c r="AZ335" s="589"/>
      <c r="BA335" s="589"/>
      <c r="BB335" s="589"/>
      <c r="BC335" s="589"/>
      <c r="BD335" s="589"/>
      <c r="BE335" s="589"/>
      <c r="BF335" s="589"/>
      <c r="BG335" s="589"/>
      <c r="BH335" s="589"/>
      <c r="BI335" s="589"/>
      <c r="BJ335" s="589"/>
      <c r="BK335" s="589"/>
      <c r="BL335" s="589"/>
    </row>
    <row r="336" spans="1:64" ht="14.25" customHeight="1">
      <c r="A336" s="691" t="s">
        <v>673</v>
      </c>
      <c r="B336" s="589"/>
      <c r="C336" s="589"/>
      <c r="D336" s="589"/>
      <c r="E336" s="589"/>
      <c r="F336" s="591">
        <v>335</v>
      </c>
      <c r="G336" s="691" t="s">
        <v>167</v>
      </c>
      <c r="H336" s="691" t="s">
        <v>217</v>
      </c>
      <c r="I336" s="691" t="s">
        <v>137</v>
      </c>
      <c r="J336" s="691" t="s">
        <v>125</v>
      </c>
      <c r="K336" s="691" t="s">
        <v>207</v>
      </c>
      <c r="L336" s="691" t="s">
        <v>157</v>
      </c>
      <c r="M336" s="691" t="s">
        <v>237</v>
      </c>
      <c r="N336" s="691" t="s">
        <v>227</v>
      </c>
      <c r="O336" s="589"/>
      <c r="P336" s="717" cm="1">
        <f t="array" ref="P336">F336</f>
        <v>335</v>
      </c>
      <c r="Q336" s="620" t="str" cm="1">
        <f t="array" ref="Q336">RIGHT(G336,1)</f>
        <v>E</v>
      </c>
      <c r="R336" s="590" t="str" cm="1">
        <f t="array" ref="R336">RIGHT(H336,1)</f>
        <v>J</v>
      </c>
      <c r="S336" s="590" t="str" cm="1">
        <f t="array" ref="S336">RIGHT(I336,1)</f>
        <v>B</v>
      </c>
      <c r="T336" s="590" t="str" cm="1">
        <f t="array" ref="T336">RIGHT(J336,1)</f>
        <v>A</v>
      </c>
      <c r="U336" s="590" t="str" cm="1">
        <f t="array" ref="U336">RIGHT(K336,1)</f>
        <v>I</v>
      </c>
      <c r="V336" s="590" t="str" cm="1">
        <f t="array" ref="V336">RIGHT(L336,1)</f>
        <v>D</v>
      </c>
      <c r="W336" s="590" t="str" cm="1">
        <f t="array" ref="W336">RIGHT(M336,1)</f>
        <v>L</v>
      </c>
      <c r="X336" s="590" t="str" cm="1">
        <f t="array" ref="X336">RIGHT(N336,1)</f>
        <v>K</v>
      </c>
      <c r="Y336" s="708" cm="1">
        <f t="array" ref="Y336">COUNTIF($AA$2:$AA$9,Q336)+COUNTIF($AA$2:$AA$9,R336)+COUNTIF($AA$2:$AA$9,S336)+COUNTIF($AA$2:$AA$9,T336)+COUNTIF($AA$2:$AA$9,U336)+COUNTIF($AA$2:$AA$9,V336)+COUNTIF($AA$2:$AA$9,W336)+COUNTIF($AA$2:$AA$9,X336)</f>
        <v>6</v>
      </c>
      <c r="Z336" s="589"/>
      <c r="AA336" s="589"/>
      <c r="AB336" s="589"/>
      <c r="AC336" s="589"/>
      <c r="AD336" s="589"/>
      <c r="AE336" s="589"/>
      <c r="AF336" s="589"/>
      <c r="AG336" s="589"/>
      <c r="AH336" s="589"/>
      <c r="AI336" s="589"/>
      <c r="AJ336" s="589"/>
      <c r="AK336" s="589"/>
      <c r="AL336" s="589"/>
      <c r="AM336" s="589"/>
      <c r="AN336" s="589"/>
      <c r="AO336" s="589"/>
      <c r="AP336" s="589"/>
      <c r="AQ336" s="589"/>
      <c r="AR336" s="589"/>
      <c r="AS336" s="589"/>
      <c r="AT336" s="589"/>
      <c r="AU336" s="589"/>
      <c r="AV336" s="589"/>
      <c r="AW336" s="589"/>
      <c r="AX336" s="589"/>
      <c r="AY336" s="589"/>
      <c r="AZ336" s="589"/>
      <c r="BA336" s="589"/>
      <c r="BB336" s="589"/>
      <c r="BC336" s="589"/>
      <c r="BD336" s="589"/>
      <c r="BE336" s="589"/>
      <c r="BF336" s="589"/>
      <c r="BG336" s="589"/>
      <c r="BH336" s="589"/>
      <c r="BI336" s="589"/>
      <c r="BJ336" s="589"/>
      <c r="BK336" s="589"/>
      <c r="BL336" s="589"/>
    </row>
    <row r="337" spans="1:64" ht="14.25" customHeight="1">
      <c r="A337" s="691" t="s">
        <v>674</v>
      </c>
      <c r="B337" s="589"/>
      <c r="C337" s="589"/>
      <c r="D337" s="589"/>
      <c r="E337" s="589"/>
      <c r="F337" s="591">
        <v>336</v>
      </c>
      <c r="G337" s="691" t="s">
        <v>167</v>
      </c>
      <c r="H337" s="691" t="s">
        <v>217</v>
      </c>
      <c r="I337" s="691" t="s">
        <v>137</v>
      </c>
      <c r="J337" s="691" t="s">
        <v>157</v>
      </c>
      <c r="K337" s="691" t="s">
        <v>125</v>
      </c>
      <c r="L337" s="691" t="s">
        <v>197</v>
      </c>
      <c r="M337" s="691" t="s">
        <v>237</v>
      </c>
      <c r="N337" s="691" t="s">
        <v>227</v>
      </c>
      <c r="O337" s="589"/>
      <c r="P337" s="717" cm="1">
        <f t="array" ref="P337">F337</f>
        <v>336</v>
      </c>
      <c r="Q337" s="620" t="str" cm="1">
        <f t="array" ref="Q337">RIGHT(G337,1)</f>
        <v>E</v>
      </c>
      <c r="R337" s="590" t="str" cm="1">
        <f t="array" ref="R337">RIGHT(H337,1)</f>
        <v>J</v>
      </c>
      <c r="S337" s="590" t="str" cm="1">
        <f t="array" ref="S337">RIGHT(I337,1)</f>
        <v>B</v>
      </c>
      <c r="T337" s="590" t="str" cm="1">
        <f t="array" ref="T337">RIGHT(J337,1)</f>
        <v>D</v>
      </c>
      <c r="U337" s="590" t="str" cm="1">
        <f t="array" ref="U337">RIGHT(K337,1)</f>
        <v>A</v>
      </c>
      <c r="V337" s="590" t="str" cm="1">
        <f t="array" ref="V337">RIGHT(L337,1)</f>
        <v>H</v>
      </c>
      <c r="W337" s="590" t="str" cm="1">
        <f t="array" ref="W337">RIGHT(M337,1)</f>
        <v>L</v>
      </c>
      <c r="X337" s="590" t="str" cm="1">
        <f t="array" ref="X337">RIGHT(N337,1)</f>
        <v>K</v>
      </c>
      <c r="Y337" s="708" cm="1">
        <f t="array" ref="Y337">COUNTIF($AA$2:$AA$9,Q337)+COUNTIF($AA$2:$AA$9,R337)+COUNTIF($AA$2:$AA$9,S337)+COUNTIF($AA$2:$AA$9,T337)+COUNTIF($AA$2:$AA$9,U337)+COUNTIF($AA$2:$AA$9,V337)+COUNTIF($AA$2:$AA$9,W337)+COUNTIF($AA$2:$AA$9,X337)</f>
        <v>5</v>
      </c>
      <c r="Z337" s="589"/>
      <c r="AA337" s="589"/>
      <c r="AB337" s="589"/>
      <c r="AC337" s="589"/>
      <c r="AD337" s="589"/>
      <c r="AE337" s="589"/>
      <c r="AF337" s="589"/>
      <c r="AG337" s="589"/>
      <c r="AH337" s="589"/>
      <c r="AI337" s="589"/>
      <c r="AJ337" s="589"/>
      <c r="AK337" s="589"/>
      <c r="AL337" s="589"/>
      <c r="AM337" s="589"/>
      <c r="AN337" s="589"/>
      <c r="AO337" s="589"/>
      <c r="AP337" s="589"/>
      <c r="AQ337" s="589"/>
      <c r="AR337" s="589"/>
      <c r="AS337" s="589"/>
      <c r="AT337" s="589"/>
      <c r="AU337" s="589"/>
      <c r="AV337" s="589"/>
      <c r="AW337" s="589"/>
      <c r="AX337" s="589"/>
      <c r="AY337" s="589"/>
      <c r="AZ337" s="589"/>
      <c r="BA337" s="589"/>
      <c r="BB337" s="589"/>
      <c r="BC337" s="589"/>
      <c r="BD337" s="589"/>
      <c r="BE337" s="589"/>
      <c r="BF337" s="589"/>
      <c r="BG337" s="589"/>
      <c r="BH337" s="589"/>
      <c r="BI337" s="589"/>
      <c r="BJ337" s="589"/>
      <c r="BK337" s="589"/>
      <c r="BL337" s="589"/>
    </row>
    <row r="338" spans="1:64" ht="14.25" customHeight="1">
      <c r="A338" s="691" t="s">
        <v>675</v>
      </c>
      <c r="B338" s="589"/>
      <c r="C338" s="589"/>
      <c r="D338" s="589"/>
      <c r="E338" s="589"/>
      <c r="F338" s="591">
        <v>337</v>
      </c>
      <c r="G338" s="691" t="s">
        <v>167</v>
      </c>
      <c r="H338" s="691" t="s">
        <v>207</v>
      </c>
      <c r="I338" s="691" t="s">
        <v>137</v>
      </c>
      <c r="J338" s="691" t="s">
        <v>157</v>
      </c>
      <c r="K338" s="691" t="s">
        <v>125</v>
      </c>
      <c r="L338" s="691" t="s">
        <v>197</v>
      </c>
      <c r="M338" s="691" t="s">
        <v>237</v>
      </c>
      <c r="N338" s="691" t="s">
        <v>227</v>
      </c>
      <c r="O338" s="589"/>
      <c r="P338" s="717" cm="1">
        <f t="array" ref="P338">F338</f>
        <v>337</v>
      </c>
      <c r="Q338" s="620" t="str" cm="1">
        <f t="array" ref="Q338">RIGHT(G338,1)</f>
        <v>E</v>
      </c>
      <c r="R338" s="590" t="str" cm="1">
        <f t="array" ref="R338">RIGHT(H338,1)</f>
        <v>I</v>
      </c>
      <c r="S338" s="590" t="str" cm="1">
        <f t="array" ref="S338">RIGHT(I338,1)</f>
        <v>B</v>
      </c>
      <c r="T338" s="590" t="str" cm="1">
        <f t="array" ref="T338">RIGHT(J338,1)</f>
        <v>D</v>
      </c>
      <c r="U338" s="590" t="str" cm="1">
        <f t="array" ref="U338">RIGHT(K338,1)</f>
        <v>A</v>
      </c>
      <c r="V338" s="590" t="str" cm="1">
        <f t="array" ref="V338">RIGHT(L338,1)</f>
        <v>H</v>
      </c>
      <c r="W338" s="590" t="str" cm="1">
        <f t="array" ref="W338">RIGHT(M338,1)</f>
        <v>L</v>
      </c>
      <c r="X338" s="590" t="str" cm="1">
        <f t="array" ref="X338">RIGHT(N338,1)</f>
        <v>K</v>
      </c>
      <c r="Y338" s="708" cm="1">
        <f t="array" ref="Y338">COUNTIF($AA$2:$AA$9,Q338)+COUNTIF($AA$2:$AA$9,R338)+COUNTIF($AA$2:$AA$9,S338)+COUNTIF($AA$2:$AA$9,T338)+COUNTIF($AA$2:$AA$9,U338)+COUNTIF($AA$2:$AA$9,V338)+COUNTIF($AA$2:$AA$9,W338)+COUNTIF($AA$2:$AA$9,X338)</f>
        <v>5</v>
      </c>
      <c r="Z338" s="589"/>
      <c r="AA338" s="589"/>
      <c r="AB338" s="589"/>
      <c r="AC338" s="589"/>
      <c r="AD338" s="589"/>
      <c r="AE338" s="589"/>
      <c r="AF338" s="589"/>
      <c r="AG338" s="589"/>
      <c r="AH338" s="589"/>
      <c r="AI338" s="589"/>
      <c r="AJ338" s="589"/>
      <c r="AK338" s="589"/>
      <c r="AL338" s="589"/>
      <c r="AM338" s="589"/>
      <c r="AN338" s="589"/>
      <c r="AO338" s="589"/>
      <c r="AP338" s="589"/>
      <c r="AQ338" s="589"/>
      <c r="AR338" s="589"/>
      <c r="AS338" s="589"/>
      <c r="AT338" s="589"/>
      <c r="AU338" s="589"/>
      <c r="AV338" s="589"/>
      <c r="AW338" s="589"/>
      <c r="AX338" s="589"/>
      <c r="AY338" s="589"/>
      <c r="AZ338" s="589"/>
      <c r="BA338" s="589"/>
      <c r="BB338" s="589"/>
      <c r="BC338" s="589"/>
      <c r="BD338" s="589"/>
      <c r="BE338" s="589"/>
      <c r="BF338" s="589"/>
      <c r="BG338" s="589"/>
      <c r="BH338" s="589"/>
      <c r="BI338" s="589"/>
      <c r="BJ338" s="589"/>
      <c r="BK338" s="589"/>
      <c r="BL338" s="589"/>
    </row>
    <row r="339" spans="1:64" ht="14.25" customHeight="1">
      <c r="A339" s="691" t="s">
        <v>676</v>
      </c>
      <c r="B339" s="589"/>
      <c r="C339" s="589"/>
      <c r="D339" s="589"/>
      <c r="E339" s="589"/>
      <c r="F339" s="591">
        <v>338</v>
      </c>
      <c r="G339" s="691" t="s">
        <v>167</v>
      </c>
      <c r="H339" s="691" t="s">
        <v>217</v>
      </c>
      <c r="I339" s="691" t="s">
        <v>137</v>
      </c>
      <c r="J339" s="691" t="s">
        <v>157</v>
      </c>
      <c r="K339" s="691" t="s">
        <v>125</v>
      </c>
      <c r="L339" s="691" t="s">
        <v>197</v>
      </c>
      <c r="M339" s="691" t="s">
        <v>237</v>
      </c>
      <c r="N339" s="691" t="s">
        <v>207</v>
      </c>
      <c r="O339" s="589"/>
      <c r="P339" s="717" cm="1">
        <f t="array" ref="P339">F339</f>
        <v>338</v>
      </c>
      <c r="Q339" s="620" t="str" cm="1">
        <f t="array" ref="Q339">RIGHT(G339,1)</f>
        <v>E</v>
      </c>
      <c r="R339" s="590" t="str" cm="1">
        <f t="array" ref="R339">RIGHT(H339,1)</f>
        <v>J</v>
      </c>
      <c r="S339" s="590" t="str" cm="1">
        <f t="array" ref="S339">RIGHT(I339,1)</f>
        <v>B</v>
      </c>
      <c r="T339" s="590" t="str" cm="1">
        <f t="array" ref="T339">RIGHT(J339,1)</f>
        <v>D</v>
      </c>
      <c r="U339" s="590" t="str" cm="1">
        <f t="array" ref="U339">RIGHT(K339,1)</f>
        <v>A</v>
      </c>
      <c r="V339" s="590" t="str" cm="1">
        <f t="array" ref="V339">RIGHT(L339,1)</f>
        <v>H</v>
      </c>
      <c r="W339" s="590" t="str" cm="1">
        <f t="array" ref="W339">RIGHT(M339,1)</f>
        <v>L</v>
      </c>
      <c r="X339" s="590" t="str" cm="1">
        <f t="array" ref="X339">RIGHT(N339,1)</f>
        <v>I</v>
      </c>
      <c r="Y339" s="708" cm="1">
        <f t="array" ref="Y339">COUNTIF($AA$2:$AA$9,Q339)+COUNTIF($AA$2:$AA$9,R339)+COUNTIF($AA$2:$AA$9,S339)+COUNTIF($AA$2:$AA$9,T339)+COUNTIF($AA$2:$AA$9,U339)+COUNTIF($AA$2:$AA$9,V339)+COUNTIF($AA$2:$AA$9,W339)+COUNTIF($AA$2:$AA$9,X339)</f>
        <v>6</v>
      </c>
      <c r="Z339" s="589"/>
      <c r="AA339" s="589"/>
      <c r="AB339" s="589"/>
      <c r="AC339" s="589"/>
      <c r="AD339" s="589"/>
      <c r="AE339" s="589"/>
      <c r="AF339" s="589"/>
      <c r="AG339" s="589"/>
      <c r="AH339" s="589"/>
      <c r="AI339" s="589"/>
      <c r="AJ339" s="589"/>
      <c r="AK339" s="589"/>
      <c r="AL339" s="589"/>
      <c r="AM339" s="589"/>
      <c r="AN339" s="589"/>
      <c r="AO339" s="589"/>
      <c r="AP339" s="589"/>
      <c r="AQ339" s="589"/>
      <c r="AR339" s="589"/>
      <c r="AS339" s="589"/>
      <c r="AT339" s="589"/>
      <c r="AU339" s="589"/>
      <c r="AV339" s="589"/>
      <c r="AW339" s="589"/>
      <c r="AX339" s="589"/>
      <c r="AY339" s="589"/>
      <c r="AZ339" s="589"/>
      <c r="BA339" s="589"/>
      <c r="BB339" s="589"/>
      <c r="BC339" s="589"/>
      <c r="BD339" s="589"/>
      <c r="BE339" s="589"/>
      <c r="BF339" s="589"/>
      <c r="BG339" s="589"/>
      <c r="BH339" s="589"/>
      <c r="BI339" s="589"/>
      <c r="BJ339" s="589"/>
      <c r="BK339" s="589"/>
      <c r="BL339" s="589"/>
    </row>
    <row r="340" spans="1:64" ht="14.25" customHeight="1">
      <c r="A340" s="691" t="s">
        <v>677</v>
      </c>
      <c r="B340" s="589"/>
      <c r="C340" s="589"/>
      <c r="D340" s="589"/>
      <c r="E340" s="589"/>
      <c r="F340" s="591">
        <v>339</v>
      </c>
      <c r="G340" s="691" t="s">
        <v>167</v>
      </c>
      <c r="H340" s="691" t="s">
        <v>217</v>
      </c>
      <c r="I340" s="691" t="s">
        <v>137</v>
      </c>
      <c r="J340" s="691" t="s">
        <v>157</v>
      </c>
      <c r="K340" s="691" t="s">
        <v>125</v>
      </c>
      <c r="L340" s="691" t="s">
        <v>197</v>
      </c>
      <c r="M340" s="691" t="s">
        <v>207</v>
      </c>
      <c r="N340" s="691" t="s">
        <v>227</v>
      </c>
      <c r="O340" s="589"/>
      <c r="P340" s="717" cm="1">
        <f t="array" ref="P340">F340</f>
        <v>339</v>
      </c>
      <c r="Q340" s="620" t="str" cm="1">
        <f t="array" ref="Q340">RIGHT(G340,1)</f>
        <v>E</v>
      </c>
      <c r="R340" s="590" t="str" cm="1">
        <f t="array" ref="R340">RIGHT(H340,1)</f>
        <v>J</v>
      </c>
      <c r="S340" s="590" t="str" cm="1">
        <f t="array" ref="S340">RIGHT(I340,1)</f>
        <v>B</v>
      </c>
      <c r="T340" s="590" t="str" cm="1">
        <f t="array" ref="T340">RIGHT(J340,1)</f>
        <v>D</v>
      </c>
      <c r="U340" s="590" t="str" cm="1">
        <f t="array" ref="U340">RIGHT(K340,1)</f>
        <v>A</v>
      </c>
      <c r="V340" s="590" t="str" cm="1">
        <f t="array" ref="V340">RIGHT(L340,1)</f>
        <v>H</v>
      </c>
      <c r="W340" s="590" t="str" cm="1">
        <f t="array" ref="W340">RIGHT(M340,1)</f>
        <v>I</v>
      </c>
      <c r="X340" s="590" t="str" cm="1">
        <f t="array" ref="X340">RIGHT(N340,1)</f>
        <v>K</v>
      </c>
      <c r="Y340" s="708" cm="1">
        <f t="array" ref="Y340">COUNTIF($AA$2:$AA$9,Q340)+COUNTIF($AA$2:$AA$9,R340)+COUNTIF($AA$2:$AA$9,S340)+COUNTIF($AA$2:$AA$9,T340)+COUNTIF($AA$2:$AA$9,U340)+COUNTIF($AA$2:$AA$9,V340)+COUNTIF($AA$2:$AA$9,W340)+COUNTIF($AA$2:$AA$9,X340)</f>
        <v>5</v>
      </c>
      <c r="Z340" s="589"/>
      <c r="AA340" s="589"/>
      <c r="AB340" s="589"/>
      <c r="AC340" s="589"/>
      <c r="AD340" s="589"/>
      <c r="AE340" s="589"/>
      <c r="AF340" s="589"/>
      <c r="AG340" s="589"/>
      <c r="AH340" s="589"/>
      <c r="AI340" s="589"/>
      <c r="AJ340" s="589"/>
      <c r="AK340" s="589"/>
      <c r="AL340" s="589"/>
      <c r="AM340" s="589"/>
      <c r="AN340" s="589"/>
      <c r="AO340" s="589"/>
      <c r="AP340" s="589"/>
      <c r="AQ340" s="589"/>
      <c r="AR340" s="589"/>
      <c r="AS340" s="589"/>
      <c r="AT340" s="589"/>
      <c r="AU340" s="589"/>
      <c r="AV340" s="589"/>
      <c r="AW340" s="589"/>
      <c r="AX340" s="589"/>
      <c r="AY340" s="589"/>
      <c r="AZ340" s="589"/>
      <c r="BA340" s="589"/>
      <c r="BB340" s="589"/>
      <c r="BC340" s="589"/>
      <c r="BD340" s="589"/>
      <c r="BE340" s="589"/>
      <c r="BF340" s="589"/>
      <c r="BG340" s="589"/>
      <c r="BH340" s="589"/>
      <c r="BI340" s="589"/>
      <c r="BJ340" s="589"/>
      <c r="BK340" s="589"/>
      <c r="BL340" s="589"/>
    </row>
    <row r="341" spans="1:64" ht="14.25" customHeight="1">
      <c r="A341" s="691" t="s">
        <v>678</v>
      </c>
      <c r="B341" s="589"/>
      <c r="C341" s="589"/>
      <c r="D341" s="589"/>
      <c r="E341" s="589"/>
      <c r="F341" s="591">
        <v>340</v>
      </c>
      <c r="G341" s="691" t="s">
        <v>167</v>
      </c>
      <c r="H341" s="691" t="s">
        <v>217</v>
      </c>
      <c r="I341" s="691" t="s">
        <v>137</v>
      </c>
      <c r="J341" s="691" t="s">
        <v>157</v>
      </c>
      <c r="K341" s="691" t="s">
        <v>125</v>
      </c>
      <c r="L341" s="691" t="s">
        <v>187</v>
      </c>
      <c r="M341" s="691" t="s">
        <v>237</v>
      </c>
      <c r="N341" s="691" t="s">
        <v>227</v>
      </c>
      <c r="O341" s="589"/>
      <c r="P341" s="717" cm="1">
        <f t="array" ref="P341">F341</f>
        <v>340</v>
      </c>
      <c r="Q341" s="620" t="str" cm="1">
        <f t="array" ref="Q341">RIGHT(G341,1)</f>
        <v>E</v>
      </c>
      <c r="R341" s="590" t="str" cm="1">
        <f t="array" ref="R341">RIGHT(H341,1)</f>
        <v>J</v>
      </c>
      <c r="S341" s="590" t="str" cm="1">
        <f t="array" ref="S341">RIGHT(I341,1)</f>
        <v>B</v>
      </c>
      <c r="T341" s="590" t="str" cm="1">
        <f t="array" ref="T341">RIGHT(J341,1)</f>
        <v>D</v>
      </c>
      <c r="U341" s="590" t="str" cm="1">
        <f t="array" ref="U341">RIGHT(K341,1)</f>
        <v>A</v>
      </c>
      <c r="V341" s="590" t="str" cm="1">
        <f t="array" ref="V341">RIGHT(L341,1)</f>
        <v>G</v>
      </c>
      <c r="W341" s="590" t="str" cm="1">
        <f t="array" ref="W341">RIGHT(M341,1)</f>
        <v>L</v>
      </c>
      <c r="X341" s="590" t="str" cm="1">
        <f t="array" ref="X341">RIGHT(N341,1)</f>
        <v>K</v>
      </c>
      <c r="Y341" s="708" cm="1">
        <f t="array" ref="Y341">COUNTIF($AA$2:$AA$9,Q341)+COUNTIF($AA$2:$AA$9,R341)+COUNTIF($AA$2:$AA$9,S341)+COUNTIF($AA$2:$AA$9,T341)+COUNTIF($AA$2:$AA$9,U341)+COUNTIF($AA$2:$AA$9,V341)+COUNTIF($AA$2:$AA$9,W341)+COUNTIF($AA$2:$AA$9,X341)</f>
        <v>5</v>
      </c>
      <c r="Z341" s="589"/>
      <c r="AA341" s="589"/>
      <c r="AB341" s="589"/>
      <c r="AC341" s="589"/>
      <c r="AD341" s="589"/>
      <c r="AE341" s="589"/>
      <c r="AF341" s="589"/>
      <c r="AG341" s="589"/>
      <c r="AH341" s="589"/>
      <c r="AI341" s="589"/>
      <c r="AJ341" s="589"/>
      <c r="AK341" s="589"/>
      <c r="AL341" s="589"/>
      <c r="AM341" s="589"/>
      <c r="AN341" s="589"/>
      <c r="AO341" s="589"/>
      <c r="AP341" s="589"/>
      <c r="AQ341" s="589"/>
      <c r="AR341" s="589"/>
      <c r="AS341" s="589"/>
      <c r="AT341" s="589"/>
      <c r="AU341" s="589"/>
      <c r="AV341" s="589"/>
      <c r="AW341" s="589"/>
      <c r="AX341" s="589"/>
      <c r="AY341" s="589"/>
      <c r="AZ341" s="589"/>
      <c r="BA341" s="589"/>
      <c r="BB341" s="589"/>
      <c r="BC341" s="589"/>
      <c r="BD341" s="589"/>
      <c r="BE341" s="589"/>
      <c r="BF341" s="589"/>
      <c r="BG341" s="589"/>
      <c r="BH341" s="589"/>
      <c r="BI341" s="589"/>
      <c r="BJ341" s="589"/>
      <c r="BK341" s="589"/>
      <c r="BL341" s="589"/>
    </row>
    <row r="342" spans="1:64" ht="14.25" customHeight="1">
      <c r="A342" s="691" t="s">
        <v>679</v>
      </c>
      <c r="B342" s="589"/>
      <c r="C342" s="589"/>
      <c r="D342" s="589"/>
      <c r="E342" s="589"/>
      <c r="F342" s="591">
        <v>341</v>
      </c>
      <c r="G342" s="691" t="s">
        <v>167</v>
      </c>
      <c r="H342" s="691" t="s">
        <v>187</v>
      </c>
      <c r="I342" s="691" t="s">
        <v>137</v>
      </c>
      <c r="J342" s="691" t="s">
        <v>125</v>
      </c>
      <c r="K342" s="691" t="s">
        <v>207</v>
      </c>
      <c r="L342" s="691" t="s">
        <v>157</v>
      </c>
      <c r="M342" s="691" t="s">
        <v>237</v>
      </c>
      <c r="N342" s="691" t="s">
        <v>227</v>
      </c>
      <c r="O342" s="589"/>
      <c r="P342" s="717" cm="1">
        <f t="array" ref="P342">F342</f>
        <v>341</v>
      </c>
      <c r="Q342" s="620" t="str" cm="1">
        <f t="array" ref="Q342">RIGHT(G342,1)</f>
        <v>E</v>
      </c>
      <c r="R342" s="590" t="str" cm="1">
        <f t="array" ref="R342">RIGHT(H342,1)</f>
        <v>G</v>
      </c>
      <c r="S342" s="590" t="str" cm="1">
        <f t="array" ref="S342">RIGHT(I342,1)</f>
        <v>B</v>
      </c>
      <c r="T342" s="590" t="str" cm="1">
        <f t="array" ref="T342">RIGHT(J342,1)</f>
        <v>A</v>
      </c>
      <c r="U342" s="590" t="str" cm="1">
        <f t="array" ref="U342">RIGHT(K342,1)</f>
        <v>I</v>
      </c>
      <c r="V342" s="590" t="str" cm="1">
        <f t="array" ref="V342">RIGHT(L342,1)</f>
        <v>D</v>
      </c>
      <c r="W342" s="590" t="str" cm="1">
        <f t="array" ref="W342">RIGHT(M342,1)</f>
        <v>L</v>
      </c>
      <c r="X342" s="590" t="str" cm="1">
        <f t="array" ref="X342">RIGHT(N342,1)</f>
        <v>K</v>
      </c>
      <c r="Y342" s="708" cm="1">
        <f t="array" ref="Y342">COUNTIF($AA$2:$AA$9,Q342)+COUNTIF($AA$2:$AA$9,R342)+COUNTIF($AA$2:$AA$9,S342)+COUNTIF($AA$2:$AA$9,T342)+COUNTIF($AA$2:$AA$9,U342)+COUNTIF($AA$2:$AA$9,V342)+COUNTIF($AA$2:$AA$9,W342)+COUNTIF($AA$2:$AA$9,X342)</f>
        <v>5</v>
      </c>
      <c r="Z342" s="589"/>
      <c r="AA342" s="589"/>
      <c r="AB342" s="589"/>
      <c r="AC342" s="589"/>
      <c r="AD342" s="589"/>
      <c r="AE342" s="589"/>
      <c r="AF342" s="589"/>
      <c r="AG342" s="589"/>
      <c r="AH342" s="589"/>
      <c r="AI342" s="589"/>
      <c r="AJ342" s="589"/>
      <c r="AK342" s="589"/>
      <c r="AL342" s="589"/>
      <c r="AM342" s="589"/>
      <c r="AN342" s="589"/>
      <c r="AO342" s="589"/>
      <c r="AP342" s="589"/>
      <c r="AQ342" s="589"/>
      <c r="AR342" s="589"/>
      <c r="AS342" s="589"/>
      <c r="AT342" s="589"/>
      <c r="AU342" s="589"/>
      <c r="AV342" s="589"/>
      <c r="AW342" s="589"/>
      <c r="AX342" s="589"/>
      <c r="AY342" s="589"/>
      <c r="AZ342" s="589"/>
      <c r="BA342" s="589"/>
      <c r="BB342" s="589"/>
      <c r="BC342" s="589"/>
      <c r="BD342" s="589"/>
      <c r="BE342" s="589"/>
      <c r="BF342" s="589"/>
      <c r="BG342" s="589"/>
      <c r="BH342" s="589"/>
      <c r="BI342" s="589"/>
      <c r="BJ342" s="589"/>
      <c r="BK342" s="589"/>
      <c r="BL342" s="589"/>
    </row>
    <row r="343" spans="1:64" ht="14.25" customHeight="1">
      <c r="A343" s="691" t="s">
        <v>680</v>
      </c>
      <c r="B343" s="589"/>
      <c r="C343" s="589"/>
      <c r="D343" s="589"/>
      <c r="E343" s="589"/>
      <c r="F343" s="591">
        <v>342</v>
      </c>
      <c r="G343" s="691" t="s">
        <v>167</v>
      </c>
      <c r="H343" s="691" t="s">
        <v>217</v>
      </c>
      <c r="I343" s="691" t="s">
        <v>137</v>
      </c>
      <c r="J343" s="691" t="s">
        <v>157</v>
      </c>
      <c r="K343" s="691" t="s">
        <v>125</v>
      </c>
      <c r="L343" s="691" t="s">
        <v>187</v>
      </c>
      <c r="M343" s="691" t="s">
        <v>237</v>
      </c>
      <c r="N343" s="691" t="s">
        <v>207</v>
      </c>
      <c r="O343" s="589"/>
      <c r="P343" s="717" cm="1">
        <f t="array" ref="P343">F343</f>
        <v>342</v>
      </c>
      <c r="Q343" s="620" t="str" cm="1">
        <f t="array" ref="Q343">RIGHT(G343,1)</f>
        <v>E</v>
      </c>
      <c r="R343" s="590" t="str" cm="1">
        <f t="array" ref="R343">RIGHT(H343,1)</f>
        <v>J</v>
      </c>
      <c r="S343" s="590" t="str" cm="1">
        <f t="array" ref="S343">RIGHT(I343,1)</f>
        <v>B</v>
      </c>
      <c r="T343" s="590" t="str" cm="1">
        <f t="array" ref="T343">RIGHT(J343,1)</f>
        <v>D</v>
      </c>
      <c r="U343" s="590" t="str" cm="1">
        <f t="array" ref="U343">RIGHT(K343,1)</f>
        <v>A</v>
      </c>
      <c r="V343" s="590" t="str" cm="1">
        <f t="array" ref="V343">RIGHT(L343,1)</f>
        <v>G</v>
      </c>
      <c r="W343" s="590" t="str" cm="1">
        <f t="array" ref="W343">RIGHT(M343,1)</f>
        <v>L</v>
      </c>
      <c r="X343" s="590" t="str" cm="1">
        <f t="array" ref="X343">RIGHT(N343,1)</f>
        <v>I</v>
      </c>
      <c r="Y343" s="708" cm="1">
        <f t="array" ref="Y343">COUNTIF($AA$2:$AA$9,Q343)+COUNTIF($AA$2:$AA$9,R343)+COUNTIF($AA$2:$AA$9,S343)+COUNTIF($AA$2:$AA$9,T343)+COUNTIF($AA$2:$AA$9,U343)+COUNTIF($AA$2:$AA$9,V343)+COUNTIF($AA$2:$AA$9,W343)+COUNTIF($AA$2:$AA$9,X343)</f>
        <v>6</v>
      </c>
      <c r="Z343" s="589"/>
      <c r="AA343" s="589"/>
      <c r="AB343" s="589"/>
      <c r="AC343" s="589"/>
      <c r="AD343" s="589"/>
      <c r="AE343" s="589"/>
      <c r="AF343" s="589"/>
      <c r="AG343" s="589"/>
      <c r="AH343" s="589"/>
      <c r="AI343" s="589"/>
      <c r="AJ343" s="589"/>
      <c r="AK343" s="589"/>
      <c r="AL343" s="589"/>
      <c r="AM343" s="589"/>
      <c r="AN343" s="589"/>
      <c r="AO343" s="589"/>
      <c r="AP343" s="589"/>
      <c r="AQ343" s="589"/>
      <c r="AR343" s="589"/>
      <c r="AS343" s="589"/>
      <c r="AT343" s="589"/>
      <c r="AU343" s="589"/>
      <c r="AV343" s="589"/>
      <c r="AW343" s="589"/>
      <c r="AX343" s="589"/>
      <c r="AY343" s="589"/>
      <c r="AZ343" s="589"/>
      <c r="BA343" s="589"/>
      <c r="BB343" s="589"/>
      <c r="BC343" s="589"/>
      <c r="BD343" s="589"/>
      <c r="BE343" s="589"/>
      <c r="BF343" s="589"/>
      <c r="BG343" s="589"/>
      <c r="BH343" s="589"/>
      <c r="BI343" s="589"/>
      <c r="BJ343" s="589"/>
      <c r="BK343" s="589"/>
      <c r="BL343" s="589"/>
    </row>
    <row r="344" spans="1:64" ht="14.25" customHeight="1">
      <c r="A344" s="691" t="s">
        <v>681</v>
      </c>
      <c r="B344" s="589"/>
      <c r="C344" s="589"/>
      <c r="D344" s="589"/>
      <c r="E344" s="589"/>
      <c r="F344" s="591">
        <v>343</v>
      </c>
      <c r="G344" s="691" t="s">
        <v>167</v>
      </c>
      <c r="H344" s="691" t="s">
        <v>217</v>
      </c>
      <c r="I344" s="691" t="s">
        <v>137</v>
      </c>
      <c r="J344" s="691" t="s">
        <v>157</v>
      </c>
      <c r="K344" s="691" t="s">
        <v>125</v>
      </c>
      <c r="L344" s="691" t="s">
        <v>187</v>
      </c>
      <c r="M344" s="691" t="s">
        <v>207</v>
      </c>
      <c r="N344" s="691" t="s">
        <v>227</v>
      </c>
      <c r="O344" s="589"/>
      <c r="P344" s="717" cm="1">
        <f t="array" ref="P344">F344</f>
        <v>343</v>
      </c>
      <c r="Q344" s="620" t="str" cm="1">
        <f t="array" ref="Q344">RIGHT(G344,1)</f>
        <v>E</v>
      </c>
      <c r="R344" s="590" t="str" cm="1">
        <f t="array" ref="R344">RIGHT(H344,1)</f>
        <v>J</v>
      </c>
      <c r="S344" s="590" t="str" cm="1">
        <f t="array" ref="S344">RIGHT(I344,1)</f>
        <v>B</v>
      </c>
      <c r="T344" s="590" t="str" cm="1">
        <f t="array" ref="T344">RIGHT(J344,1)</f>
        <v>D</v>
      </c>
      <c r="U344" s="590" t="str" cm="1">
        <f t="array" ref="U344">RIGHT(K344,1)</f>
        <v>A</v>
      </c>
      <c r="V344" s="590" t="str" cm="1">
        <f t="array" ref="V344">RIGHT(L344,1)</f>
        <v>G</v>
      </c>
      <c r="W344" s="590" t="str" cm="1">
        <f t="array" ref="W344">RIGHT(M344,1)</f>
        <v>I</v>
      </c>
      <c r="X344" s="590" t="str" cm="1">
        <f t="array" ref="X344">RIGHT(N344,1)</f>
        <v>K</v>
      </c>
      <c r="Y344" s="708" cm="1">
        <f t="array" ref="Y344">COUNTIF($AA$2:$AA$9,Q344)+COUNTIF($AA$2:$AA$9,R344)+COUNTIF($AA$2:$AA$9,S344)+COUNTIF($AA$2:$AA$9,T344)+COUNTIF($AA$2:$AA$9,U344)+COUNTIF($AA$2:$AA$9,V344)+COUNTIF($AA$2:$AA$9,W344)+COUNTIF($AA$2:$AA$9,X344)</f>
        <v>5</v>
      </c>
      <c r="Z344" s="589"/>
      <c r="AA344" s="589"/>
      <c r="AB344" s="589"/>
      <c r="AC344" s="589"/>
      <c r="AD344" s="589"/>
      <c r="AE344" s="589"/>
      <c r="AF344" s="589"/>
      <c r="AG344" s="589"/>
      <c r="AH344" s="589"/>
      <c r="AI344" s="589"/>
      <c r="AJ344" s="589"/>
      <c r="AK344" s="589"/>
      <c r="AL344" s="589"/>
      <c r="AM344" s="589"/>
      <c r="AN344" s="589"/>
      <c r="AO344" s="589"/>
      <c r="AP344" s="589"/>
      <c r="AQ344" s="589"/>
      <c r="AR344" s="589"/>
      <c r="AS344" s="589"/>
      <c r="AT344" s="589"/>
      <c r="AU344" s="589"/>
      <c r="AV344" s="589"/>
      <c r="AW344" s="589"/>
      <c r="AX344" s="589"/>
      <c r="AY344" s="589"/>
      <c r="AZ344" s="589"/>
      <c r="BA344" s="589"/>
      <c r="BB344" s="589"/>
      <c r="BC344" s="589"/>
      <c r="BD344" s="589"/>
      <c r="BE344" s="589"/>
      <c r="BF344" s="589"/>
      <c r="BG344" s="589"/>
      <c r="BH344" s="589"/>
      <c r="BI344" s="589"/>
      <c r="BJ344" s="589"/>
      <c r="BK344" s="589"/>
      <c r="BL344" s="589"/>
    </row>
    <row r="345" spans="1:64" ht="14.25" customHeight="1">
      <c r="A345" s="691" t="s">
        <v>682</v>
      </c>
      <c r="B345" s="589"/>
      <c r="C345" s="589"/>
      <c r="D345" s="589"/>
      <c r="E345" s="589"/>
      <c r="F345" s="591">
        <v>344</v>
      </c>
      <c r="G345" s="691" t="s">
        <v>167</v>
      </c>
      <c r="H345" s="691" t="s">
        <v>187</v>
      </c>
      <c r="I345" s="691" t="s">
        <v>137</v>
      </c>
      <c r="J345" s="691" t="s">
        <v>157</v>
      </c>
      <c r="K345" s="691" t="s">
        <v>125</v>
      </c>
      <c r="L345" s="691" t="s">
        <v>197</v>
      </c>
      <c r="M345" s="691" t="s">
        <v>237</v>
      </c>
      <c r="N345" s="691" t="s">
        <v>227</v>
      </c>
      <c r="O345" s="589"/>
      <c r="P345" s="717" cm="1">
        <f t="array" ref="P345">F345</f>
        <v>344</v>
      </c>
      <c r="Q345" s="620" t="str" cm="1">
        <f t="array" ref="Q345">RIGHT(G345,1)</f>
        <v>E</v>
      </c>
      <c r="R345" s="590" t="str" cm="1">
        <f t="array" ref="R345">RIGHT(H345,1)</f>
        <v>G</v>
      </c>
      <c r="S345" s="590" t="str" cm="1">
        <f t="array" ref="S345">RIGHT(I345,1)</f>
        <v>B</v>
      </c>
      <c r="T345" s="590" t="str" cm="1">
        <f t="array" ref="T345">RIGHT(J345,1)</f>
        <v>D</v>
      </c>
      <c r="U345" s="590" t="str" cm="1">
        <f t="array" ref="U345">RIGHT(K345,1)</f>
        <v>A</v>
      </c>
      <c r="V345" s="590" t="str" cm="1">
        <f t="array" ref="V345">RIGHT(L345,1)</f>
        <v>H</v>
      </c>
      <c r="W345" s="590" t="str" cm="1">
        <f t="array" ref="W345">RIGHT(M345,1)</f>
        <v>L</v>
      </c>
      <c r="X345" s="590" t="str" cm="1">
        <f t="array" ref="X345">RIGHT(N345,1)</f>
        <v>K</v>
      </c>
      <c r="Y345" s="708" cm="1">
        <f t="array" ref="Y345">COUNTIF($AA$2:$AA$9,Q345)+COUNTIF($AA$2:$AA$9,R345)+COUNTIF($AA$2:$AA$9,S345)+COUNTIF($AA$2:$AA$9,T345)+COUNTIF($AA$2:$AA$9,U345)+COUNTIF($AA$2:$AA$9,V345)+COUNTIF($AA$2:$AA$9,W345)+COUNTIF($AA$2:$AA$9,X345)</f>
        <v>4</v>
      </c>
      <c r="Z345" s="589"/>
      <c r="AA345" s="589"/>
      <c r="AB345" s="589"/>
      <c r="AC345" s="589"/>
      <c r="AD345" s="589"/>
      <c r="AE345" s="589"/>
      <c r="AF345" s="589"/>
      <c r="AG345" s="589"/>
      <c r="AH345" s="589"/>
      <c r="AI345" s="589"/>
      <c r="AJ345" s="589"/>
      <c r="AK345" s="589"/>
      <c r="AL345" s="589"/>
      <c r="AM345" s="589"/>
      <c r="AN345" s="589"/>
      <c r="AO345" s="589"/>
      <c r="AP345" s="589"/>
      <c r="AQ345" s="589"/>
      <c r="AR345" s="589"/>
      <c r="AS345" s="589"/>
      <c r="AT345" s="589"/>
      <c r="AU345" s="589"/>
      <c r="AV345" s="589"/>
      <c r="AW345" s="589"/>
      <c r="AX345" s="589"/>
      <c r="AY345" s="589"/>
      <c r="AZ345" s="589"/>
      <c r="BA345" s="589"/>
      <c r="BB345" s="589"/>
      <c r="BC345" s="589"/>
      <c r="BD345" s="589"/>
      <c r="BE345" s="589"/>
      <c r="BF345" s="589"/>
      <c r="BG345" s="589"/>
      <c r="BH345" s="589"/>
      <c r="BI345" s="589"/>
      <c r="BJ345" s="589"/>
      <c r="BK345" s="589"/>
      <c r="BL345" s="589"/>
    </row>
    <row r="346" spans="1:64" ht="14.25" customHeight="1">
      <c r="A346" s="691" t="s">
        <v>683</v>
      </c>
      <c r="B346" s="589"/>
      <c r="C346" s="589"/>
      <c r="D346" s="589"/>
      <c r="E346" s="589"/>
      <c r="F346" s="591">
        <v>345</v>
      </c>
      <c r="G346" s="691" t="s">
        <v>197</v>
      </c>
      <c r="H346" s="691" t="s">
        <v>217</v>
      </c>
      <c r="I346" s="691" t="s">
        <v>137</v>
      </c>
      <c r="J346" s="691" t="s">
        <v>157</v>
      </c>
      <c r="K346" s="691" t="s">
        <v>125</v>
      </c>
      <c r="L346" s="691" t="s">
        <v>187</v>
      </c>
      <c r="M346" s="691" t="s">
        <v>237</v>
      </c>
      <c r="N346" s="691" t="s">
        <v>167</v>
      </c>
      <c r="O346" s="589"/>
      <c r="P346" s="717" cm="1">
        <f t="array" ref="P346">F346</f>
        <v>345</v>
      </c>
      <c r="Q346" s="620" t="str" cm="1">
        <f t="array" ref="Q346">RIGHT(G346,1)</f>
        <v>H</v>
      </c>
      <c r="R346" s="590" t="str" cm="1">
        <f t="array" ref="R346">RIGHT(H346,1)</f>
        <v>J</v>
      </c>
      <c r="S346" s="590" t="str" cm="1">
        <f t="array" ref="S346">RIGHT(I346,1)</f>
        <v>B</v>
      </c>
      <c r="T346" s="590" t="str" cm="1">
        <f t="array" ref="T346">RIGHT(J346,1)</f>
        <v>D</v>
      </c>
      <c r="U346" s="590" t="str" cm="1">
        <f t="array" ref="U346">RIGHT(K346,1)</f>
        <v>A</v>
      </c>
      <c r="V346" s="590" t="str" cm="1">
        <f t="array" ref="V346">RIGHT(L346,1)</f>
        <v>G</v>
      </c>
      <c r="W346" s="590" t="str" cm="1">
        <f t="array" ref="W346">RIGHT(M346,1)</f>
        <v>L</v>
      </c>
      <c r="X346" s="590" t="str" cm="1">
        <f t="array" ref="X346">RIGHT(N346,1)</f>
        <v>E</v>
      </c>
      <c r="Y346" s="708" cm="1">
        <f t="array" ref="Y346">COUNTIF($AA$2:$AA$9,Q346)+COUNTIF($AA$2:$AA$9,R346)+COUNTIF($AA$2:$AA$9,S346)+COUNTIF($AA$2:$AA$9,T346)+COUNTIF($AA$2:$AA$9,U346)+COUNTIF($AA$2:$AA$9,V346)+COUNTIF($AA$2:$AA$9,W346)+COUNTIF($AA$2:$AA$9,X346)</f>
        <v>5</v>
      </c>
      <c r="Z346" s="589"/>
      <c r="AA346" s="589"/>
      <c r="AB346" s="589"/>
      <c r="AC346" s="589"/>
      <c r="AD346" s="589"/>
      <c r="AE346" s="589"/>
      <c r="AF346" s="589"/>
      <c r="AG346" s="589"/>
      <c r="AH346" s="589"/>
      <c r="AI346" s="589"/>
      <c r="AJ346" s="589"/>
      <c r="AK346" s="589"/>
      <c r="AL346" s="589"/>
      <c r="AM346" s="589"/>
      <c r="AN346" s="589"/>
      <c r="AO346" s="589"/>
      <c r="AP346" s="589"/>
      <c r="AQ346" s="589"/>
      <c r="AR346" s="589"/>
      <c r="AS346" s="589"/>
      <c r="AT346" s="589"/>
      <c r="AU346" s="589"/>
      <c r="AV346" s="589"/>
      <c r="AW346" s="589"/>
      <c r="AX346" s="589"/>
      <c r="AY346" s="589"/>
      <c r="AZ346" s="589"/>
      <c r="BA346" s="589"/>
      <c r="BB346" s="589"/>
      <c r="BC346" s="589"/>
      <c r="BD346" s="589"/>
      <c r="BE346" s="589"/>
      <c r="BF346" s="589"/>
      <c r="BG346" s="589"/>
      <c r="BH346" s="589"/>
      <c r="BI346" s="589"/>
      <c r="BJ346" s="589"/>
      <c r="BK346" s="589"/>
      <c r="BL346" s="589"/>
    </row>
    <row r="347" spans="1:64" ht="14.25" customHeight="1">
      <c r="A347" s="691" t="s">
        <v>684</v>
      </c>
      <c r="B347" s="589"/>
      <c r="C347" s="589"/>
      <c r="D347" s="589"/>
      <c r="E347" s="589"/>
      <c r="F347" s="591">
        <v>346</v>
      </c>
      <c r="G347" s="691" t="s">
        <v>197</v>
      </c>
      <c r="H347" s="691" t="s">
        <v>217</v>
      </c>
      <c r="I347" s="691" t="s">
        <v>137</v>
      </c>
      <c r="J347" s="691" t="s">
        <v>157</v>
      </c>
      <c r="K347" s="691" t="s">
        <v>125</v>
      </c>
      <c r="L347" s="691" t="s">
        <v>187</v>
      </c>
      <c r="M347" s="691" t="s">
        <v>167</v>
      </c>
      <c r="N347" s="691" t="s">
        <v>227</v>
      </c>
      <c r="O347" s="589"/>
      <c r="P347" s="717" cm="1">
        <f t="array" ref="P347">F347</f>
        <v>346</v>
      </c>
      <c r="Q347" s="620" t="str" cm="1">
        <f t="array" ref="Q347">RIGHT(G347,1)</f>
        <v>H</v>
      </c>
      <c r="R347" s="590" t="str" cm="1">
        <f t="array" ref="R347">RIGHT(H347,1)</f>
        <v>J</v>
      </c>
      <c r="S347" s="590" t="str" cm="1">
        <f t="array" ref="S347">RIGHT(I347,1)</f>
        <v>B</v>
      </c>
      <c r="T347" s="590" t="str" cm="1">
        <f t="array" ref="T347">RIGHT(J347,1)</f>
        <v>D</v>
      </c>
      <c r="U347" s="590" t="str" cm="1">
        <f t="array" ref="U347">RIGHT(K347,1)</f>
        <v>A</v>
      </c>
      <c r="V347" s="590" t="str" cm="1">
        <f t="array" ref="V347">RIGHT(L347,1)</f>
        <v>G</v>
      </c>
      <c r="W347" s="590" t="str" cm="1">
        <f t="array" ref="W347">RIGHT(M347,1)</f>
        <v>E</v>
      </c>
      <c r="X347" s="590" t="str" cm="1">
        <f t="array" ref="X347">RIGHT(N347,1)</f>
        <v>K</v>
      </c>
      <c r="Y347" s="708" cm="1">
        <f t="array" ref="Y347">COUNTIF($AA$2:$AA$9,Q347)+COUNTIF($AA$2:$AA$9,R347)+COUNTIF($AA$2:$AA$9,S347)+COUNTIF($AA$2:$AA$9,T347)+COUNTIF($AA$2:$AA$9,U347)+COUNTIF($AA$2:$AA$9,V347)+COUNTIF($AA$2:$AA$9,W347)+COUNTIF($AA$2:$AA$9,X347)</f>
        <v>4</v>
      </c>
      <c r="Z347" s="589"/>
      <c r="AA347" s="589"/>
      <c r="AB347" s="589"/>
      <c r="AC347" s="589"/>
      <c r="AD347" s="589"/>
      <c r="AE347" s="589"/>
      <c r="AF347" s="589"/>
      <c r="AG347" s="589"/>
      <c r="AH347" s="589"/>
      <c r="AI347" s="589"/>
      <c r="AJ347" s="589"/>
      <c r="AK347" s="589"/>
      <c r="AL347" s="589"/>
      <c r="AM347" s="589"/>
      <c r="AN347" s="589"/>
      <c r="AO347" s="589"/>
      <c r="AP347" s="589"/>
      <c r="AQ347" s="589"/>
      <c r="AR347" s="589"/>
      <c r="AS347" s="589"/>
      <c r="AT347" s="589"/>
      <c r="AU347" s="589"/>
      <c r="AV347" s="589"/>
      <c r="AW347" s="589"/>
      <c r="AX347" s="589"/>
      <c r="AY347" s="589"/>
      <c r="AZ347" s="589"/>
      <c r="BA347" s="589"/>
      <c r="BB347" s="589"/>
      <c r="BC347" s="589"/>
      <c r="BD347" s="589"/>
      <c r="BE347" s="589"/>
      <c r="BF347" s="589"/>
      <c r="BG347" s="589"/>
      <c r="BH347" s="589"/>
      <c r="BI347" s="589"/>
      <c r="BJ347" s="589"/>
      <c r="BK347" s="589"/>
      <c r="BL347" s="589"/>
    </row>
    <row r="348" spans="1:64" ht="14.25" customHeight="1">
      <c r="A348" s="691" t="s">
        <v>685</v>
      </c>
      <c r="B348" s="589"/>
      <c r="C348" s="589"/>
      <c r="D348" s="589"/>
      <c r="E348" s="589"/>
      <c r="F348" s="591">
        <v>347</v>
      </c>
      <c r="G348" s="691" t="s">
        <v>167</v>
      </c>
      <c r="H348" s="691" t="s">
        <v>187</v>
      </c>
      <c r="I348" s="691" t="s">
        <v>137</v>
      </c>
      <c r="J348" s="691" t="s">
        <v>157</v>
      </c>
      <c r="K348" s="691" t="s">
        <v>125</v>
      </c>
      <c r="L348" s="691" t="s">
        <v>197</v>
      </c>
      <c r="M348" s="691" t="s">
        <v>237</v>
      </c>
      <c r="N348" s="691" t="s">
        <v>207</v>
      </c>
      <c r="O348" s="589"/>
      <c r="P348" s="717" cm="1">
        <f t="array" ref="P348">F348</f>
        <v>347</v>
      </c>
      <c r="Q348" s="620" t="str" cm="1">
        <f t="array" ref="Q348">RIGHT(G348,1)</f>
        <v>E</v>
      </c>
      <c r="R348" s="590" t="str" cm="1">
        <f t="array" ref="R348">RIGHT(H348,1)</f>
        <v>G</v>
      </c>
      <c r="S348" s="590" t="str" cm="1">
        <f t="array" ref="S348">RIGHT(I348,1)</f>
        <v>B</v>
      </c>
      <c r="T348" s="590" t="str" cm="1">
        <f t="array" ref="T348">RIGHT(J348,1)</f>
        <v>D</v>
      </c>
      <c r="U348" s="590" t="str" cm="1">
        <f t="array" ref="U348">RIGHT(K348,1)</f>
        <v>A</v>
      </c>
      <c r="V348" s="590" t="str" cm="1">
        <f t="array" ref="V348">RIGHT(L348,1)</f>
        <v>H</v>
      </c>
      <c r="W348" s="590" t="str" cm="1">
        <f t="array" ref="W348">RIGHT(M348,1)</f>
        <v>L</v>
      </c>
      <c r="X348" s="590" t="str" cm="1">
        <f t="array" ref="X348">RIGHT(N348,1)</f>
        <v>I</v>
      </c>
      <c r="Y348" s="708" cm="1">
        <f t="array" ref="Y348">COUNTIF($AA$2:$AA$9,Q348)+COUNTIF($AA$2:$AA$9,R348)+COUNTIF($AA$2:$AA$9,S348)+COUNTIF($AA$2:$AA$9,T348)+COUNTIF($AA$2:$AA$9,U348)+COUNTIF($AA$2:$AA$9,V348)+COUNTIF($AA$2:$AA$9,W348)+COUNTIF($AA$2:$AA$9,X348)</f>
        <v>5</v>
      </c>
      <c r="Z348" s="589"/>
      <c r="AA348" s="589"/>
      <c r="AB348" s="589"/>
      <c r="AC348" s="589"/>
      <c r="AD348" s="589"/>
      <c r="AE348" s="589"/>
      <c r="AF348" s="589"/>
      <c r="AG348" s="589"/>
      <c r="AH348" s="589"/>
      <c r="AI348" s="589"/>
      <c r="AJ348" s="589"/>
      <c r="AK348" s="589"/>
      <c r="AL348" s="589"/>
      <c r="AM348" s="589"/>
      <c r="AN348" s="589"/>
      <c r="AO348" s="589"/>
      <c r="AP348" s="589"/>
      <c r="AQ348" s="589"/>
      <c r="AR348" s="589"/>
      <c r="AS348" s="589"/>
      <c r="AT348" s="589"/>
      <c r="AU348" s="589"/>
      <c r="AV348" s="589"/>
      <c r="AW348" s="589"/>
      <c r="AX348" s="589"/>
      <c r="AY348" s="589"/>
      <c r="AZ348" s="589"/>
      <c r="BA348" s="589"/>
      <c r="BB348" s="589"/>
      <c r="BC348" s="589"/>
      <c r="BD348" s="589"/>
      <c r="BE348" s="589"/>
      <c r="BF348" s="589"/>
      <c r="BG348" s="589"/>
      <c r="BH348" s="589"/>
      <c r="BI348" s="589"/>
      <c r="BJ348" s="589"/>
      <c r="BK348" s="589"/>
      <c r="BL348" s="589"/>
    </row>
    <row r="349" spans="1:64" ht="14.25" customHeight="1">
      <c r="A349" s="691" t="s">
        <v>686</v>
      </c>
      <c r="B349" s="589"/>
      <c r="C349" s="589"/>
      <c r="D349" s="589"/>
      <c r="E349" s="589"/>
      <c r="F349" s="591">
        <v>348</v>
      </c>
      <c r="G349" s="691" t="s">
        <v>167</v>
      </c>
      <c r="H349" s="691" t="s">
        <v>187</v>
      </c>
      <c r="I349" s="691" t="s">
        <v>137</v>
      </c>
      <c r="J349" s="691" t="s">
        <v>157</v>
      </c>
      <c r="K349" s="691" t="s">
        <v>125</v>
      </c>
      <c r="L349" s="691" t="s">
        <v>197</v>
      </c>
      <c r="M349" s="691" t="s">
        <v>207</v>
      </c>
      <c r="N349" s="691" t="s">
        <v>227</v>
      </c>
      <c r="O349" s="589"/>
      <c r="P349" s="717" cm="1">
        <f t="array" ref="P349">F349</f>
        <v>348</v>
      </c>
      <c r="Q349" s="620" t="str" cm="1">
        <f t="array" ref="Q349">RIGHT(G349,1)</f>
        <v>E</v>
      </c>
      <c r="R349" s="590" t="str" cm="1">
        <f t="array" ref="R349">RIGHT(H349,1)</f>
        <v>G</v>
      </c>
      <c r="S349" s="590" t="str" cm="1">
        <f t="array" ref="S349">RIGHT(I349,1)</f>
        <v>B</v>
      </c>
      <c r="T349" s="590" t="str" cm="1">
        <f t="array" ref="T349">RIGHT(J349,1)</f>
        <v>D</v>
      </c>
      <c r="U349" s="590" t="str" cm="1">
        <f t="array" ref="U349">RIGHT(K349,1)</f>
        <v>A</v>
      </c>
      <c r="V349" s="590" t="str" cm="1">
        <f t="array" ref="V349">RIGHT(L349,1)</f>
        <v>H</v>
      </c>
      <c r="W349" s="590" t="str" cm="1">
        <f t="array" ref="W349">RIGHT(M349,1)</f>
        <v>I</v>
      </c>
      <c r="X349" s="590" t="str" cm="1">
        <f t="array" ref="X349">RIGHT(N349,1)</f>
        <v>K</v>
      </c>
      <c r="Y349" s="708" cm="1">
        <f t="array" ref="Y349">COUNTIF($AA$2:$AA$9,Q349)+COUNTIF($AA$2:$AA$9,R349)+COUNTIF($AA$2:$AA$9,S349)+COUNTIF($AA$2:$AA$9,T349)+COUNTIF($AA$2:$AA$9,U349)+COUNTIF($AA$2:$AA$9,V349)+COUNTIF($AA$2:$AA$9,W349)+COUNTIF($AA$2:$AA$9,X349)</f>
        <v>4</v>
      </c>
      <c r="Z349" s="589"/>
      <c r="AA349" s="589"/>
      <c r="AB349" s="589"/>
      <c r="AC349" s="589"/>
      <c r="AD349" s="589"/>
      <c r="AE349" s="589"/>
      <c r="AF349" s="589"/>
      <c r="AG349" s="589"/>
      <c r="AH349" s="589"/>
      <c r="AI349" s="589"/>
      <c r="AJ349" s="589"/>
      <c r="AK349" s="589"/>
      <c r="AL349" s="589"/>
      <c r="AM349" s="589"/>
      <c r="AN349" s="589"/>
      <c r="AO349" s="589"/>
      <c r="AP349" s="589"/>
      <c r="AQ349" s="589"/>
      <c r="AR349" s="589"/>
      <c r="AS349" s="589"/>
      <c r="AT349" s="589"/>
      <c r="AU349" s="589"/>
      <c r="AV349" s="589"/>
      <c r="AW349" s="589"/>
      <c r="AX349" s="589"/>
      <c r="AY349" s="589"/>
      <c r="AZ349" s="589"/>
      <c r="BA349" s="589"/>
      <c r="BB349" s="589"/>
      <c r="BC349" s="589"/>
      <c r="BD349" s="589"/>
      <c r="BE349" s="589"/>
      <c r="BF349" s="589"/>
      <c r="BG349" s="589"/>
      <c r="BH349" s="589"/>
      <c r="BI349" s="589"/>
      <c r="BJ349" s="589"/>
      <c r="BK349" s="589"/>
      <c r="BL349" s="589"/>
    </row>
    <row r="350" spans="1:64" ht="14.25" customHeight="1">
      <c r="A350" s="691" t="s">
        <v>687</v>
      </c>
      <c r="B350" s="589"/>
      <c r="C350" s="589"/>
      <c r="D350" s="589"/>
      <c r="E350" s="589"/>
      <c r="F350" s="591">
        <v>349</v>
      </c>
      <c r="G350" s="691" t="s">
        <v>197</v>
      </c>
      <c r="H350" s="691" t="s">
        <v>217</v>
      </c>
      <c r="I350" s="691" t="s">
        <v>137</v>
      </c>
      <c r="J350" s="691" t="s">
        <v>157</v>
      </c>
      <c r="K350" s="691" t="s">
        <v>125</v>
      </c>
      <c r="L350" s="691" t="s">
        <v>187</v>
      </c>
      <c r="M350" s="691" t="s">
        <v>167</v>
      </c>
      <c r="N350" s="691" t="s">
        <v>207</v>
      </c>
      <c r="O350" s="589"/>
      <c r="P350" s="717" cm="1">
        <f t="array" ref="P350">F350</f>
        <v>349</v>
      </c>
      <c r="Q350" s="620" t="str" cm="1">
        <f t="array" ref="Q350">RIGHT(G350,1)</f>
        <v>H</v>
      </c>
      <c r="R350" s="590" t="str" cm="1">
        <f t="array" ref="R350">RIGHT(H350,1)</f>
        <v>J</v>
      </c>
      <c r="S350" s="590" t="str" cm="1">
        <f t="array" ref="S350">RIGHT(I350,1)</f>
        <v>B</v>
      </c>
      <c r="T350" s="590" t="str" cm="1">
        <f t="array" ref="T350">RIGHT(J350,1)</f>
        <v>D</v>
      </c>
      <c r="U350" s="590" t="str" cm="1">
        <f t="array" ref="U350">RIGHT(K350,1)</f>
        <v>A</v>
      </c>
      <c r="V350" s="590" t="str" cm="1">
        <f t="array" ref="V350">RIGHT(L350,1)</f>
        <v>G</v>
      </c>
      <c r="W350" s="590" t="str" cm="1">
        <f t="array" ref="W350">RIGHT(M350,1)</f>
        <v>E</v>
      </c>
      <c r="X350" s="590" t="str" cm="1">
        <f t="array" ref="X350">RIGHT(N350,1)</f>
        <v>I</v>
      </c>
      <c r="Y350" s="708" cm="1">
        <f t="array" ref="Y350">COUNTIF($AA$2:$AA$9,Q350)+COUNTIF($AA$2:$AA$9,R350)+COUNTIF($AA$2:$AA$9,S350)+COUNTIF($AA$2:$AA$9,T350)+COUNTIF($AA$2:$AA$9,U350)+COUNTIF($AA$2:$AA$9,V350)+COUNTIF($AA$2:$AA$9,W350)+COUNTIF($AA$2:$AA$9,X350)</f>
        <v>5</v>
      </c>
      <c r="Z350" s="589"/>
      <c r="AA350" s="589"/>
      <c r="AB350" s="589"/>
      <c r="AC350" s="589"/>
      <c r="AD350" s="589"/>
      <c r="AE350" s="589"/>
      <c r="AF350" s="589"/>
      <c r="AG350" s="589"/>
      <c r="AH350" s="589"/>
      <c r="AI350" s="589"/>
      <c r="AJ350" s="589"/>
      <c r="AK350" s="589"/>
      <c r="AL350" s="589"/>
      <c r="AM350" s="589"/>
      <c r="AN350" s="589"/>
      <c r="AO350" s="589"/>
      <c r="AP350" s="589"/>
      <c r="AQ350" s="589"/>
      <c r="AR350" s="589"/>
      <c r="AS350" s="589"/>
      <c r="AT350" s="589"/>
      <c r="AU350" s="589"/>
      <c r="AV350" s="589"/>
      <c r="AW350" s="589"/>
      <c r="AX350" s="589"/>
      <c r="AY350" s="589"/>
      <c r="AZ350" s="589"/>
      <c r="BA350" s="589"/>
      <c r="BB350" s="589"/>
      <c r="BC350" s="589"/>
      <c r="BD350" s="589"/>
      <c r="BE350" s="589"/>
      <c r="BF350" s="589"/>
      <c r="BG350" s="589"/>
      <c r="BH350" s="589"/>
      <c r="BI350" s="589"/>
      <c r="BJ350" s="589"/>
      <c r="BK350" s="589"/>
      <c r="BL350" s="589"/>
    </row>
    <row r="351" spans="1:64" ht="14.25" customHeight="1">
      <c r="A351" s="691" t="s">
        <v>688</v>
      </c>
      <c r="B351" s="589"/>
      <c r="C351" s="589"/>
      <c r="D351" s="589"/>
      <c r="E351" s="589"/>
      <c r="F351" s="591">
        <v>350</v>
      </c>
      <c r="G351" s="691" t="s">
        <v>167</v>
      </c>
      <c r="H351" s="691" t="s">
        <v>217</v>
      </c>
      <c r="I351" s="691" t="s">
        <v>137</v>
      </c>
      <c r="J351" s="691" t="s">
        <v>157</v>
      </c>
      <c r="K351" s="691" t="s">
        <v>125</v>
      </c>
      <c r="L351" s="691" t="s">
        <v>177</v>
      </c>
      <c r="M351" s="691" t="s">
        <v>237</v>
      </c>
      <c r="N351" s="691" t="s">
        <v>227</v>
      </c>
      <c r="O351" s="589"/>
      <c r="P351" s="717" cm="1">
        <f t="array" ref="P351">F351</f>
        <v>350</v>
      </c>
      <c r="Q351" s="620" t="str" cm="1">
        <f t="array" ref="Q351">RIGHT(G351,1)</f>
        <v>E</v>
      </c>
      <c r="R351" s="590" t="str" cm="1">
        <f t="array" ref="R351">RIGHT(H351,1)</f>
        <v>J</v>
      </c>
      <c r="S351" s="590" t="str" cm="1">
        <f t="array" ref="S351">RIGHT(I351,1)</f>
        <v>B</v>
      </c>
      <c r="T351" s="590" t="str" cm="1">
        <f t="array" ref="T351">RIGHT(J351,1)</f>
        <v>D</v>
      </c>
      <c r="U351" s="590" t="str" cm="1">
        <f t="array" ref="U351">RIGHT(K351,1)</f>
        <v>A</v>
      </c>
      <c r="V351" s="590" t="str" cm="1">
        <f t="array" ref="V351">RIGHT(L351,1)</f>
        <v>F</v>
      </c>
      <c r="W351" s="590" t="str" cm="1">
        <f t="array" ref="W351">RIGHT(M351,1)</f>
        <v>L</v>
      </c>
      <c r="X351" s="590" t="str" cm="1">
        <f t="array" ref="X351">RIGHT(N351,1)</f>
        <v>K</v>
      </c>
      <c r="Y351" s="708" cm="1">
        <f t="array" ref="Y351">COUNTIF($AA$2:$AA$9,Q351)+COUNTIF($AA$2:$AA$9,R351)+COUNTIF($AA$2:$AA$9,S351)+COUNTIF($AA$2:$AA$9,T351)+COUNTIF($AA$2:$AA$9,U351)+COUNTIF($AA$2:$AA$9,V351)+COUNTIF($AA$2:$AA$9,W351)+COUNTIF($AA$2:$AA$9,X351)</f>
        <v>6</v>
      </c>
      <c r="Z351" s="589"/>
      <c r="AA351" s="589"/>
      <c r="AB351" s="589"/>
      <c r="AC351" s="589"/>
      <c r="AD351" s="589"/>
      <c r="AE351" s="589"/>
      <c r="AF351" s="589"/>
      <c r="AG351" s="589"/>
      <c r="AH351" s="589"/>
      <c r="AI351" s="589"/>
      <c r="AJ351" s="589"/>
      <c r="AK351" s="589"/>
      <c r="AL351" s="589"/>
      <c r="AM351" s="589"/>
      <c r="AN351" s="589"/>
      <c r="AO351" s="589"/>
      <c r="AP351" s="589"/>
      <c r="AQ351" s="589"/>
      <c r="AR351" s="589"/>
      <c r="AS351" s="589"/>
      <c r="AT351" s="589"/>
      <c r="AU351" s="589"/>
      <c r="AV351" s="589"/>
      <c r="AW351" s="589"/>
      <c r="AX351" s="589"/>
      <c r="AY351" s="589"/>
      <c r="AZ351" s="589"/>
      <c r="BA351" s="589"/>
      <c r="BB351" s="589"/>
      <c r="BC351" s="589"/>
      <c r="BD351" s="589"/>
      <c r="BE351" s="589"/>
      <c r="BF351" s="589"/>
      <c r="BG351" s="589"/>
      <c r="BH351" s="589"/>
      <c r="BI351" s="589"/>
      <c r="BJ351" s="589"/>
      <c r="BK351" s="589"/>
      <c r="BL351" s="589"/>
    </row>
    <row r="352" spans="1:64" ht="14.25" customHeight="1">
      <c r="A352" s="691" t="s">
        <v>689</v>
      </c>
      <c r="B352" s="589"/>
      <c r="C352" s="589"/>
      <c r="D352" s="589"/>
      <c r="E352" s="589"/>
      <c r="F352" s="591">
        <v>351</v>
      </c>
      <c r="G352" s="691" t="s">
        <v>167</v>
      </c>
      <c r="H352" s="691" t="s">
        <v>207</v>
      </c>
      <c r="I352" s="691" t="s">
        <v>137</v>
      </c>
      <c r="J352" s="691" t="s">
        <v>157</v>
      </c>
      <c r="K352" s="691" t="s">
        <v>125</v>
      </c>
      <c r="L352" s="691" t="s">
        <v>177</v>
      </c>
      <c r="M352" s="691" t="s">
        <v>237</v>
      </c>
      <c r="N352" s="691" t="s">
        <v>227</v>
      </c>
      <c r="O352" s="589"/>
      <c r="P352" s="717" cm="1">
        <f t="array" ref="P352">F352</f>
        <v>351</v>
      </c>
      <c r="Q352" s="620" t="str" cm="1">
        <f t="array" ref="Q352">RIGHT(G352,1)</f>
        <v>E</v>
      </c>
      <c r="R352" s="590" t="str" cm="1">
        <f t="array" ref="R352">RIGHT(H352,1)</f>
        <v>I</v>
      </c>
      <c r="S352" s="590" t="str" cm="1">
        <f t="array" ref="S352">RIGHT(I352,1)</f>
        <v>B</v>
      </c>
      <c r="T352" s="590" t="str" cm="1">
        <f t="array" ref="T352">RIGHT(J352,1)</f>
        <v>D</v>
      </c>
      <c r="U352" s="590" t="str" cm="1">
        <f t="array" ref="U352">RIGHT(K352,1)</f>
        <v>A</v>
      </c>
      <c r="V352" s="590" t="str" cm="1">
        <f t="array" ref="V352">RIGHT(L352,1)</f>
        <v>F</v>
      </c>
      <c r="W352" s="590" t="str" cm="1">
        <f t="array" ref="W352">RIGHT(M352,1)</f>
        <v>L</v>
      </c>
      <c r="X352" s="590" t="str" cm="1">
        <f t="array" ref="X352">RIGHT(N352,1)</f>
        <v>K</v>
      </c>
      <c r="Y352" s="708" cm="1">
        <f t="array" ref="Y352">COUNTIF($AA$2:$AA$9,Q352)+COUNTIF($AA$2:$AA$9,R352)+COUNTIF($AA$2:$AA$9,S352)+COUNTIF($AA$2:$AA$9,T352)+COUNTIF($AA$2:$AA$9,U352)+COUNTIF($AA$2:$AA$9,V352)+COUNTIF($AA$2:$AA$9,W352)+COUNTIF($AA$2:$AA$9,X352)</f>
        <v>6</v>
      </c>
      <c r="Z352" s="589"/>
      <c r="AA352" s="589"/>
      <c r="AB352" s="589"/>
      <c r="AC352" s="589"/>
      <c r="AD352" s="589"/>
      <c r="AE352" s="589"/>
      <c r="AF352" s="589"/>
      <c r="AG352" s="589"/>
      <c r="AH352" s="589"/>
      <c r="AI352" s="589"/>
      <c r="AJ352" s="589"/>
      <c r="AK352" s="589"/>
      <c r="AL352" s="589"/>
      <c r="AM352" s="589"/>
      <c r="AN352" s="589"/>
      <c r="AO352" s="589"/>
      <c r="AP352" s="589"/>
      <c r="AQ352" s="589"/>
      <c r="AR352" s="589"/>
      <c r="AS352" s="589"/>
      <c r="AT352" s="589"/>
      <c r="AU352" s="589"/>
      <c r="AV352" s="589"/>
      <c r="AW352" s="589"/>
      <c r="AX352" s="589"/>
      <c r="AY352" s="589"/>
      <c r="AZ352" s="589"/>
      <c r="BA352" s="589"/>
      <c r="BB352" s="589"/>
      <c r="BC352" s="589"/>
      <c r="BD352" s="589"/>
      <c r="BE352" s="589"/>
      <c r="BF352" s="589"/>
      <c r="BG352" s="589"/>
      <c r="BH352" s="589"/>
      <c r="BI352" s="589"/>
      <c r="BJ352" s="589"/>
      <c r="BK352" s="589"/>
      <c r="BL352" s="589"/>
    </row>
    <row r="353" spans="1:64" ht="14.25" customHeight="1">
      <c r="A353" s="691" t="s">
        <v>690</v>
      </c>
      <c r="B353" s="589"/>
      <c r="C353" s="589"/>
      <c r="D353" s="589"/>
      <c r="E353" s="589"/>
      <c r="F353" s="591">
        <v>352</v>
      </c>
      <c r="G353" s="691" t="s">
        <v>167</v>
      </c>
      <c r="H353" s="691" t="s">
        <v>217</v>
      </c>
      <c r="I353" s="691" t="s">
        <v>137</v>
      </c>
      <c r="J353" s="691" t="s">
        <v>157</v>
      </c>
      <c r="K353" s="691" t="s">
        <v>125</v>
      </c>
      <c r="L353" s="691" t="s">
        <v>177</v>
      </c>
      <c r="M353" s="691" t="s">
        <v>237</v>
      </c>
      <c r="N353" s="691" t="s">
        <v>207</v>
      </c>
      <c r="O353" s="589"/>
      <c r="P353" s="717" cm="1">
        <f t="array" ref="P353">F353</f>
        <v>352</v>
      </c>
      <c r="Q353" s="620" t="str" cm="1">
        <f t="array" ref="Q353">RIGHT(G353,1)</f>
        <v>E</v>
      </c>
      <c r="R353" s="590" t="str" cm="1">
        <f t="array" ref="R353">RIGHT(H353,1)</f>
        <v>J</v>
      </c>
      <c r="S353" s="590" t="str" cm="1">
        <f t="array" ref="S353">RIGHT(I353,1)</f>
        <v>B</v>
      </c>
      <c r="T353" s="590" t="str" cm="1">
        <f t="array" ref="T353">RIGHT(J353,1)</f>
        <v>D</v>
      </c>
      <c r="U353" s="590" t="str" cm="1">
        <f t="array" ref="U353">RIGHT(K353,1)</f>
        <v>A</v>
      </c>
      <c r="V353" s="590" t="str" cm="1">
        <f t="array" ref="V353">RIGHT(L353,1)</f>
        <v>F</v>
      </c>
      <c r="W353" s="590" t="str" cm="1">
        <f t="array" ref="W353">RIGHT(M353,1)</f>
        <v>L</v>
      </c>
      <c r="X353" s="590" t="str" cm="1">
        <f t="array" ref="X353">RIGHT(N353,1)</f>
        <v>I</v>
      </c>
      <c r="Y353" s="708" cm="1">
        <f t="array" ref="Y353">COUNTIF($AA$2:$AA$9,Q353)+COUNTIF($AA$2:$AA$9,R353)+COUNTIF($AA$2:$AA$9,S353)+COUNTIF($AA$2:$AA$9,T353)+COUNTIF($AA$2:$AA$9,U353)+COUNTIF($AA$2:$AA$9,V353)+COUNTIF($AA$2:$AA$9,W353)+COUNTIF($AA$2:$AA$9,X353)</f>
        <v>7</v>
      </c>
      <c r="Z353" s="589"/>
      <c r="AA353" s="589"/>
      <c r="AB353" s="589"/>
      <c r="AC353" s="589"/>
      <c r="AD353" s="589"/>
      <c r="AE353" s="589"/>
      <c r="AF353" s="589"/>
      <c r="AG353" s="589"/>
      <c r="AH353" s="589"/>
      <c r="AI353" s="589"/>
      <c r="AJ353" s="589"/>
      <c r="AK353" s="589"/>
      <c r="AL353" s="589"/>
      <c r="AM353" s="589"/>
      <c r="AN353" s="589"/>
      <c r="AO353" s="589"/>
      <c r="AP353" s="589"/>
      <c r="AQ353" s="589"/>
      <c r="AR353" s="589"/>
      <c r="AS353" s="589"/>
      <c r="AT353" s="589"/>
      <c r="AU353" s="589"/>
      <c r="AV353" s="589"/>
      <c r="AW353" s="589"/>
      <c r="AX353" s="589"/>
      <c r="AY353" s="589"/>
      <c r="AZ353" s="589"/>
      <c r="BA353" s="589"/>
      <c r="BB353" s="589"/>
      <c r="BC353" s="589"/>
      <c r="BD353" s="589"/>
      <c r="BE353" s="589"/>
      <c r="BF353" s="589"/>
      <c r="BG353" s="589"/>
      <c r="BH353" s="589"/>
      <c r="BI353" s="589"/>
      <c r="BJ353" s="589"/>
      <c r="BK353" s="589"/>
      <c r="BL353" s="589"/>
    </row>
    <row r="354" spans="1:64" ht="14.25" customHeight="1">
      <c r="A354" s="691" t="s">
        <v>691</v>
      </c>
      <c r="B354" s="589"/>
      <c r="C354" s="589"/>
      <c r="D354" s="589"/>
      <c r="E354" s="589"/>
      <c r="F354" s="591">
        <v>353</v>
      </c>
      <c r="G354" s="691" t="s">
        <v>167</v>
      </c>
      <c r="H354" s="691" t="s">
        <v>217</v>
      </c>
      <c r="I354" s="691" t="s">
        <v>137</v>
      </c>
      <c r="J354" s="691" t="s">
        <v>157</v>
      </c>
      <c r="K354" s="691" t="s">
        <v>125</v>
      </c>
      <c r="L354" s="691" t="s">
        <v>177</v>
      </c>
      <c r="M354" s="691" t="s">
        <v>207</v>
      </c>
      <c r="N354" s="691" t="s">
        <v>227</v>
      </c>
      <c r="O354" s="589"/>
      <c r="P354" s="717" cm="1">
        <f t="array" ref="P354">F354</f>
        <v>353</v>
      </c>
      <c r="Q354" s="620" t="str" cm="1">
        <f t="array" ref="Q354">RIGHT(G354,1)</f>
        <v>E</v>
      </c>
      <c r="R354" s="590" t="str" cm="1">
        <f t="array" ref="R354">RIGHT(H354,1)</f>
        <v>J</v>
      </c>
      <c r="S354" s="590" t="str" cm="1">
        <f t="array" ref="S354">RIGHT(I354,1)</f>
        <v>B</v>
      </c>
      <c r="T354" s="590" t="str" cm="1">
        <f t="array" ref="T354">RIGHT(J354,1)</f>
        <v>D</v>
      </c>
      <c r="U354" s="590" t="str" cm="1">
        <f t="array" ref="U354">RIGHT(K354,1)</f>
        <v>A</v>
      </c>
      <c r="V354" s="590" t="str" cm="1">
        <f t="array" ref="V354">RIGHT(L354,1)</f>
        <v>F</v>
      </c>
      <c r="W354" s="590" t="str" cm="1">
        <f t="array" ref="W354">RIGHT(M354,1)</f>
        <v>I</v>
      </c>
      <c r="X354" s="590" t="str" cm="1">
        <f t="array" ref="X354">RIGHT(N354,1)</f>
        <v>K</v>
      </c>
      <c r="Y354" s="708" cm="1">
        <f t="array" ref="Y354">COUNTIF($AA$2:$AA$9,Q354)+COUNTIF($AA$2:$AA$9,R354)+COUNTIF($AA$2:$AA$9,S354)+COUNTIF($AA$2:$AA$9,T354)+COUNTIF($AA$2:$AA$9,U354)+COUNTIF($AA$2:$AA$9,V354)+COUNTIF($AA$2:$AA$9,W354)+COUNTIF($AA$2:$AA$9,X354)</f>
        <v>6</v>
      </c>
      <c r="Z354" s="589"/>
      <c r="AA354" s="589"/>
      <c r="AB354" s="589"/>
      <c r="AC354" s="589"/>
      <c r="AD354" s="589"/>
      <c r="AE354" s="589"/>
      <c r="AF354" s="589"/>
      <c r="AG354" s="589"/>
      <c r="AH354" s="589"/>
      <c r="AI354" s="589"/>
      <c r="AJ354" s="589"/>
      <c r="AK354" s="589"/>
      <c r="AL354" s="589"/>
      <c r="AM354" s="589"/>
      <c r="AN354" s="589"/>
      <c r="AO354" s="589"/>
      <c r="AP354" s="589"/>
      <c r="AQ354" s="589"/>
      <c r="AR354" s="589"/>
      <c r="AS354" s="589"/>
      <c r="AT354" s="589"/>
      <c r="AU354" s="589"/>
      <c r="AV354" s="589"/>
      <c r="AW354" s="589"/>
      <c r="AX354" s="589"/>
      <c r="AY354" s="589"/>
      <c r="AZ354" s="589"/>
      <c r="BA354" s="589"/>
      <c r="BB354" s="589"/>
      <c r="BC354" s="589"/>
      <c r="BD354" s="589"/>
      <c r="BE354" s="589"/>
      <c r="BF354" s="589"/>
      <c r="BG354" s="589"/>
      <c r="BH354" s="589"/>
      <c r="BI354" s="589"/>
      <c r="BJ354" s="589"/>
      <c r="BK354" s="589"/>
      <c r="BL354" s="589"/>
    </row>
    <row r="355" spans="1:64" ht="14.25" customHeight="1">
      <c r="A355" s="691" t="s">
        <v>692</v>
      </c>
      <c r="B355" s="589"/>
      <c r="C355" s="589"/>
      <c r="D355" s="589"/>
      <c r="E355" s="589"/>
      <c r="F355" s="591">
        <v>354</v>
      </c>
      <c r="G355" s="691" t="s">
        <v>197</v>
      </c>
      <c r="H355" s="691" t="s">
        <v>167</v>
      </c>
      <c r="I355" s="691" t="s">
        <v>137</v>
      </c>
      <c r="J355" s="691" t="s">
        <v>157</v>
      </c>
      <c r="K355" s="691" t="s">
        <v>125</v>
      </c>
      <c r="L355" s="691" t="s">
        <v>177</v>
      </c>
      <c r="M355" s="691" t="s">
        <v>237</v>
      </c>
      <c r="N355" s="691" t="s">
        <v>227</v>
      </c>
      <c r="O355" s="589"/>
      <c r="P355" s="717" cm="1">
        <f t="array" ref="P355">F355</f>
        <v>354</v>
      </c>
      <c r="Q355" s="620" t="str" cm="1">
        <f t="array" ref="Q355">RIGHT(G355,1)</f>
        <v>H</v>
      </c>
      <c r="R355" s="590" t="str" cm="1">
        <f t="array" ref="R355">RIGHT(H355,1)</f>
        <v>E</v>
      </c>
      <c r="S355" s="590" t="str" cm="1">
        <f t="array" ref="S355">RIGHT(I355,1)</f>
        <v>B</v>
      </c>
      <c r="T355" s="590" t="str" cm="1">
        <f t="array" ref="T355">RIGHT(J355,1)</f>
        <v>D</v>
      </c>
      <c r="U355" s="590" t="str" cm="1">
        <f t="array" ref="U355">RIGHT(K355,1)</f>
        <v>A</v>
      </c>
      <c r="V355" s="590" t="str" cm="1">
        <f t="array" ref="V355">RIGHT(L355,1)</f>
        <v>F</v>
      </c>
      <c r="W355" s="590" t="str" cm="1">
        <f t="array" ref="W355">RIGHT(M355,1)</f>
        <v>L</v>
      </c>
      <c r="X355" s="590" t="str" cm="1">
        <f t="array" ref="X355">RIGHT(N355,1)</f>
        <v>K</v>
      </c>
      <c r="Y355" s="708" cm="1">
        <f t="array" ref="Y355">COUNTIF($AA$2:$AA$9,Q355)+COUNTIF($AA$2:$AA$9,R355)+COUNTIF($AA$2:$AA$9,S355)+COUNTIF($AA$2:$AA$9,T355)+COUNTIF($AA$2:$AA$9,U355)+COUNTIF($AA$2:$AA$9,V355)+COUNTIF($AA$2:$AA$9,W355)+COUNTIF($AA$2:$AA$9,X355)</f>
        <v>5</v>
      </c>
      <c r="Z355" s="589"/>
      <c r="AA355" s="589"/>
      <c r="AB355" s="589"/>
      <c r="AC355" s="589"/>
      <c r="AD355" s="589"/>
      <c r="AE355" s="589"/>
      <c r="AF355" s="589"/>
      <c r="AG355" s="589"/>
      <c r="AH355" s="589"/>
      <c r="AI355" s="589"/>
      <c r="AJ355" s="589"/>
      <c r="AK355" s="589"/>
      <c r="AL355" s="589"/>
      <c r="AM355" s="589"/>
      <c r="AN355" s="589"/>
      <c r="AO355" s="589"/>
      <c r="AP355" s="589"/>
      <c r="AQ355" s="589"/>
      <c r="AR355" s="589"/>
      <c r="AS355" s="589"/>
      <c r="AT355" s="589"/>
      <c r="AU355" s="589"/>
      <c r="AV355" s="589"/>
      <c r="AW355" s="589"/>
      <c r="AX355" s="589"/>
      <c r="AY355" s="589"/>
      <c r="AZ355" s="589"/>
      <c r="BA355" s="589"/>
      <c r="BB355" s="589"/>
      <c r="BC355" s="589"/>
      <c r="BD355" s="589"/>
      <c r="BE355" s="589"/>
      <c r="BF355" s="589"/>
      <c r="BG355" s="589"/>
      <c r="BH355" s="589"/>
      <c r="BI355" s="589"/>
      <c r="BJ355" s="589"/>
      <c r="BK355" s="589"/>
      <c r="BL355" s="589"/>
    </row>
    <row r="356" spans="1:64" ht="14.25" customHeight="1">
      <c r="A356" s="691" t="s">
        <v>693</v>
      </c>
      <c r="B356" s="589"/>
      <c r="C356" s="589"/>
      <c r="D356" s="589"/>
      <c r="E356" s="589"/>
      <c r="F356" s="591">
        <v>355</v>
      </c>
      <c r="G356" s="691" t="s">
        <v>197</v>
      </c>
      <c r="H356" s="691" t="s">
        <v>217</v>
      </c>
      <c r="I356" s="691" t="s">
        <v>137</v>
      </c>
      <c r="J356" s="691" t="s">
        <v>157</v>
      </c>
      <c r="K356" s="691" t="s">
        <v>125</v>
      </c>
      <c r="L356" s="691" t="s">
        <v>177</v>
      </c>
      <c r="M356" s="691" t="s">
        <v>237</v>
      </c>
      <c r="N356" s="691" t="s">
        <v>167</v>
      </c>
      <c r="O356" s="589"/>
      <c r="P356" s="717" cm="1">
        <f t="array" ref="P356">F356</f>
        <v>355</v>
      </c>
      <c r="Q356" s="620" t="str" cm="1">
        <f t="array" ref="Q356">RIGHT(G356,1)</f>
        <v>H</v>
      </c>
      <c r="R356" s="590" t="str" cm="1">
        <f t="array" ref="R356">RIGHT(H356,1)</f>
        <v>J</v>
      </c>
      <c r="S356" s="590" t="str" cm="1">
        <f t="array" ref="S356">RIGHT(I356,1)</f>
        <v>B</v>
      </c>
      <c r="T356" s="590" t="str" cm="1">
        <f t="array" ref="T356">RIGHT(J356,1)</f>
        <v>D</v>
      </c>
      <c r="U356" s="590" t="str" cm="1">
        <f t="array" ref="U356">RIGHT(K356,1)</f>
        <v>A</v>
      </c>
      <c r="V356" s="590" t="str" cm="1">
        <f t="array" ref="V356">RIGHT(L356,1)</f>
        <v>F</v>
      </c>
      <c r="W356" s="590" t="str" cm="1">
        <f t="array" ref="W356">RIGHT(M356,1)</f>
        <v>L</v>
      </c>
      <c r="X356" s="590" t="str" cm="1">
        <f t="array" ref="X356">RIGHT(N356,1)</f>
        <v>E</v>
      </c>
      <c r="Y356" s="708" cm="1">
        <f t="array" ref="Y356">COUNTIF($AA$2:$AA$9,Q356)+COUNTIF($AA$2:$AA$9,R356)+COUNTIF($AA$2:$AA$9,S356)+COUNTIF($AA$2:$AA$9,T356)+COUNTIF($AA$2:$AA$9,U356)+COUNTIF($AA$2:$AA$9,V356)+COUNTIF($AA$2:$AA$9,W356)+COUNTIF($AA$2:$AA$9,X356)</f>
        <v>6</v>
      </c>
      <c r="Z356" s="589"/>
      <c r="AA356" s="589"/>
      <c r="AB356" s="589"/>
      <c r="AC356" s="589"/>
      <c r="AD356" s="589"/>
      <c r="AE356" s="589"/>
      <c r="AF356" s="589"/>
      <c r="AG356" s="589"/>
      <c r="AH356" s="589"/>
      <c r="AI356" s="589"/>
      <c r="AJ356" s="589"/>
      <c r="AK356" s="589"/>
      <c r="AL356" s="589"/>
      <c r="AM356" s="589"/>
      <c r="AN356" s="589"/>
      <c r="AO356" s="589"/>
      <c r="AP356" s="589"/>
      <c r="AQ356" s="589"/>
      <c r="AR356" s="589"/>
      <c r="AS356" s="589"/>
      <c r="AT356" s="589"/>
      <c r="AU356" s="589"/>
      <c r="AV356" s="589"/>
      <c r="AW356" s="589"/>
      <c r="AX356" s="589"/>
      <c r="AY356" s="589"/>
      <c r="AZ356" s="589"/>
      <c r="BA356" s="589"/>
      <c r="BB356" s="589"/>
      <c r="BC356" s="589"/>
      <c r="BD356" s="589"/>
      <c r="BE356" s="589"/>
      <c r="BF356" s="589"/>
      <c r="BG356" s="589"/>
      <c r="BH356" s="589"/>
      <c r="BI356" s="589"/>
      <c r="BJ356" s="589"/>
      <c r="BK356" s="589"/>
      <c r="BL356" s="589"/>
    </row>
    <row r="357" spans="1:64" ht="14.25" customHeight="1">
      <c r="A357" s="691" t="s">
        <v>694</v>
      </c>
      <c r="B357" s="589"/>
      <c r="C357" s="589"/>
      <c r="D357" s="589"/>
      <c r="E357" s="589"/>
      <c r="F357" s="591">
        <v>356</v>
      </c>
      <c r="G357" s="691" t="s">
        <v>197</v>
      </c>
      <c r="H357" s="691" t="s">
        <v>217</v>
      </c>
      <c r="I357" s="691" t="s">
        <v>137</v>
      </c>
      <c r="J357" s="691" t="s">
        <v>157</v>
      </c>
      <c r="K357" s="691" t="s">
        <v>125</v>
      </c>
      <c r="L357" s="691" t="s">
        <v>177</v>
      </c>
      <c r="M357" s="691" t="s">
        <v>167</v>
      </c>
      <c r="N357" s="691" t="s">
        <v>227</v>
      </c>
      <c r="O357" s="589"/>
      <c r="P357" s="717" cm="1">
        <f t="array" ref="P357">F357</f>
        <v>356</v>
      </c>
      <c r="Q357" s="620" t="str" cm="1">
        <f t="array" ref="Q357">RIGHT(G357,1)</f>
        <v>H</v>
      </c>
      <c r="R357" s="590" t="str" cm="1">
        <f t="array" ref="R357">RIGHT(H357,1)</f>
        <v>J</v>
      </c>
      <c r="S357" s="590" t="str" cm="1">
        <f t="array" ref="S357">RIGHT(I357,1)</f>
        <v>B</v>
      </c>
      <c r="T357" s="590" t="str" cm="1">
        <f t="array" ref="T357">RIGHT(J357,1)</f>
        <v>D</v>
      </c>
      <c r="U357" s="590" t="str" cm="1">
        <f t="array" ref="U357">RIGHT(K357,1)</f>
        <v>A</v>
      </c>
      <c r="V357" s="590" t="str" cm="1">
        <f t="array" ref="V357">RIGHT(L357,1)</f>
        <v>F</v>
      </c>
      <c r="W357" s="590" t="str" cm="1">
        <f t="array" ref="W357">RIGHT(M357,1)</f>
        <v>E</v>
      </c>
      <c r="X357" s="590" t="str" cm="1">
        <f t="array" ref="X357">RIGHT(N357,1)</f>
        <v>K</v>
      </c>
      <c r="Y357" s="708" cm="1">
        <f t="array" ref="Y357">COUNTIF($AA$2:$AA$9,Q357)+COUNTIF($AA$2:$AA$9,R357)+COUNTIF($AA$2:$AA$9,S357)+COUNTIF($AA$2:$AA$9,T357)+COUNTIF($AA$2:$AA$9,U357)+COUNTIF($AA$2:$AA$9,V357)+COUNTIF($AA$2:$AA$9,W357)+COUNTIF($AA$2:$AA$9,X357)</f>
        <v>5</v>
      </c>
      <c r="Z357" s="589"/>
      <c r="AA357" s="589"/>
      <c r="AB357" s="589"/>
      <c r="AC357" s="589"/>
      <c r="AD357" s="589"/>
      <c r="AE357" s="589"/>
      <c r="AF357" s="589"/>
      <c r="AG357" s="589"/>
      <c r="AH357" s="589"/>
      <c r="AI357" s="589"/>
      <c r="AJ357" s="589"/>
      <c r="AK357" s="589"/>
      <c r="AL357" s="589"/>
      <c r="AM357" s="589"/>
      <c r="AN357" s="589"/>
      <c r="AO357" s="589"/>
      <c r="AP357" s="589"/>
      <c r="AQ357" s="589"/>
      <c r="AR357" s="589"/>
      <c r="AS357" s="589"/>
      <c r="AT357" s="589"/>
      <c r="AU357" s="589"/>
      <c r="AV357" s="589"/>
      <c r="AW357" s="589"/>
      <c r="AX357" s="589"/>
      <c r="AY357" s="589"/>
      <c r="AZ357" s="589"/>
      <c r="BA357" s="589"/>
      <c r="BB357" s="589"/>
      <c r="BC357" s="589"/>
      <c r="BD357" s="589"/>
      <c r="BE357" s="589"/>
      <c r="BF357" s="589"/>
      <c r="BG357" s="589"/>
      <c r="BH357" s="589"/>
      <c r="BI357" s="589"/>
      <c r="BJ357" s="589"/>
      <c r="BK357" s="589"/>
      <c r="BL357" s="589"/>
    </row>
    <row r="358" spans="1:64" ht="14.25" customHeight="1">
      <c r="A358" s="691" t="s">
        <v>695</v>
      </c>
      <c r="B358" s="589"/>
      <c r="C358" s="589"/>
      <c r="D358" s="589"/>
      <c r="E358" s="589"/>
      <c r="F358" s="591">
        <v>357</v>
      </c>
      <c r="G358" s="691" t="s">
        <v>197</v>
      </c>
      <c r="H358" s="691" t="s">
        <v>167</v>
      </c>
      <c r="I358" s="691" t="s">
        <v>137</v>
      </c>
      <c r="J358" s="691" t="s">
        <v>157</v>
      </c>
      <c r="K358" s="691" t="s">
        <v>125</v>
      </c>
      <c r="L358" s="691" t="s">
        <v>177</v>
      </c>
      <c r="M358" s="691" t="s">
        <v>237</v>
      </c>
      <c r="N358" s="691" t="s">
        <v>207</v>
      </c>
      <c r="O358" s="589"/>
      <c r="P358" s="717" cm="1">
        <f t="array" ref="P358">F358</f>
        <v>357</v>
      </c>
      <c r="Q358" s="620" t="str" cm="1">
        <f t="array" ref="Q358">RIGHT(G358,1)</f>
        <v>H</v>
      </c>
      <c r="R358" s="590" t="str" cm="1">
        <f t="array" ref="R358">RIGHT(H358,1)</f>
        <v>E</v>
      </c>
      <c r="S358" s="590" t="str" cm="1">
        <f t="array" ref="S358">RIGHT(I358,1)</f>
        <v>B</v>
      </c>
      <c r="T358" s="590" t="str" cm="1">
        <f t="array" ref="T358">RIGHT(J358,1)</f>
        <v>D</v>
      </c>
      <c r="U358" s="590" t="str" cm="1">
        <f t="array" ref="U358">RIGHT(K358,1)</f>
        <v>A</v>
      </c>
      <c r="V358" s="590" t="str" cm="1">
        <f t="array" ref="V358">RIGHT(L358,1)</f>
        <v>F</v>
      </c>
      <c r="W358" s="590" t="str" cm="1">
        <f t="array" ref="W358">RIGHT(M358,1)</f>
        <v>L</v>
      </c>
      <c r="X358" s="590" t="str" cm="1">
        <f t="array" ref="X358">RIGHT(N358,1)</f>
        <v>I</v>
      </c>
      <c r="Y358" s="708" cm="1">
        <f t="array" ref="Y358">COUNTIF($AA$2:$AA$9,Q358)+COUNTIF($AA$2:$AA$9,R358)+COUNTIF($AA$2:$AA$9,S358)+COUNTIF($AA$2:$AA$9,T358)+COUNTIF($AA$2:$AA$9,U358)+COUNTIF($AA$2:$AA$9,V358)+COUNTIF($AA$2:$AA$9,W358)+COUNTIF($AA$2:$AA$9,X358)</f>
        <v>6</v>
      </c>
      <c r="Z358" s="589"/>
      <c r="AA358" s="589"/>
      <c r="AB358" s="589"/>
      <c r="AC358" s="589"/>
      <c r="AD358" s="589"/>
      <c r="AE358" s="589"/>
      <c r="AF358" s="589"/>
      <c r="AG358" s="589"/>
      <c r="AH358" s="589"/>
      <c r="AI358" s="589"/>
      <c r="AJ358" s="589"/>
      <c r="AK358" s="589"/>
      <c r="AL358" s="589"/>
      <c r="AM358" s="589"/>
      <c r="AN358" s="589"/>
      <c r="AO358" s="589"/>
      <c r="AP358" s="589"/>
      <c r="AQ358" s="589"/>
      <c r="AR358" s="589"/>
      <c r="AS358" s="589"/>
      <c r="AT358" s="589"/>
      <c r="AU358" s="589"/>
      <c r="AV358" s="589"/>
      <c r="AW358" s="589"/>
      <c r="AX358" s="589"/>
      <c r="AY358" s="589"/>
      <c r="AZ358" s="589"/>
      <c r="BA358" s="589"/>
      <c r="BB358" s="589"/>
      <c r="BC358" s="589"/>
      <c r="BD358" s="589"/>
      <c r="BE358" s="589"/>
      <c r="BF358" s="589"/>
      <c r="BG358" s="589"/>
      <c r="BH358" s="589"/>
      <c r="BI358" s="589"/>
      <c r="BJ358" s="589"/>
      <c r="BK358" s="589"/>
      <c r="BL358" s="589"/>
    </row>
    <row r="359" spans="1:64" ht="14.25" customHeight="1">
      <c r="A359" s="691" t="s">
        <v>696</v>
      </c>
      <c r="B359" s="589"/>
      <c r="C359" s="589"/>
      <c r="D359" s="589"/>
      <c r="E359" s="589"/>
      <c r="F359" s="591">
        <v>358</v>
      </c>
      <c r="G359" s="691" t="s">
        <v>197</v>
      </c>
      <c r="H359" s="691" t="s">
        <v>167</v>
      </c>
      <c r="I359" s="691" t="s">
        <v>137</v>
      </c>
      <c r="J359" s="691" t="s">
        <v>157</v>
      </c>
      <c r="K359" s="691" t="s">
        <v>125</v>
      </c>
      <c r="L359" s="691" t="s">
        <v>177</v>
      </c>
      <c r="M359" s="691" t="s">
        <v>207</v>
      </c>
      <c r="N359" s="691" t="s">
        <v>227</v>
      </c>
      <c r="O359" s="589"/>
      <c r="P359" s="717" cm="1">
        <f t="array" ref="P359">F359</f>
        <v>358</v>
      </c>
      <c r="Q359" s="620" t="str" cm="1">
        <f t="array" ref="Q359">RIGHT(G359,1)</f>
        <v>H</v>
      </c>
      <c r="R359" s="590" t="str" cm="1">
        <f t="array" ref="R359">RIGHT(H359,1)</f>
        <v>E</v>
      </c>
      <c r="S359" s="590" t="str" cm="1">
        <f t="array" ref="S359">RIGHT(I359,1)</f>
        <v>B</v>
      </c>
      <c r="T359" s="590" t="str" cm="1">
        <f t="array" ref="T359">RIGHT(J359,1)</f>
        <v>D</v>
      </c>
      <c r="U359" s="590" t="str" cm="1">
        <f t="array" ref="U359">RIGHT(K359,1)</f>
        <v>A</v>
      </c>
      <c r="V359" s="590" t="str" cm="1">
        <f t="array" ref="V359">RIGHT(L359,1)</f>
        <v>F</v>
      </c>
      <c r="W359" s="590" t="str" cm="1">
        <f t="array" ref="W359">RIGHT(M359,1)</f>
        <v>I</v>
      </c>
      <c r="X359" s="590" t="str" cm="1">
        <f t="array" ref="X359">RIGHT(N359,1)</f>
        <v>K</v>
      </c>
      <c r="Y359" s="708" cm="1">
        <f t="array" ref="Y359">COUNTIF($AA$2:$AA$9,Q359)+COUNTIF($AA$2:$AA$9,R359)+COUNTIF($AA$2:$AA$9,S359)+COUNTIF($AA$2:$AA$9,T359)+COUNTIF($AA$2:$AA$9,U359)+COUNTIF($AA$2:$AA$9,V359)+COUNTIF($AA$2:$AA$9,W359)+COUNTIF($AA$2:$AA$9,X359)</f>
        <v>5</v>
      </c>
      <c r="Z359" s="589"/>
      <c r="AA359" s="589"/>
      <c r="AB359" s="589"/>
      <c r="AC359" s="589"/>
      <c r="AD359" s="589"/>
      <c r="AE359" s="589"/>
      <c r="AF359" s="589"/>
      <c r="AG359" s="589"/>
      <c r="AH359" s="589"/>
      <c r="AI359" s="589"/>
      <c r="AJ359" s="589"/>
      <c r="AK359" s="589"/>
      <c r="AL359" s="589"/>
      <c r="AM359" s="589"/>
      <c r="AN359" s="589"/>
      <c r="AO359" s="589"/>
      <c r="AP359" s="589"/>
      <c r="AQ359" s="589"/>
      <c r="AR359" s="589"/>
      <c r="AS359" s="589"/>
      <c r="AT359" s="589"/>
      <c r="AU359" s="589"/>
      <c r="AV359" s="589"/>
      <c r="AW359" s="589"/>
      <c r="AX359" s="589"/>
      <c r="AY359" s="589"/>
      <c r="AZ359" s="589"/>
      <c r="BA359" s="589"/>
      <c r="BB359" s="589"/>
      <c r="BC359" s="589"/>
      <c r="BD359" s="589"/>
      <c r="BE359" s="589"/>
      <c r="BF359" s="589"/>
      <c r="BG359" s="589"/>
      <c r="BH359" s="589"/>
      <c r="BI359" s="589"/>
      <c r="BJ359" s="589"/>
      <c r="BK359" s="589"/>
      <c r="BL359" s="589"/>
    </row>
    <row r="360" spans="1:64" ht="14.25" customHeight="1">
      <c r="A360" s="691" t="s">
        <v>697</v>
      </c>
      <c r="B360" s="589"/>
      <c r="C360" s="589"/>
      <c r="D360" s="589"/>
      <c r="E360" s="589"/>
      <c r="F360" s="591">
        <v>359</v>
      </c>
      <c r="G360" s="691" t="s">
        <v>197</v>
      </c>
      <c r="H360" s="691" t="s">
        <v>217</v>
      </c>
      <c r="I360" s="691" t="s">
        <v>137</v>
      </c>
      <c r="J360" s="691" t="s">
        <v>157</v>
      </c>
      <c r="K360" s="691" t="s">
        <v>125</v>
      </c>
      <c r="L360" s="691" t="s">
        <v>177</v>
      </c>
      <c r="M360" s="691" t="s">
        <v>167</v>
      </c>
      <c r="N360" s="691" t="s">
        <v>207</v>
      </c>
      <c r="O360" s="589"/>
      <c r="P360" s="717" cm="1">
        <f t="array" ref="P360">F360</f>
        <v>359</v>
      </c>
      <c r="Q360" s="620" t="str" cm="1">
        <f t="array" ref="Q360">RIGHT(G360,1)</f>
        <v>H</v>
      </c>
      <c r="R360" s="590" t="str" cm="1">
        <f t="array" ref="R360">RIGHT(H360,1)</f>
        <v>J</v>
      </c>
      <c r="S360" s="590" t="str" cm="1">
        <f t="array" ref="S360">RIGHT(I360,1)</f>
        <v>B</v>
      </c>
      <c r="T360" s="590" t="str" cm="1">
        <f t="array" ref="T360">RIGHT(J360,1)</f>
        <v>D</v>
      </c>
      <c r="U360" s="590" t="str" cm="1">
        <f t="array" ref="U360">RIGHT(K360,1)</f>
        <v>A</v>
      </c>
      <c r="V360" s="590" t="str" cm="1">
        <f t="array" ref="V360">RIGHT(L360,1)</f>
        <v>F</v>
      </c>
      <c r="W360" s="590" t="str" cm="1">
        <f t="array" ref="W360">RIGHT(M360,1)</f>
        <v>E</v>
      </c>
      <c r="X360" s="590" t="str" cm="1">
        <f t="array" ref="X360">RIGHT(N360,1)</f>
        <v>I</v>
      </c>
      <c r="Y360" s="708" cm="1">
        <f t="array" ref="Y360">COUNTIF($AA$2:$AA$9,Q360)+COUNTIF($AA$2:$AA$9,R360)+COUNTIF($AA$2:$AA$9,S360)+COUNTIF($AA$2:$AA$9,T360)+COUNTIF($AA$2:$AA$9,U360)+COUNTIF($AA$2:$AA$9,V360)+COUNTIF($AA$2:$AA$9,W360)+COUNTIF($AA$2:$AA$9,X360)</f>
        <v>6</v>
      </c>
      <c r="Z360" s="589"/>
      <c r="AA360" s="589"/>
      <c r="AB360" s="589"/>
      <c r="AC360" s="589"/>
      <c r="AD360" s="589"/>
      <c r="AE360" s="589"/>
      <c r="AF360" s="589"/>
      <c r="AG360" s="589"/>
      <c r="AH360" s="589"/>
      <c r="AI360" s="589"/>
      <c r="AJ360" s="589"/>
      <c r="AK360" s="589"/>
      <c r="AL360" s="589"/>
      <c r="AM360" s="589"/>
      <c r="AN360" s="589"/>
      <c r="AO360" s="589"/>
      <c r="AP360" s="589"/>
      <c r="AQ360" s="589"/>
      <c r="AR360" s="589"/>
      <c r="AS360" s="589"/>
      <c r="AT360" s="589"/>
      <c r="AU360" s="589"/>
      <c r="AV360" s="589"/>
      <c r="AW360" s="589"/>
      <c r="AX360" s="589"/>
      <c r="AY360" s="589"/>
      <c r="AZ360" s="589"/>
      <c r="BA360" s="589"/>
      <c r="BB360" s="589"/>
      <c r="BC360" s="589"/>
      <c r="BD360" s="589"/>
      <c r="BE360" s="589"/>
      <c r="BF360" s="589"/>
      <c r="BG360" s="589"/>
      <c r="BH360" s="589"/>
      <c r="BI360" s="589"/>
      <c r="BJ360" s="589"/>
      <c r="BK360" s="589"/>
      <c r="BL360" s="589"/>
    </row>
    <row r="361" spans="1:64" ht="14.25" customHeight="1">
      <c r="A361" s="691" t="s">
        <v>698</v>
      </c>
      <c r="B361" s="589"/>
      <c r="C361" s="589"/>
      <c r="D361" s="589"/>
      <c r="E361" s="589"/>
      <c r="F361" s="591">
        <v>360</v>
      </c>
      <c r="G361" s="691" t="s">
        <v>167</v>
      </c>
      <c r="H361" s="691" t="s">
        <v>187</v>
      </c>
      <c r="I361" s="691" t="s">
        <v>137</v>
      </c>
      <c r="J361" s="691" t="s">
        <v>157</v>
      </c>
      <c r="K361" s="691" t="s">
        <v>125</v>
      </c>
      <c r="L361" s="691" t="s">
        <v>177</v>
      </c>
      <c r="M361" s="691" t="s">
        <v>237</v>
      </c>
      <c r="N361" s="691" t="s">
        <v>227</v>
      </c>
      <c r="O361" s="589"/>
      <c r="P361" s="717" cm="1">
        <f t="array" ref="P361">F361</f>
        <v>360</v>
      </c>
      <c r="Q361" s="620" t="str" cm="1">
        <f t="array" ref="Q361">RIGHT(G361,1)</f>
        <v>E</v>
      </c>
      <c r="R361" s="590" t="str" cm="1">
        <f t="array" ref="R361">RIGHT(H361,1)</f>
        <v>G</v>
      </c>
      <c r="S361" s="590" t="str" cm="1">
        <f t="array" ref="S361">RIGHT(I361,1)</f>
        <v>B</v>
      </c>
      <c r="T361" s="590" t="str" cm="1">
        <f t="array" ref="T361">RIGHT(J361,1)</f>
        <v>D</v>
      </c>
      <c r="U361" s="590" t="str" cm="1">
        <f t="array" ref="U361">RIGHT(K361,1)</f>
        <v>A</v>
      </c>
      <c r="V361" s="590" t="str" cm="1">
        <f t="array" ref="V361">RIGHT(L361,1)</f>
        <v>F</v>
      </c>
      <c r="W361" s="590" t="str" cm="1">
        <f t="array" ref="W361">RIGHT(M361,1)</f>
        <v>L</v>
      </c>
      <c r="X361" s="590" t="str" cm="1">
        <f t="array" ref="X361">RIGHT(N361,1)</f>
        <v>K</v>
      </c>
      <c r="Y361" s="708" cm="1">
        <f t="array" ref="Y361">COUNTIF($AA$2:$AA$9,Q361)+COUNTIF($AA$2:$AA$9,R361)+COUNTIF($AA$2:$AA$9,S361)+COUNTIF($AA$2:$AA$9,T361)+COUNTIF($AA$2:$AA$9,U361)+COUNTIF($AA$2:$AA$9,V361)+COUNTIF($AA$2:$AA$9,W361)+COUNTIF($AA$2:$AA$9,X361)</f>
        <v>5</v>
      </c>
      <c r="Z361" s="589"/>
      <c r="AA361" s="589"/>
      <c r="AB361" s="589"/>
      <c r="AC361" s="589"/>
      <c r="AD361" s="589"/>
      <c r="AE361" s="589"/>
      <c r="AF361" s="589"/>
      <c r="AG361" s="589"/>
      <c r="AH361" s="589"/>
      <c r="AI361" s="589"/>
      <c r="AJ361" s="589"/>
      <c r="AK361" s="589"/>
      <c r="AL361" s="589"/>
      <c r="AM361" s="589"/>
      <c r="AN361" s="589"/>
      <c r="AO361" s="589"/>
      <c r="AP361" s="589"/>
      <c r="AQ361" s="589"/>
      <c r="AR361" s="589"/>
      <c r="AS361" s="589"/>
      <c r="AT361" s="589"/>
      <c r="AU361" s="589"/>
      <c r="AV361" s="589"/>
      <c r="AW361" s="589"/>
      <c r="AX361" s="589"/>
      <c r="AY361" s="589"/>
      <c r="AZ361" s="589"/>
      <c r="BA361" s="589"/>
      <c r="BB361" s="589"/>
      <c r="BC361" s="589"/>
      <c r="BD361" s="589"/>
      <c r="BE361" s="589"/>
      <c r="BF361" s="589"/>
      <c r="BG361" s="589"/>
      <c r="BH361" s="589"/>
      <c r="BI361" s="589"/>
      <c r="BJ361" s="589"/>
      <c r="BK361" s="589"/>
      <c r="BL361" s="589"/>
    </row>
    <row r="362" spans="1:64" ht="14.25" customHeight="1">
      <c r="A362" s="691" t="s">
        <v>699</v>
      </c>
      <c r="B362" s="589"/>
      <c r="C362" s="589"/>
      <c r="D362" s="589"/>
      <c r="E362" s="589"/>
      <c r="F362" s="591">
        <v>361</v>
      </c>
      <c r="G362" s="691" t="s">
        <v>167</v>
      </c>
      <c r="H362" s="691" t="s">
        <v>187</v>
      </c>
      <c r="I362" s="691" t="s">
        <v>137</v>
      </c>
      <c r="J362" s="691" t="s">
        <v>157</v>
      </c>
      <c r="K362" s="691" t="s">
        <v>125</v>
      </c>
      <c r="L362" s="691" t="s">
        <v>177</v>
      </c>
      <c r="M362" s="691" t="s">
        <v>237</v>
      </c>
      <c r="N362" s="691" t="s">
        <v>217</v>
      </c>
      <c r="O362" s="589"/>
      <c r="P362" s="717" cm="1">
        <f t="array" ref="P362">F362</f>
        <v>361</v>
      </c>
      <c r="Q362" s="620" t="str" cm="1">
        <f t="array" ref="Q362">RIGHT(G362,1)</f>
        <v>E</v>
      </c>
      <c r="R362" s="590" t="str" cm="1">
        <f t="array" ref="R362">RIGHT(H362,1)</f>
        <v>G</v>
      </c>
      <c r="S362" s="590" t="str" cm="1">
        <f t="array" ref="S362">RIGHT(I362,1)</f>
        <v>B</v>
      </c>
      <c r="T362" s="590" t="str" cm="1">
        <f t="array" ref="T362">RIGHT(J362,1)</f>
        <v>D</v>
      </c>
      <c r="U362" s="590" t="str" cm="1">
        <f t="array" ref="U362">RIGHT(K362,1)</f>
        <v>A</v>
      </c>
      <c r="V362" s="590" t="str" cm="1">
        <f t="array" ref="V362">RIGHT(L362,1)</f>
        <v>F</v>
      </c>
      <c r="W362" s="590" t="str" cm="1">
        <f t="array" ref="W362">RIGHT(M362,1)</f>
        <v>L</v>
      </c>
      <c r="X362" s="590" t="str" cm="1">
        <f t="array" ref="X362">RIGHT(N362,1)</f>
        <v>J</v>
      </c>
      <c r="Y362" s="708" cm="1">
        <f t="array" ref="Y362">COUNTIF($AA$2:$AA$9,Q362)+COUNTIF($AA$2:$AA$9,R362)+COUNTIF($AA$2:$AA$9,S362)+COUNTIF($AA$2:$AA$9,T362)+COUNTIF($AA$2:$AA$9,U362)+COUNTIF($AA$2:$AA$9,V362)+COUNTIF($AA$2:$AA$9,W362)+COUNTIF($AA$2:$AA$9,X362)</f>
        <v>6</v>
      </c>
      <c r="Z362" s="589"/>
      <c r="AA362" s="589"/>
      <c r="AB362" s="589"/>
      <c r="AC362" s="589"/>
      <c r="AD362" s="589"/>
      <c r="AE362" s="589"/>
      <c r="AF362" s="589"/>
      <c r="AG362" s="589"/>
      <c r="AH362" s="589"/>
      <c r="AI362" s="589"/>
      <c r="AJ362" s="589"/>
      <c r="AK362" s="589"/>
      <c r="AL362" s="589"/>
      <c r="AM362" s="589"/>
      <c r="AN362" s="589"/>
      <c r="AO362" s="589"/>
      <c r="AP362" s="589"/>
      <c r="AQ362" s="589"/>
      <c r="AR362" s="589"/>
      <c r="AS362" s="589"/>
      <c r="AT362" s="589"/>
      <c r="AU362" s="589"/>
      <c r="AV362" s="589"/>
      <c r="AW362" s="589"/>
      <c r="AX362" s="589"/>
      <c r="AY362" s="589"/>
      <c r="AZ362" s="589"/>
      <c r="BA362" s="589"/>
      <c r="BB362" s="589"/>
      <c r="BC362" s="589"/>
      <c r="BD362" s="589"/>
      <c r="BE362" s="589"/>
      <c r="BF362" s="589"/>
      <c r="BG362" s="589"/>
      <c r="BH362" s="589"/>
      <c r="BI362" s="589"/>
      <c r="BJ362" s="589"/>
      <c r="BK362" s="589"/>
      <c r="BL362" s="589"/>
    </row>
    <row r="363" spans="1:64" ht="14.25" customHeight="1">
      <c r="A363" s="691" t="s">
        <v>700</v>
      </c>
      <c r="B363" s="589"/>
      <c r="C363" s="589"/>
      <c r="D363" s="589"/>
      <c r="E363" s="589"/>
      <c r="F363" s="591">
        <v>362</v>
      </c>
      <c r="G363" s="691" t="s">
        <v>167</v>
      </c>
      <c r="H363" s="691" t="s">
        <v>187</v>
      </c>
      <c r="I363" s="691" t="s">
        <v>137</v>
      </c>
      <c r="J363" s="691" t="s">
        <v>157</v>
      </c>
      <c r="K363" s="691" t="s">
        <v>125</v>
      </c>
      <c r="L363" s="691" t="s">
        <v>177</v>
      </c>
      <c r="M363" s="691" t="s">
        <v>217</v>
      </c>
      <c r="N363" s="691" t="s">
        <v>227</v>
      </c>
      <c r="O363" s="589"/>
      <c r="P363" s="717" cm="1">
        <f t="array" ref="P363">F363</f>
        <v>362</v>
      </c>
      <c r="Q363" s="620" t="str" cm="1">
        <f t="array" ref="Q363">RIGHT(G363,1)</f>
        <v>E</v>
      </c>
      <c r="R363" s="590" t="str" cm="1">
        <f t="array" ref="R363">RIGHT(H363,1)</f>
        <v>G</v>
      </c>
      <c r="S363" s="590" t="str" cm="1">
        <f t="array" ref="S363">RIGHT(I363,1)</f>
        <v>B</v>
      </c>
      <c r="T363" s="590" t="str" cm="1">
        <f t="array" ref="T363">RIGHT(J363,1)</f>
        <v>D</v>
      </c>
      <c r="U363" s="590" t="str" cm="1">
        <f t="array" ref="U363">RIGHT(K363,1)</f>
        <v>A</v>
      </c>
      <c r="V363" s="590" t="str" cm="1">
        <f t="array" ref="V363">RIGHT(L363,1)</f>
        <v>F</v>
      </c>
      <c r="W363" s="590" t="str" cm="1">
        <f t="array" ref="W363">RIGHT(M363,1)</f>
        <v>J</v>
      </c>
      <c r="X363" s="590" t="str" cm="1">
        <f t="array" ref="X363">RIGHT(N363,1)</f>
        <v>K</v>
      </c>
      <c r="Y363" s="708" cm="1">
        <f t="array" ref="Y363">COUNTIF($AA$2:$AA$9,Q363)+COUNTIF($AA$2:$AA$9,R363)+COUNTIF($AA$2:$AA$9,S363)+COUNTIF($AA$2:$AA$9,T363)+COUNTIF($AA$2:$AA$9,U363)+COUNTIF($AA$2:$AA$9,V363)+COUNTIF($AA$2:$AA$9,W363)+COUNTIF($AA$2:$AA$9,X363)</f>
        <v>5</v>
      </c>
      <c r="Z363" s="589"/>
      <c r="AA363" s="589"/>
      <c r="AB363" s="589"/>
      <c r="AC363" s="589"/>
      <c r="AD363" s="589"/>
      <c r="AE363" s="589"/>
      <c r="AF363" s="589"/>
      <c r="AG363" s="589"/>
      <c r="AH363" s="589"/>
      <c r="AI363" s="589"/>
      <c r="AJ363" s="589"/>
      <c r="AK363" s="589"/>
      <c r="AL363" s="589"/>
      <c r="AM363" s="589"/>
      <c r="AN363" s="589"/>
      <c r="AO363" s="589"/>
      <c r="AP363" s="589"/>
      <c r="AQ363" s="589"/>
      <c r="AR363" s="589"/>
      <c r="AS363" s="589"/>
      <c r="AT363" s="589"/>
      <c r="AU363" s="589"/>
      <c r="AV363" s="589"/>
      <c r="AW363" s="589"/>
      <c r="AX363" s="589"/>
      <c r="AY363" s="589"/>
      <c r="AZ363" s="589"/>
      <c r="BA363" s="589"/>
      <c r="BB363" s="589"/>
      <c r="BC363" s="589"/>
      <c r="BD363" s="589"/>
      <c r="BE363" s="589"/>
      <c r="BF363" s="589"/>
      <c r="BG363" s="589"/>
      <c r="BH363" s="589"/>
      <c r="BI363" s="589"/>
      <c r="BJ363" s="589"/>
      <c r="BK363" s="589"/>
      <c r="BL363" s="589"/>
    </row>
    <row r="364" spans="1:64" ht="14.25" customHeight="1">
      <c r="A364" s="691" t="s">
        <v>701</v>
      </c>
      <c r="B364" s="589"/>
      <c r="C364" s="589"/>
      <c r="D364" s="589"/>
      <c r="E364" s="589"/>
      <c r="F364" s="591">
        <v>363</v>
      </c>
      <c r="G364" s="691" t="s">
        <v>167</v>
      </c>
      <c r="H364" s="691" t="s">
        <v>187</v>
      </c>
      <c r="I364" s="691" t="s">
        <v>137</v>
      </c>
      <c r="J364" s="691" t="s">
        <v>157</v>
      </c>
      <c r="K364" s="691" t="s">
        <v>125</v>
      </c>
      <c r="L364" s="691" t="s">
        <v>177</v>
      </c>
      <c r="M364" s="691" t="s">
        <v>237</v>
      </c>
      <c r="N364" s="691" t="s">
        <v>207</v>
      </c>
      <c r="O364" s="589"/>
      <c r="P364" s="717" cm="1">
        <f t="array" ref="P364">F364</f>
        <v>363</v>
      </c>
      <c r="Q364" s="620" t="str" cm="1">
        <f t="array" ref="Q364">RIGHT(G364,1)</f>
        <v>E</v>
      </c>
      <c r="R364" s="590" t="str" cm="1">
        <f t="array" ref="R364">RIGHT(H364,1)</f>
        <v>G</v>
      </c>
      <c r="S364" s="590" t="str" cm="1">
        <f t="array" ref="S364">RIGHT(I364,1)</f>
        <v>B</v>
      </c>
      <c r="T364" s="590" t="str" cm="1">
        <f t="array" ref="T364">RIGHT(J364,1)</f>
        <v>D</v>
      </c>
      <c r="U364" s="590" t="str" cm="1">
        <f t="array" ref="U364">RIGHT(K364,1)</f>
        <v>A</v>
      </c>
      <c r="V364" s="590" t="str" cm="1">
        <f t="array" ref="V364">RIGHT(L364,1)</f>
        <v>F</v>
      </c>
      <c r="W364" s="590" t="str" cm="1">
        <f t="array" ref="W364">RIGHT(M364,1)</f>
        <v>L</v>
      </c>
      <c r="X364" s="590" t="str" cm="1">
        <f t="array" ref="X364">RIGHT(N364,1)</f>
        <v>I</v>
      </c>
      <c r="Y364" s="708" cm="1">
        <f t="array" ref="Y364">COUNTIF($AA$2:$AA$9,Q364)+COUNTIF($AA$2:$AA$9,R364)+COUNTIF($AA$2:$AA$9,S364)+COUNTIF($AA$2:$AA$9,T364)+COUNTIF($AA$2:$AA$9,U364)+COUNTIF($AA$2:$AA$9,V364)+COUNTIF($AA$2:$AA$9,W364)+COUNTIF($AA$2:$AA$9,X364)</f>
        <v>6</v>
      </c>
      <c r="Z364" s="589"/>
      <c r="AA364" s="589"/>
      <c r="AB364" s="589"/>
      <c r="AC364" s="589"/>
      <c r="AD364" s="589"/>
      <c r="AE364" s="589"/>
      <c r="AF364" s="589"/>
      <c r="AG364" s="589"/>
      <c r="AH364" s="589"/>
      <c r="AI364" s="589"/>
      <c r="AJ364" s="589"/>
      <c r="AK364" s="589"/>
      <c r="AL364" s="589"/>
      <c r="AM364" s="589"/>
      <c r="AN364" s="589"/>
      <c r="AO364" s="589"/>
      <c r="AP364" s="589"/>
      <c r="AQ364" s="589"/>
      <c r="AR364" s="589"/>
      <c r="AS364" s="589"/>
      <c r="AT364" s="589"/>
      <c r="AU364" s="589"/>
      <c r="AV364" s="589"/>
      <c r="AW364" s="589"/>
      <c r="AX364" s="589"/>
      <c r="AY364" s="589"/>
      <c r="AZ364" s="589"/>
      <c r="BA364" s="589"/>
      <c r="BB364" s="589"/>
      <c r="BC364" s="589"/>
      <c r="BD364" s="589"/>
      <c r="BE364" s="589"/>
      <c r="BF364" s="589"/>
      <c r="BG364" s="589"/>
      <c r="BH364" s="589"/>
      <c r="BI364" s="589"/>
      <c r="BJ364" s="589"/>
      <c r="BK364" s="589"/>
      <c r="BL364" s="589"/>
    </row>
    <row r="365" spans="1:64" ht="14.25" customHeight="1">
      <c r="A365" s="691" t="s">
        <v>702</v>
      </c>
      <c r="B365" s="589"/>
      <c r="C365" s="589"/>
      <c r="D365" s="589"/>
      <c r="E365" s="589"/>
      <c r="F365" s="591">
        <v>364</v>
      </c>
      <c r="G365" s="691" t="s">
        <v>167</v>
      </c>
      <c r="H365" s="691" t="s">
        <v>187</v>
      </c>
      <c r="I365" s="691" t="s">
        <v>137</v>
      </c>
      <c r="J365" s="691" t="s">
        <v>157</v>
      </c>
      <c r="K365" s="691" t="s">
        <v>125</v>
      </c>
      <c r="L365" s="691" t="s">
        <v>177</v>
      </c>
      <c r="M365" s="691" t="s">
        <v>207</v>
      </c>
      <c r="N365" s="691" t="s">
        <v>227</v>
      </c>
      <c r="O365" s="589"/>
      <c r="P365" s="717" cm="1">
        <f t="array" ref="P365">F365</f>
        <v>364</v>
      </c>
      <c r="Q365" s="620" t="str" cm="1">
        <f t="array" ref="Q365">RIGHT(G365,1)</f>
        <v>E</v>
      </c>
      <c r="R365" s="590" t="str" cm="1">
        <f t="array" ref="R365">RIGHT(H365,1)</f>
        <v>G</v>
      </c>
      <c r="S365" s="590" t="str" cm="1">
        <f t="array" ref="S365">RIGHT(I365,1)</f>
        <v>B</v>
      </c>
      <c r="T365" s="590" t="str" cm="1">
        <f t="array" ref="T365">RIGHT(J365,1)</f>
        <v>D</v>
      </c>
      <c r="U365" s="590" t="str" cm="1">
        <f t="array" ref="U365">RIGHT(K365,1)</f>
        <v>A</v>
      </c>
      <c r="V365" s="590" t="str" cm="1">
        <f t="array" ref="V365">RIGHT(L365,1)</f>
        <v>F</v>
      </c>
      <c r="W365" s="590" t="str" cm="1">
        <f t="array" ref="W365">RIGHT(M365,1)</f>
        <v>I</v>
      </c>
      <c r="X365" s="590" t="str" cm="1">
        <f t="array" ref="X365">RIGHT(N365,1)</f>
        <v>K</v>
      </c>
      <c r="Y365" s="708" cm="1">
        <f t="array" ref="Y365">COUNTIF($AA$2:$AA$9,Q365)+COUNTIF($AA$2:$AA$9,R365)+COUNTIF($AA$2:$AA$9,S365)+COUNTIF($AA$2:$AA$9,T365)+COUNTIF($AA$2:$AA$9,U365)+COUNTIF($AA$2:$AA$9,V365)+COUNTIF($AA$2:$AA$9,W365)+COUNTIF($AA$2:$AA$9,X365)</f>
        <v>5</v>
      </c>
      <c r="Z365" s="589"/>
      <c r="AA365" s="589"/>
      <c r="AB365" s="589"/>
      <c r="AC365" s="589"/>
      <c r="AD365" s="589"/>
      <c r="AE365" s="589"/>
      <c r="AF365" s="589"/>
      <c r="AG365" s="589"/>
      <c r="AH365" s="589"/>
      <c r="AI365" s="589"/>
      <c r="AJ365" s="589"/>
      <c r="AK365" s="589"/>
      <c r="AL365" s="589"/>
      <c r="AM365" s="589"/>
      <c r="AN365" s="589"/>
      <c r="AO365" s="589"/>
      <c r="AP365" s="589"/>
      <c r="AQ365" s="589"/>
      <c r="AR365" s="589"/>
      <c r="AS365" s="589"/>
      <c r="AT365" s="589"/>
      <c r="AU365" s="589"/>
      <c r="AV365" s="589"/>
      <c r="AW365" s="589"/>
      <c r="AX365" s="589"/>
      <c r="AY365" s="589"/>
      <c r="AZ365" s="589"/>
      <c r="BA365" s="589"/>
      <c r="BB365" s="589"/>
      <c r="BC365" s="589"/>
      <c r="BD365" s="589"/>
      <c r="BE365" s="589"/>
      <c r="BF365" s="589"/>
      <c r="BG365" s="589"/>
      <c r="BH365" s="589"/>
      <c r="BI365" s="589"/>
      <c r="BJ365" s="589"/>
      <c r="BK365" s="589"/>
      <c r="BL365" s="589"/>
    </row>
    <row r="366" spans="1:64" ht="14.25" customHeight="1">
      <c r="A366" s="691" t="s">
        <v>703</v>
      </c>
      <c r="B366" s="589"/>
      <c r="C366" s="589"/>
      <c r="D366" s="589"/>
      <c r="E366" s="589"/>
      <c r="F366" s="591">
        <v>365</v>
      </c>
      <c r="G366" s="691" t="s">
        <v>167</v>
      </c>
      <c r="H366" s="691" t="s">
        <v>187</v>
      </c>
      <c r="I366" s="691" t="s">
        <v>137</v>
      </c>
      <c r="J366" s="691" t="s">
        <v>157</v>
      </c>
      <c r="K366" s="691" t="s">
        <v>125</v>
      </c>
      <c r="L366" s="691" t="s">
        <v>177</v>
      </c>
      <c r="M366" s="691" t="s">
        <v>207</v>
      </c>
      <c r="N366" s="691" t="s">
        <v>217</v>
      </c>
      <c r="O366" s="589"/>
      <c r="P366" s="717" cm="1">
        <f t="array" ref="P366">F366</f>
        <v>365</v>
      </c>
      <c r="Q366" s="620" t="str" cm="1">
        <f t="array" ref="Q366">RIGHT(G366,1)</f>
        <v>E</v>
      </c>
      <c r="R366" s="590" t="str" cm="1">
        <f t="array" ref="R366">RIGHT(H366,1)</f>
        <v>G</v>
      </c>
      <c r="S366" s="590" t="str" cm="1">
        <f t="array" ref="S366">RIGHT(I366,1)</f>
        <v>B</v>
      </c>
      <c r="T366" s="590" t="str" cm="1">
        <f t="array" ref="T366">RIGHT(J366,1)</f>
        <v>D</v>
      </c>
      <c r="U366" s="590" t="str" cm="1">
        <f t="array" ref="U366">RIGHT(K366,1)</f>
        <v>A</v>
      </c>
      <c r="V366" s="590" t="str" cm="1">
        <f t="array" ref="V366">RIGHT(L366,1)</f>
        <v>F</v>
      </c>
      <c r="W366" s="590" t="str" cm="1">
        <f t="array" ref="W366">RIGHT(M366,1)</f>
        <v>I</v>
      </c>
      <c r="X366" s="590" t="str" cm="1">
        <f t="array" ref="X366">RIGHT(N366,1)</f>
        <v>J</v>
      </c>
      <c r="Y366" s="708" cm="1">
        <f t="array" ref="Y366">COUNTIF($AA$2:$AA$9,Q366)+COUNTIF($AA$2:$AA$9,R366)+COUNTIF($AA$2:$AA$9,S366)+COUNTIF($AA$2:$AA$9,T366)+COUNTIF($AA$2:$AA$9,U366)+COUNTIF($AA$2:$AA$9,V366)+COUNTIF($AA$2:$AA$9,W366)+COUNTIF($AA$2:$AA$9,X366)</f>
        <v>6</v>
      </c>
      <c r="Z366" s="589"/>
      <c r="AA366" s="589"/>
      <c r="AB366" s="589"/>
      <c r="AC366" s="589"/>
      <c r="AD366" s="589"/>
      <c r="AE366" s="589"/>
      <c r="AF366" s="589"/>
      <c r="AG366" s="589"/>
      <c r="AH366" s="589"/>
      <c r="AI366" s="589"/>
      <c r="AJ366" s="589"/>
      <c r="AK366" s="589"/>
      <c r="AL366" s="589"/>
      <c r="AM366" s="589"/>
      <c r="AN366" s="589"/>
      <c r="AO366" s="589"/>
      <c r="AP366" s="589"/>
      <c r="AQ366" s="589"/>
      <c r="AR366" s="589"/>
      <c r="AS366" s="589"/>
      <c r="AT366" s="589"/>
      <c r="AU366" s="589"/>
      <c r="AV366" s="589"/>
      <c r="AW366" s="589"/>
      <c r="AX366" s="589"/>
      <c r="AY366" s="589"/>
      <c r="AZ366" s="589"/>
      <c r="BA366" s="589"/>
      <c r="BB366" s="589"/>
      <c r="BC366" s="589"/>
      <c r="BD366" s="589"/>
      <c r="BE366" s="589"/>
      <c r="BF366" s="589"/>
      <c r="BG366" s="589"/>
      <c r="BH366" s="589"/>
      <c r="BI366" s="589"/>
      <c r="BJ366" s="589"/>
      <c r="BK366" s="589"/>
      <c r="BL366" s="589"/>
    </row>
    <row r="367" spans="1:64" ht="14.25" customHeight="1">
      <c r="A367" s="691" t="s">
        <v>704</v>
      </c>
      <c r="B367" s="589"/>
      <c r="C367" s="589"/>
      <c r="D367" s="589"/>
      <c r="E367" s="589"/>
      <c r="F367" s="591">
        <v>366</v>
      </c>
      <c r="G367" s="691" t="s">
        <v>197</v>
      </c>
      <c r="H367" s="691" t="s">
        <v>187</v>
      </c>
      <c r="I367" s="691" t="s">
        <v>137</v>
      </c>
      <c r="J367" s="691" t="s">
        <v>157</v>
      </c>
      <c r="K367" s="691" t="s">
        <v>125</v>
      </c>
      <c r="L367" s="691" t="s">
        <v>177</v>
      </c>
      <c r="M367" s="691" t="s">
        <v>237</v>
      </c>
      <c r="N367" s="691" t="s">
        <v>167</v>
      </c>
      <c r="O367" s="589"/>
      <c r="P367" s="717" cm="1">
        <f t="array" ref="P367">F367</f>
        <v>366</v>
      </c>
      <c r="Q367" s="620" t="str" cm="1">
        <f t="array" ref="Q367">RIGHT(G367,1)</f>
        <v>H</v>
      </c>
      <c r="R367" s="590" t="str" cm="1">
        <f t="array" ref="R367">RIGHT(H367,1)</f>
        <v>G</v>
      </c>
      <c r="S367" s="590" t="str" cm="1">
        <f t="array" ref="S367">RIGHT(I367,1)</f>
        <v>B</v>
      </c>
      <c r="T367" s="590" t="str" cm="1">
        <f t="array" ref="T367">RIGHT(J367,1)</f>
        <v>D</v>
      </c>
      <c r="U367" s="590" t="str" cm="1">
        <f t="array" ref="U367">RIGHT(K367,1)</f>
        <v>A</v>
      </c>
      <c r="V367" s="590" t="str" cm="1">
        <f t="array" ref="V367">RIGHT(L367,1)</f>
        <v>F</v>
      </c>
      <c r="W367" s="590" t="str" cm="1">
        <f t="array" ref="W367">RIGHT(M367,1)</f>
        <v>L</v>
      </c>
      <c r="X367" s="590" t="str" cm="1">
        <f t="array" ref="X367">RIGHT(N367,1)</f>
        <v>E</v>
      </c>
      <c r="Y367" s="708" cm="1">
        <f t="array" ref="Y367">COUNTIF($AA$2:$AA$9,Q367)+COUNTIF($AA$2:$AA$9,R367)+COUNTIF($AA$2:$AA$9,S367)+COUNTIF($AA$2:$AA$9,T367)+COUNTIF($AA$2:$AA$9,U367)+COUNTIF($AA$2:$AA$9,V367)+COUNTIF($AA$2:$AA$9,W367)+COUNTIF($AA$2:$AA$9,X367)</f>
        <v>5</v>
      </c>
      <c r="Z367" s="589"/>
      <c r="AA367" s="589"/>
      <c r="AB367" s="589"/>
      <c r="AC367" s="589"/>
      <c r="AD367" s="589"/>
      <c r="AE367" s="589"/>
      <c r="AF367" s="589"/>
      <c r="AG367" s="589"/>
      <c r="AH367" s="589"/>
      <c r="AI367" s="589"/>
      <c r="AJ367" s="589"/>
      <c r="AK367" s="589"/>
      <c r="AL367" s="589"/>
      <c r="AM367" s="589"/>
      <c r="AN367" s="589"/>
      <c r="AO367" s="589"/>
      <c r="AP367" s="589"/>
      <c r="AQ367" s="589"/>
      <c r="AR367" s="589"/>
      <c r="AS367" s="589"/>
      <c r="AT367" s="589"/>
      <c r="AU367" s="589"/>
      <c r="AV367" s="589"/>
      <c r="AW367" s="589"/>
      <c r="AX367" s="589"/>
      <c r="AY367" s="589"/>
      <c r="AZ367" s="589"/>
      <c r="BA367" s="589"/>
      <c r="BB367" s="589"/>
      <c r="BC367" s="589"/>
      <c r="BD367" s="589"/>
      <c r="BE367" s="589"/>
      <c r="BF367" s="589"/>
      <c r="BG367" s="589"/>
      <c r="BH367" s="589"/>
      <c r="BI367" s="589"/>
      <c r="BJ367" s="589"/>
      <c r="BK367" s="589"/>
      <c r="BL367" s="589"/>
    </row>
    <row r="368" spans="1:64" ht="14.25" customHeight="1">
      <c r="A368" s="691" t="s">
        <v>705</v>
      </c>
      <c r="B368" s="589"/>
      <c r="C368" s="589"/>
      <c r="D368" s="589"/>
      <c r="E368" s="589"/>
      <c r="F368" s="591">
        <v>367</v>
      </c>
      <c r="G368" s="691" t="s">
        <v>197</v>
      </c>
      <c r="H368" s="691" t="s">
        <v>187</v>
      </c>
      <c r="I368" s="691" t="s">
        <v>137</v>
      </c>
      <c r="J368" s="691" t="s">
        <v>157</v>
      </c>
      <c r="K368" s="691" t="s">
        <v>125</v>
      </c>
      <c r="L368" s="691" t="s">
        <v>177</v>
      </c>
      <c r="M368" s="691" t="s">
        <v>167</v>
      </c>
      <c r="N368" s="691" t="s">
        <v>227</v>
      </c>
      <c r="O368" s="589"/>
      <c r="P368" s="717" cm="1">
        <f t="array" ref="P368">F368</f>
        <v>367</v>
      </c>
      <c r="Q368" s="620" t="str" cm="1">
        <f t="array" ref="Q368">RIGHT(G368,1)</f>
        <v>H</v>
      </c>
      <c r="R368" s="590" t="str" cm="1">
        <f t="array" ref="R368">RIGHT(H368,1)</f>
        <v>G</v>
      </c>
      <c r="S368" s="590" t="str" cm="1">
        <f t="array" ref="S368">RIGHT(I368,1)</f>
        <v>B</v>
      </c>
      <c r="T368" s="590" t="str" cm="1">
        <f t="array" ref="T368">RIGHT(J368,1)</f>
        <v>D</v>
      </c>
      <c r="U368" s="590" t="str" cm="1">
        <f t="array" ref="U368">RIGHT(K368,1)</f>
        <v>A</v>
      </c>
      <c r="V368" s="590" t="str" cm="1">
        <f t="array" ref="V368">RIGHT(L368,1)</f>
        <v>F</v>
      </c>
      <c r="W368" s="590" t="str" cm="1">
        <f t="array" ref="W368">RIGHT(M368,1)</f>
        <v>E</v>
      </c>
      <c r="X368" s="590" t="str" cm="1">
        <f t="array" ref="X368">RIGHT(N368,1)</f>
        <v>K</v>
      </c>
      <c r="Y368" s="708" cm="1">
        <f t="array" ref="Y368">COUNTIF($AA$2:$AA$9,Q368)+COUNTIF($AA$2:$AA$9,R368)+COUNTIF($AA$2:$AA$9,S368)+COUNTIF($AA$2:$AA$9,T368)+COUNTIF($AA$2:$AA$9,U368)+COUNTIF($AA$2:$AA$9,V368)+COUNTIF($AA$2:$AA$9,W368)+COUNTIF($AA$2:$AA$9,X368)</f>
        <v>4</v>
      </c>
      <c r="Z368" s="589"/>
      <c r="AA368" s="589"/>
      <c r="AB368" s="589"/>
      <c r="AC368" s="589"/>
      <c r="AD368" s="589"/>
      <c r="AE368" s="589"/>
      <c r="AF368" s="589"/>
      <c r="AG368" s="589"/>
      <c r="AH368" s="589"/>
      <c r="AI368" s="589"/>
      <c r="AJ368" s="589"/>
      <c r="AK368" s="589"/>
      <c r="AL368" s="589"/>
      <c r="AM368" s="589"/>
      <c r="AN368" s="589"/>
      <c r="AO368" s="589"/>
      <c r="AP368" s="589"/>
      <c r="AQ368" s="589"/>
      <c r="AR368" s="589"/>
      <c r="AS368" s="589"/>
      <c r="AT368" s="589"/>
      <c r="AU368" s="589"/>
      <c r="AV368" s="589"/>
      <c r="AW368" s="589"/>
      <c r="AX368" s="589"/>
      <c r="AY368" s="589"/>
      <c r="AZ368" s="589"/>
      <c r="BA368" s="589"/>
      <c r="BB368" s="589"/>
      <c r="BC368" s="589"/>
      <c r="BD368" s="589"/>
      <c r="BE368" s="589"/>
      <c r="BF368" s="589"/>
      <c r="BG368" s="589"/>
      <c r="BH368" s="589"/>
      <c r="BI368" s="589"/>
      <c r="BJ368" s="589"/>
      <c r="BK368" s="589"/>
      <c r="BL368" s="589"/>
    </row>
    <row r="369" spans="1:64" ht="14.25" customHeight="1">
      <c r="A369" s="691" t="s">
        <v>706</v>
      </c>
      <c r="B369" s="589"/>
      <c r="C369" s="589"/>
      <c r="D369" s="589"/>
      <c r="E369" s="589"/>
      <c r="F369" s="591">
        <v>368</v>
      </c>
      <c r="G369" s="691" t="s">
        <v>197</v>
      </c>
      <c r="H369" s="691" t="s">
        <v>187</v>
      </c>
      <c r="I369" s="691" t="s">
        <v>137</v>
      </c>
      <c r="J369" s="691" t="s">
        <v>157</v>
      </c>
      <c r="K369" s="691" t="s">
        <v>125</v>
      </c>
      <c r="L369" s="691" t="s">
        <v>177</v>
      </c>
      <c r="M369" s="691" t="s">
        <v>167</v>
      </c>
      <c r="N369" s="691" t="s">
        <v>217</v>
      </c>
      <c r="O369" s="589"/>
      <c r="P369" s="717" cm="1">
        <f t="array" ref="P369">F369</f>
        <v>368</v>
      </c>
      <c r="Q369" s="620" t="str" cm="1">
        <f t="array" ref="Q369">RIGHT(G369,1)</f>
        <v>H</v>
      </c>
      <c r="R369" s="590" t="str" cm="1">
        <f t="array" ref="R369">RIGHT(H369,1)</f>
        <v>G</v>
      </c>
      <c r="S369" s="590" t="str" cm="1">
        <f t="array" ref="S369">RIGHT(I369,1)</f>
        <v>B</v>
      </c>
      <c r="T369" s="590" t="str" cm="1">
        <f t="array" ref="T369">RIGHT(J369,1)</f>
        <v>D</v>
      </c>
      <c r="U369" s="590" t="str" cm="1">
        <f t="array" ref="U369">RIGHT(K369,1)</f>
        <v>A</v>
      </c>
      <c r="V369" s="590" t="str" cm="1">
        <f t="array" ref="V369">RIGHT(L369,1)</f>
        <v>F</v>
      </c>
      <c r="W369" s="590" t="str" cm="1">
        <f t="array" ref="W369">RIGHT(M369,1)</f>
        <v>E</v>
      </c>
      <c r="X369" s="590" t="str" cm="1">
        <f t="array" ref="X369">RIGHT(N369,1)</f>
        <v>J</v>
      </c>
      <c r="Y369" s="708" cm="1">
        <f t="array" ref="Y369">COUNTIF($AA$2:$AA$9,Q369)+COUNTIF($AA$2:$AA$9,R369)+COUNTIF($AA$2:$AA$9,S369)+COUNTIF($AA$2:$AA$9,T369)+COUNTIF($AA$2:$AA$9,U369)+COUNTIF($AA$2:$AA$9,V369)+COUNTIF($AA$2:$AA$9,W369)+COUNTIF($AA$2:$AA$9,X369)</f>
        <v>5</v>
      </c>
      <c r="Z369" s="589"/>
      <c r="AA369" s="589"/>
      <c r="AB369" s="589"/>
      <c r="AC369" s="589"/>
      <c r="AD369" s="589"/>
      <c r="AE369" s="589"/>
      <c r="AF369" s="589"/>
      <c r="AG369" s="589"/>
      <c r="AH369" s="589"/>
      <c r="AI369" s="589"/>
      <c r="AJ369" s="589"/>
      <c r="AK369" s="589"/>
      <c r="AL369" s="589"/>
      <c r="AM369" s="589"/>
      <c r="AN369" s="589"/>
      <c r="AO369" s="589"/>
      <c r="AP369" s="589"/>
      <c r="AQ369" s="589"/>
      <c r="AR369" s="589"/>
      <c r="AS369" s="589"/>
      <c r="AT369" s="589"/>
      <c r="AU369" s="589"/>
      <c r="AV369" s="589"/>
      <c r="AW369" s="589"/>
      <c r="AX369" s="589"/>
      <c r="AY369" s="589"/>
      <c r="AZ369" s="589"/>
      <c r="BA369" s="589"/>
      <c r="BB369" s="589"/>
      <c r="BC369" s="589"/>
      <c r="BD369" s="589"/>
      <c r="BE369" s="589"/>
      <c r="BF369" s="589"/>
      <c r="BG369" s="589"/>
      <c r="BH369" s="589"/>
      <c r="BI369" s="589"/>
      <c r="BJ369" s="589"/>
      <c r="BK369" s="589"/>
      <c r="BL369" s="589"/>
    </row>
    <row r="370" spans="1:64" ht="14.25" customHeight="1">
      <c r="A370" s="691" t="s">
        <v>707</v>
      </c>
      <c r="B370" s="589"/>
      <c r="C370" s="589"/>
      <c r="D370" s="589"/>
      <c r="E370" s="589"/>
      <c r="F370" s="591">
        <v>369</v>
      </c>
      <c r="G370" s="691" t="s">
        <v>197</v>
      </c>
      <c r="H370" s="691" t="s">
        <v>187</v>
      </c>
      <c r="I370" s="691" t="s">
        <v>137</v>
      </c>
      <c r="J370" s="691" t="s">
        <v>157</v>
      </c>
      <c r="K370" s="691" t="s">
        <v>125</v>
      </c>
      <c r="L370" s="691" t="s">
        <v>177</v>
      </c>
      <c r="M370" s="691" t="s">
        <v>167</v>
      </c>
      <c r="N370" s="691" t="s">
        <v>207</v>
      </c>
      <c r="O370" s="589"/>
      <c r="P370" s="717" cm="1">
        <f t="array" ref="P370">F370</f>
        <v>369</v>
      </c>
      <c r="Q370" s="620" t="str" cm="1">
        <f t="array" ref="Q370">RIGHT(G370,1)</f>
        <v>H</v>
      </c>
      <c r="R370" s="590" t="str" cm="1">
        <f t="array" ref="R370">RIGHT(H370,1)</f>
        <v>G</v>
      </c>
      <c r="S370" s="590" t="str" cm="1">
        <f t="array" ref="S370">RIGHT(I370,1)</f>
        <v>B</v>
      </c>
      <c r="T370" s="590" t="str" cm="1">
        <f t="array" ref="T370">RIGHT(J370,1)</f>
        <v>D</v>
      </c>
      <c r="U370" s="590" t="str" cm="1">
        <f t="array" ref="U370">RIGHT(K370,1)</f>
        <v>A</v>
      </c>
      <c r="V370" s="590" t="str" cm="1">
        <f t="array" ref="V370">RIGHT(L370,1)</f>
        <v>F</v>
      </c>
      <c r="W370" s="590" t="str" cm="1">
        <f t="array" ref="W370">RIGHT(M370,1)</f>
        <v>E</v>
      </c>
      <c r="X370" s="590" t="str" cm="1">
        <f t="array" ref="X370">RIGHT(N370,1)</f>
        <v>I</v>
      </c>
      <c r="Y370" s="708" cm="1">
        <f t="array" ref="Y370">COUNTIF($AA$2:$AA$9,Q370)+COUNTIF($AA$2:$AA$9,R370)+COUNTIF($AA$2:$AA$9,S370)+COUNTIF($AA$2:$AA$9,T370)+COUNTIF($AA$2:$AA$9,U370)+COUNTIF($AA$2:$AA$9,V370)+COUNTIF($AA$2:$AA$9,W370)+COUNTIF($AA$2:$AA$9,X370)</f>
        <v>5</v>
      </c>
      <c r="Z370" s="589"/>
      <c r="AA370" s="589"/>
      <c r="AB370" s="589"/>
      <c r="AC370" s="589"/>
      <c r="AD370" s="589"/>
      <c r="AE370" s="589"/>
      <c r="AF370" s="589"/>
      <c r="AG370" s="589"/>
      <c r="AH370" s="589"/>
      <c r="AI370" s="589"/>
      <c r="AJ370" s="589"/>
      <c r="AK370" s="589"/>
      <c r="AL370" s="589"/>
      <c r="AM370" s="589"/>
      <c r="AN370" s="589"/>
      <c r="AO370" s="589"/>
      <c r="AP370" s="589"/>
      <c r="AQ370" s="589"/>
      <c r="AR370" s="589"/>
      <c r="AS370" s="589"/>
      <c r="AT370" s="589"/>
      <c r="AU370" s="589"/>
      <c r="AV370" s="589"/>
      <c r="AW370" s="589"/>
      <c r="AX370" s="589"/>
      <c r="AY370" s="589"/>
      <c r="AZ370" s="589"/>
      <c r="BA370" s="589"/>
      <c r="BB370" s="589"/>
      <c r="BC370" s="589"/>
      <c r="BD370" s="589"/>
      <c r="BE370" s="589"/>
      <c r="BF370" s="589"/>
      <c r="BG370" s="589"/>
      <c r="BH370" s="589"/>
      <c r="BI370" s="589"/>
      <c r="BJ370" s="589"/>
      <c r="BK370" s="589"/>
      <c r="BL370" s="589"/>
    </row>
    <row r="371" spans="1:64" ht="14.25" customHeight="1">
      <c r="A371" s="691" t="s">
        <v>708</v>
      </c>
      <c r="B371" s="589"/>
      <c r="C371" s="589"/>
      <c r="D371" s="589"/>
      <c r="E371" s="589"/>
      <c r="F371" s="591">
        <v>370</v>
      </c>
      <c r="G371" s="691" t="s">
        <v>207</v>
      </c>
      <c r="H371" s="691" t="s">
        <v>217</v>
      </c>
      <c r="I371" s="691" t="s">
        <v>137</v>
      </c>
      <c r="J371" s="691" t="s">
        <v>147</v>
      </c>
      <c r="K371" s="691" t="s">
        <v>125</v>
      </c>
      <c r="L371" s="691" t="s">
        <v>197</v>
      </c>
      <c r="M371" s="691" t="s">
        <v>237</v>
      </c>
      <c r="N371" s="691" t="s">
        <v>227</v>
      </c>
      <c r="O371" s="589"/>
      <c r="P371" s="717" cm="1">
        <f t="array" ref="P371">F371</f>
        <v>370</v>
      </c>
      <c r="Q371" s="620" t="str" cm="1">
        <f t="array" ref="Q371">RIGHT(G371,1)</f>
        <v>I</v>
      </c>
      <c r="R371" s="590" t="str" cm="1">
        <f t="array" ref="R371">RIGHT(H371,1)</f>
        <v>J</v>
      </c>
      <c r="S371" s="590" t="str" cm="1">
        <f t="array" ref="S371">RIGHT(I371,1)</f>
        <v>B</v>
      </c>
      <c r="T371" s="590" t="str" cm="1">
        <f t="array" ref="T371">RIGHT(J371,1)</f>
        <v>C</v>
      </c>
      <c r="U371" s="590" t="str" cm="1">
        <f t="array" ref="U371">RIGHT(K371,1)</f>
        <v>A</v>
      </c>
      <c r="V371" s="590" t="str" cm="1">
        <f t="array" ref="V371">RIGHT(L371,1)</f>
        <v>H</v>
      </c>
      <c r="W371" s="590" t="str" cm="1">
        <f t="array" ref="W371">RIGHT(M371,1)</f>
        <v>L</v>
      </c>
      <c r="X371" s="590" t="str" cm="1">
        <f t="array" ref="X371">RIGHT(N371,1)</f>
        <v>K</v>
      </c>
      <c r="Y371" s="708" cm="1">
        <f t="array" ref="Y371">COUNTIF($AA$2:$AA$9,Q371)+COUNTIF($AA$2:$AA$9,R371)+COUNTIF($AA$2:$AA$9,S371)+COUNTIF($AA$2:$AA$9,T371)+COUNTIF($AA$2:$AA$9,U371)+COUNTIF($AA$2:$AA$9,V371)+COUNTIF($AA$2:$AA$9,W371)+COUNTIF($AA$2:$AA$9,X371)</f>
        <v>5</v>
      </c>
      <c r="Z371" s="589"/>
      <c r="AA371" s="589"/>
      <c r="AB371" s="589"/>
      <c r="AC371" s="589"/>
      <c r="AD371" s="589"/>
      <c r="AE371" s="589"/>
      <c r="AF371" s="589"/>
      <c r="AG371" s="589"/>
      <c r="AH371" s="589"/>
      <c r="AI371" s="589"/>
      <c r="AJ371" s="589"/>
      <c r="AK371" s="589"/>
      <c r="AL371" s="589"/>
      <c r="AM371" s="589"/>
      <c r="AN371" s="589"/>
      <c r="AO371" s="589"/>
      <c r="AP371" s="589"/>
      <c r="AQ371" s="589"/>
      <c r="AR371" s="589"/>
      <c r="AS371" s="589"/>
      <c r="AT371" s="589"/>
      <c r="AU371" s="589"/>
      <c r="AV371" s="589"/>
      <c r="AW371" s="589"/>
      <c r="AX371" s="589"/>
      <c r="AY371" s="589"/>
      <c r="AZ371" s="589"/>
      <c r="BA371" s="589"/>
      <c r="BB371" s="589"/>
      <c r="BC371" s="589"/>
      <c r="BD371" s="589"/>
      <c r="BE371" s="589"/>
      <c r="BF371" s="589"/>
      <c r="BG371" s="589"/>
      <c r="BH371" s="589"/>
      <c r="BI371" s="589"/>
      <c r="BJ371" s="589"/>
      <c r="BK371" s="589"/>
      <c r="BL371" s="589"/>
    </row>
    <row r="372" spans="1:64" ht="14.25" customHeight="1">
      <c r="A372" s="691" t="s">
        <v>709</v>
      </c>
      <c r="B372" s="589"/>
      <c r="C372" s="589"/>
      <c r="D372" s="589"/>
      <c r="E372" s="589"/>
      <c r="F372" s="591">
        <v>371</v>
      </c>
      <c r="G372" s="691" t="s">
        <v>207</v>
      </c>
      <c r="H372" s="691" t="s">
        <v>217</v>
      </c>
      <c r="I372" s="691" t="s">
        <v>137</v>
      </c>
      <c r="J372" s="691" t="s">
        <v>147</v>
      </c>
      <c r="K372" s="691" t="s">
        <v>125</v>
      </c>
      <c r="L372" s="691" t="s">
        <v>187</v>
      </c>
      <c r="M372" s="691" t="s">
        <v>237</v>
      </c>
      <c r="N372" s="691" t="s">
        <v>227</v>
      </c>
      <c r="O372" s="589"/>
      <c r="P372" s="717" cm="1">
        <f t="array" ref="P372">F372</f>
        <v>371</v>
      </c>
      <c r="Q372" s="620" t="str" cm="1">
        <f t="array" ref="Q372">RIGHT(G372,1)</f>
        <v>I</v>
      </c>
      <c r="R372" s="590" t="str" cm="1">
        <f t="array" ref="R372">RIGHT(H372,1)</f>
        <v>J</v>
      </c>
      <c r="S372" s="590" t="str" cm="1">
        <f t="array" ref="S372">RIGHT(I372,1)</f>
        <v>B</v>
      </c>
      <c r="T372" s="590" t="str" cm="1">
        <f t="array" ref="T372">RIGHT(J372,1)</f>
        <v>C</v>
      </c>
      <c r="U372" s="590" t="str" cm="1">
        <f t="array" ref="U372">RIGHT(K372,1)</f>
        <v>A</v>
      </c>
      <c r="V372" s="590" t="str" cm="1">
        <f t="array" ref="V372">RIGHT(L372,1)</f>
        <v>G</v>
      </c>
      <c r="W372" s="590" t="str" cm="1">
        <f t="array" ref="W372">RIGHT(M372,1)</f>
        <v>L</v>
      </c>
      <c r="X372" s="590" t="str" cm="1">
        <f t="array" ref="X372">RIGHT(N372,1)</f>
        <v>K</v>
      </c>
      <c r="Y372" s="708" cm="1">
        <f t="array" ref="Y372">COUNTIF($AA$2:$AA$9,Q372)+COUNTIF($AA$2:$AA$9,R372)+COUNTIF($AA$2:$AA$9,S372)+COUNTIF($AA$2:$AA$9,T372)+COUNTIF($AA$2:$AA$9,U372)+COUNTIF($AA$2:$AA$9,V372)+COUNTIF($AA$2:$AA$9,W372)+COUNTIF($AA$2:$AA$9,X372)</f>
        <v>5</v>
      </c>
      <c r="Z372" s="589"/>
      <c r="AA372" s="589"/>
      <c r="AB372" s="589"/>
      <c r="AC372" s="589"/>
      <c r="AD372" s="589"/>
      <c r="AE372" s="589"/>
      <c r="AF372" s="589"/>
      <c r="AG372" s="589"/>
      <c r="AH372" s="589"/>
      <c r="AI372" s="589"/>
      <c r="AJ372" s="589"/>
      <c r="AK372" s="589"/>
      <c r="AL372" s="589"/>
      <c r="AM372" s="589"/>
      <c r="AN372" s="589"/>
      <c r="AO372" s="589"/>
      <c r="AP372" s="589"/>
      <c r="AQ372" s="589"/>
      <c r="AR372" s="589"/>
      <c r="AS372" s="589"/>
      <c r="AT372" s="589"/>
      <c r="AU372" s="589"/>
      <c r="AV372" s="589"/>
      <c r="AW372" s="589"/>
      <c r="AX372" s="589"/>
      <c r="AY372" s="589"/>
      <c r="AZ372" s="589"/>
      <c r="BA372" s="589"/>
      <c r="BB372" s="589"/>
      <c r="BC372" s="589"/>
      <c r="BD372" s="589"/>
      <c r="BE372" s="589"/>
      <c r="BF372" s="589"/>
      <c r="BG372" s="589"/>
      <c r="BH372" s="589"/>
      <c r="BI372" s="589"/>
      <c r="BJ372" s="589"/>
      <c r="BK372" s="589"/>
      <c r="BL372" s="589"/>
    </row>
    <row r="373" spans="1:64" ht="14.25" customHeight="1">
      <c r="A373" s="691" t="s">
        <v>710</v>
      </c>
      <c r="B373" s="589"/>
      <c r="C373" s="589"/>
      <c r="D373" s="589"/>
      <c r="E373" s="589"/>
      <c r="F373" s="591">
        <v>372</v>
      </c>
      <c r="G373" s="691" t="s">
        <v>197</v>
      </c>
      <c r="H373" s="691" t="s">
        <v>217</v>
      </c>
      <c r="I373" s="691" t="s">
        <v>137</v>
      </c>
      <c r="J373" s="691" t="s">
        <v>147</v>
      </c>
      <c r="K373" s="691" t="s">
        <v>125</v>
      </c>
      <c r="L373" s="691" t="s">
        <v>187</v>
      </c>
      <c r="M373" s="691" t="s">
        <v>237</v>
      </c>
      <c r="N373" s="691" t="s">
        <v>227</v>
      </c>
      <c r="O373" s="589"/>
      <c r="P373" s="717" cm="1">
        <f t="array" ref="P373">F373</f>
        <v>372</v>
      </c>
      <c r="Q373" s="620" t="str" cm="1">
        <f t="array" ref="Q373">RIGHT(G373,1)</f>
        <v>H</v>
      </c>
      <c r="R373" s="590" t="str" cm="1">
        <f t="array" ref="R373">RIGHT(H373,1)</f>
        <v>J</v>
      </c>
      <c r="S373" s="590" t="str" cm="1">
        <f t="array" ref="S373">RIGHT(I373,1)</f>
        <v>B</v>
      </c>
      <c r="T373" s="590" t="str" cm="1">
        <f t="array" ref="T373">RIGHT(J373,1)</f>
        <v>C</v>
      </c>
      <c r="U373" s="590" t="str" cm="1">
        <f t="array" ref="U373">RIGHT(K373,1)</f>
        <v>A</v>
      </c>
      <c r="V373" s="590" t="str" cm="1">
        <f t="array" ref="V373">RIGHT(L373,1)</f>
        <v>G</v>
      </c>
      <c r="W373" s="590" t="str" cm="1">
        <f t="array" ref="W373">RIGHT(M373,1)</f>
        <v>L</v>
      </c>
      <c r="X373" s="590" t="str" cm="1">
        <f t="array" ref="X373">RIGHT(N373,1)</f>
        <v>K</v>
      </c>
      <c r="Y373" s="708" cm="1">
        <f t="array" ref="Y373">COUNTIF($AA$2:$AA$9,Q373)+COUNTIF($AA$2:$AA$9,R373)+COUNTIF($AA$2:$AA$9,S373)+COUNTIF($AA$2:$AA$9,T373)+COUNTIF($AA$2:$AA$9,U373)+COUNTIF($AA$2:$AA$9,V373)+COUNTIF($AA$2:$AA$9,W373)+COUNTIF($AA$2:$AA$9,X373)</f>
        <v>4</v>
      </c>
      <c r="Z373" s="589"/>
      <c r="AA373" s="589"/>
      <c r="AB373" s="589"/>
      <c r="AC373" s="589"/>
      <c r="AD373" s="589"/>
      <c r="AE373" s="589"/>
      <c r="AF373" s="589"/>
      <c r="AG373" s="589"/>
      <c r="AH373" s="589"/>
      <c r="AI373" s="589"/>
      <c r="AJ373" s="589"/>
      <c r="AK373" s="589"/>
      <c r="AL373" s="589"/>
      <c r="AM373" s="589"/>
      <c r="AN373" s="589"/>
      <c r="AO373" s="589"/>
      <c r="AP373" s="589"/>
      <c r="AQ373" s="589"/>
      <c r="AR373" s="589"/>
      <c r="AS373" s="589"/>
      <c r="AT373" s="589"/>
      <c r="AU373" s="589"/>
      <c r="AV373" s="589"/>
      <c r="AW373" s="589"/>
      <c r="AX373" s="589"/>
      <c r="AY373" s="589"/>
      <c r="AZ373" s="589"/>
      <c r="BA373" s="589"/>
      <c r="BB373" s="589"/>
      <c r="BC373" s="589"/>
      <c r="BD373" s="589"/>
      <c r="BE373" s="589"/>
      <c r="BF373" s="589"/>
      <c r="BG373" s="589"/>
      <c r="BH373" s="589"/>
      <c r="BI373" s="589"/>
      <c r="BJ373" s="589"/>
      <c r="BK373" s="589"/>
      <c r="BL373" s="589"/>
    </row>
    <row r="374" spans="1:64" ht="14.25" customHeight="1">
      <c r="A374" s="691" t="s">
        <v>711</v>
      </c>
      <c r="B374" s="589"/>
      <c r="C374" s="589"/>
      <c r="D374" s="589"/>
      <c r="E374" s="589"/>
      <c r="F374" s="591">
        <v>373</v>
      </c>
      <c r="G374" s="691" t="s">
        <v>207</v>
      </c>
      <c r="H374" s="691" t="s">
        <v>187</v>
      </c>
      <c r="I374" s="691" t="s">
        <v>137</v>
      </c>
      <c r="J374" s="691" t="s">
        <v>147</v>
      </c>
      <c r="K374" s="691" t="s">
        <v>125</v>
      </c>
      <c r="L374" s="691" t="s">
        <v>197</v>
      </c>
      <c r="M374" s="691" t="s">
        <v>237</v>
      </c>
      <c r="N374" s="691" t="s">
        <v>227</v>
      </c>
      <c r="O374" s="589"/>
      <c r="P374" s="717" cm="1">
        <f t="array" ref="P374">F374</f>
        <v>373</v>
      </c>
      <c r="Q374" s="620" t="str" cm="1">
        <f t="array" ref="Q374">RIGHT(G374,1)</f>
        <v>I</v>
      </c>
      <c r="R374" s="590" t="str" cm="1">
        <f t="array" ref="R374">RIGHT(H374,1)</f>
        <v>G</v>
      </c>
      <c r="S374" s="590" t="str" cm="1">
        <f t="array" ref="S374">RIGHT(I374,1)</f>
        <v>B</v>
      </c>
      <c r="T374" s="590" t="str" cm="1">
        <f t="array" ref="T374">RIGHT(J374,1)</f>
        <v>C</v>
      </c>
      <c r="U374" s="590" t="str" cm="1">
        <f t="array" ref="U374">RIGHT(K374,1)</f>
        <v>A</v>
      </c>
      <c r="V374" s="590" t="str" cm="1">
        <f t="array" ref="V374">RIGHT(L374,1)</f>
        <v>H</v>
      </c>
      <c r="W374" s="590" t="str" cm="1">
        <f t="array" ref="W374">RIGHT(M374,1)</f>
        <v>L</v>
      </c>
      <c r="X374" s="590" t="str" cm="1">
        <f t="array" ref="X374">RIGHT(N374,1)</f>
        <v>K</v>
      </c>
      <c r="Y374" s="708" cm="1">
        <f t="array" ref="Y374">COUNTIF($AA$2:$AA$9,Q374)+COUNTIF($AA$2:$AA$9,R374)+COUNTIF($AA$2:$AA$9,S374)+COUNTIF($AA$2:$AA$9,T374)+COUNTIF($AA$2:$AA$9,U374)+COUNTIF($AA$2:$AA$9,V374)+COUNTIF($AA$2:$AA$9,W374)+COUNTIF($AA$2:$AA$9,X374)</f>
        <v>4</v>
      </c>
      <c r="Z374" s="589"/>
      <c r="AA374" s="589"/>
      <c r="AB374" s="589"/>
      <c r="AC374" s="589"/>
      <c r="AD374" s="589"/>
      <c r="AE374" s="589"/>
      <c r="AF374" s="589"/>
      <c r="AG374" s="589"/>
      <c r="AH374" s="589"/>
      <c r="AI374" s="589"/>
      <c r="AJ374" s="589"/>
      <c r="AK374" s="589"/>
      <c r="AL374" s="589"/>
      <c r="AM374" s="589"/>
      <c r="AN374" s="589"/>
      <c r="AO374" s="589"/>
      <c r="AP374" s="589"/>
      <c r="AQ374" s="589"/>
      <c r="AR374" s="589"/>
      <c r="AS374" s="589"/>
      <c r="AT374" s="589"/>
      <c r="AU374" s="589"/>
      <c r="AV374" s="589"/>
      <c r="AW374" s="589"/>
      <c r="AX374" s="589"/>
      <c r="AY374" s="589"/>
      <c r="AZ374" s="589"/>
      <c r="BA374" s="589"/>
      <c r="BB374" s="589"/>
      <c r="BC374" s="589"/>
      <c r="BD374" s="589"/>
      <c r="BE374" s="589"/>
      <c r="BF374" s="589"/>
      <c r="BG374" s="589"/>
      <c r="BH374" s="589"/>
      <c r="BI374" s="589"/>
      <c r="BJ374" s="589"/>
      <c r="BK374" s="589"/>
      <c r="BL374" s="589"/>
    </row>
    <row r="375" spans="1:64" ht="14.25" customHeight="1">
      <c r="A375" s="691" t="s">
        <v>712</v>
      </c>
      <c r="B375" s="589"/>
      <c r="C375" s="589"/>
      <c r="D375" s="589"/>
      <c r="E375" s="589"/>
      <c r="F375" s="591">
        <v>374</v>
      </c>
      <c r="G375" s="691" t="s">
        <v>197</v>
      </c>
      <c r="H375" s="691" t="s">
        <v>217</v>
      </c>
      <c r="I375" s="691" t="s">
        <v>137</v>
      </c>
      <c r="J375" s="691" t="s">
        <v>147</v>
      </c>
      <c r="K375" s="691" t="s">
        <v>125</v>
      </c>
      <c r="L375" s="691" t="s">
        <v>187</v>
      </c>
      <c r="M375" s="691" t="s">
        <v>237</v>
      </c>
      <c r="N375" s="691" t="s">
        <v>207</v>
      </c>
      <c r="O375" s="589"/>
      <c r="P375" s="717" cm="1">
        <f t="array" ref="P375">F375</f>
        <v>374</v>
      </c>
      <c r="Q375" s="620" t="str" cm="1">
        <f t="array" ref="Q375">RIGHT(G375,1)</f>
        <v>H</v>
      </c>
      <c r="R375" s="590" t="str" cm="1">
        <f t="array" ref="R375">RIGHT(H375,1)</f>
        <v>J</v>
      </c>
      <c r="S375" s="590" t="str" cm="1">
        <f t="array" ref="S375">RIGHT(I375,1)</f>
        <v>B</v>
      </c>
      <c r="T375" s="590" t="str" cm="1">
        <f t="array" ref="T375">RIGHT(J375,1)</f>
        <v>C</v>
      </c>
      <c r="U375" s="590" t="str" cm="1">
        <f t="array" ref="U375">RIGHT(K375,1)</f>
        <v>A</v>
      </c>
      <c r="V375" s="590" t="str" cm="1">
        <f t="array" ref="V375">RIGHT(L375,1)</f>
        <v>G</v>
      </c>
      <c r="W375" s="590" t="str" cm="1">
        <f t="array" ref="W375">RIGHT(M375,1)</f>
        <v>L</v>
      </c>
      <c r="X375" s="590" t="str" cm="1">
        <f t="array" ref="X375">RIGHT(N375,1)</f>
        <v>I</v>
      </c>
      <c r="Y375" s="708" cm="1">
        <f t="array" ref="Y375">COUNTIF($AA$2:$AA$9,Q375)+COUNTIF($AA$2:$AA$9,R375)+COUNTIF($AA$2:$AA$9,S375)+COUNTIF($AA$2:$AA$9,T375)+COUNTIF($AA$2:$AA$9,U375)+COUNTIF($AA$2:$AA$9,V375)+COUNTIF($AA$2:$AA$9,W375)+COUNTIF($AA$2:$AA$9,X375)</f>
        <v>5</v>
      </c>
      <c r="Z375" s="589"/>
      <c r="AA375" s="589"/>
      <c r="AB375" s="589"/>
      <c r="AC375" s="589"/>
      <c r="AD375" s="589"/>
      <c r="AE375" s="589"/>
      <c r="AF375" s="589"/>
      <c r="AG375" s="589"/>
      <c r="AH375" s="589"/>
      <c r="AI375" s="589"/>
      <c r="AJ375" s="589"/>
      <c r="AK375" s="589"/>
      <c r="AL375" s="589"/>
      <c r="AM375" s="589"/>
      <c r="AN375" s="589"/>
      <c r="AO375" s="589"/>
      <c r="AP375" s="589"/>
      <c r="AQ375" s="589"/>
      <c r="AR375" s="589"/>
      <c r="AS375" s="589"/>
      <c r="AT375" s="589"/>
      <c r="AU375" s="589"/>
      <c r="AV375" s="589"/>
      <c r="AW375" s="589"/>
      <c r="AX375" s="589"/>
      <c r="AY375" s="589"/>
      <c r="AZ375" s="589"/>
      <c r="BA375" s="589"/>
      <c r="BB375" s="589"/>
      <c r="BC375" s="589"/>
      <c r="BD375" s="589"/>
      <c r="BE375" s="589"/>
      <c r="BF375" s="589"/>
      <c r="BG375" s="589"/>
      <c r="BH375" s="589"/>
      <c r="BI375" s="589"/>
      <c r="BJ375" s="589"/>
      <c r="BK375" s="589"/>
      <c r="BL375" s="589"/>
    </row>
    <row r="376" spans="1:64" ht="14.25" customHeight="1">
      <c r="A376" s="691" t="s">
        <v>713</v>
      </c>
      <c r="B376" s="589"/>
      <c r="C376" s="589"/>
      <c r="D376" s="589"/>
      <c r="E376" s="589"/>
      <c r="F376" s="591">
        <v>375</v>
      </c>
      <c r="G376" s="691" t="s">
        <v>197</v>
      </c>
      <c r="H376" s="691" t="s">
        <v>217</v>
      </c>
      <c r="I376" s="691" t="s">
        <v>137</v>
      </c>
      <c r="J376" s="691" t="s">
        <v>147</v>
      </c>
      <c r="K376" s="691" t="s">
        <v>125</v>
      </c>
      <c r="L376" s="691" t="s">
        <v>187</v>
      </c>
      <c r="M376" s="691" t="s">
        <v>207</v>
      </c>
      <c r="N376" s="691" t="s">
        <v>227</v>
      </c>
      <c r="O376" s="589"/>
      <c r="P376" s="717" cm="1">
        <f t="array" ref="P376">F376</f>
        <v>375</v>
      </c>
      <c r="Q376" s="620" t="str" cm="1">
        <f t="array" ref="Q376">RIGHT(G376,1)</f>
        <v>H</v>
      </c>
      <c r="R376" s="590" t="str" cm="1">
        <f t="array" ref="R376">RIGHT(H376,1)</f>
        <v>J</v>
      </c>
      <c r="S376" s="590" t="str" cm="1">
        <f t="array" ref="S376">RIGHT(I376,1)</f>
        <v>B</v>
      </c>
      <c r="T376" s="590" t="str" cm="1">
        <f t="array" ref="T376">RIGHT(J376,1)</f>
        <v>C</v>
      </c>
      <c r="U376" s="590" t="str" cm="1">
        <f t="array" ref="U376">RIGHT(K376,1)</f>
        <v>A</v>
      </c>
      <c r="V376" s="590" t="str" cm="1">
        <f t="array" ref="V376">RIGHT(L376,1)</f>
        <v>G</v>
      </c>
      <c r="W376" s="590" t="str" cm="1">
        <f t="array" ref="W376">RIGHT(M376,1)</f>
        <v>I</v>
      </c>
      <c r="X376" s="590" t="str" cm="1">
        <f t="array" ref="X376">RIGHT(N376,1)</f>
        <v>K</v>
      </c>
      <c r="Y376" s="708" cm="1">
        <f t="array" ref="Y376">COUNTIF($AA$2:$AA$9,Q376)+COUNTIF($AA$2:$AA$9,R376)+COUNTIF($AA$2:$AA$9,S376)+COUNTIF($AA$2:$AA$9,T376)+COUNTIF($AA$2:$AA$9,U376)+COUNTIF($AA$2:$AA$9,V376)+COUNTIF($AA$2:$AA$9,W376)+COUNTIF($AA$2:$AA$9,X376)</f>
        <v>4</v>
      </c>
      <c r="Z376" s="589"/>
      <c r="AA376" s="589"/>
      <c r="AB376" s="589"/>
      <c r="AC376" s="589"/>
      <c r="AD376" s="589"/>
      <c r="AE376" s="589"/>
      <c r="AF376" s="589"/>
      <c r="AG376" s="589"/>
      <c r="AH376" s="589"/>
      <c r="AI376" s="589"/>
      <c r="AJ376" s="589"/>
      <c r="AK376" s="589"/>
      <c r="AL376" s="589"/>
      <c r="AM376" s="589"/>
      <c r="AN376" s="589"/>
      <c r="AO376" s="589"/>
      <c r="AP376" s="589"/>
      <c r="AQ376" s="589"/>
      <c r="AR376" s="589"/>
      <c r="AS376" s="589"/>
      <c r="AT376" s="589"/>
      <c r="AU376" s="589"/>
      <c r="AV376" s="589"/>
      <c r="AW376" s="589"/>
      <c r="AX376" s="589"/>
      <c r="AY376" s="589"/>
      <c r="AZ376" s="589"/>
      <c r="BA376" s="589"/>
      <c r="BB376" s="589"/>
      <c r="BC376" s="589"/>
      <c r="BD376" s="589"/>
      <c r="BE376" s="589"/>
      <c r="BF376" s="589"/>
      <c r="BG376" s="589"/>
      <c r="BH376" s="589"/>
      <c r="BI376" s="589"/>
      <c r="BJ376" s="589"/>
      <c r="BK376" s="589"/>
      <c r="BL376" s="589"/>
    </row>
    <row r="377" spans="1:64" ht="14.25" customHeight="1">
      <c r="A377" s="691" t="s">
        <v>714</v>
      </c>
      <c r="B377" s="589"/>
      <c r="C377" s="589"/>
      <c r="D377" s="589"/>
      <c r="E377" s="589"/>
      <c r="F377" s="591">
        <v>376</v>
      </c>
      <c r="G377" s="691" t="s">
        <v>207</v>
      </c>
      <c r="H377" s="691" t="s">
        <v>217</v>
      </c>
      <c r="I377" s="691" t="s">
        <v>137</v>
      </c>
      <c r="J377" s="691" t="s">
        <v>147</v>
      </c>
      <c r="K377" s="691" t="s">
        <v>125</v>
      </c>
      <c r="L377" s="691" t="s">
        <v>177</v>
      </c>
      <c r="M377" s="691" t="s">
        <v>237</v>
      </c>
      <c r="N377" s="691" t="s">
        <v>227</v>
      </c>
      <c r="O377" s="589"/>
      <c r="P377" s="717" cm="1">
        <f t="array" ref="P377">F377</f>
        <v>376</v>
      </c>
      <c r="Q377" s="620" t="str" cm="1">
        <f t="array" ref="Q377">RIGHT(G377,1)</f>
        <v>I</v>
      </c>
      <c r="R377" s="590" t="str" cm="1">
        <f t="array" ref="R377">RIGHT(H377,1)</f>
        <v>J</v>
      </c>
      <c r="S377" s="590" t="str" cm="1">
        <f t="array" ref="S377">RIGHT(I377,1)</f>
        <v>B</v>
      </c>
      <c r="T377" s="590" t="str" cm="1">
        <f t="array" ref="T377">RIGHT(J377,1)</f>
        <v>C</v>
      </c>
      <c r="U377" s="590" t="str" cm="1">
        <f t="array" ref="U377">RIGHT(K377,1)</f>
        <v>A</v>
      </c>
      <c r="V377" s="590" t="str" cm="1">
        <f t="array" ref="V377">RIGHT(L377,1)</f>
        <v>F</v>
      </c>
      <c r="W377" s="590" t="str" cm="1">
        <f t="array" ref="W377">RIGHT(M377,1)</f>
        <v>L</v>
      </c>
      <c r="X377" s="590" t="str" cm="1">
        <f t="array" ref="X377">RIGHT(N377,1)</f>
        <v>K</v>
      </c>
      <c r="Y377" s="708" cm="1">
        <f t="array" ref="Y377">COUNTIF($AA$2:$AA$9,Q377)+COUNTIF($AA$2:$AA$9,R377)+COUNTIF($AA$2:$AA$9,S377)+COUNTIF($AA$2:$AA$9,T377)+COUNTIF($AA$2:$AA$9,U377)+COUNTIF($AA$2:$AA$9,V377)+COUNTIF($AA$2:$AA$9,W377)+COUNTIF($AA$2:$AA$9,X377)</f>
        <v>6</v>
      </c>
      <c r="Z377" s="589"/>
      <c r="AA377" s="589"/>
      <c r="AB377" s="589"/>
      <c r="AC377" s="589"/>
      <c r="AD377" s="589"/>
      <c r="AE377" s="589"/>
      <c r="AF377" s="589"/>
      <c r="AG377" s="589"/>
      <c r="AH377" s="589"/>
      <c r="AI377" s="589"/>
      <c r="AJ377" s="589"/>
      <c r="AK377" s="589"/>
      <c r="AL377" s="589"/>
      <c r="AM377" s="589"/>
      <c r="AN377" s="589"/>
      <c r="AO377" s="589"/>
      <c r="AP377" s="589"/>
      <c r="AQ377" s="589"/>
      <c r="AR377" s="589"/>
      <c r="AS377" s="589"/>
      <c r="AT377" s="589"/>
      <c r="AU377" s="589"/>
      <c r="AV377" s="589"/>
      <c r="AW377" s="589"/>
      <c r="AX377" s="589"/>
      <c r="AY377" s="589"/>
      <c r="AZ377" s="589"/>
      <c r="BA377" s="589"/>
      <c r="BB377" s="589"/>
      <c r="BC377" s="589"/>
      <c r="BD377" s="589"/>
      <c r="BE377" s="589"/>
      <c r="BF377" s="589"/>
      <c r="BG377" s="589"/>
      <c r="BH377" s="589"/>
      <c r="BI377" s="589"/>
      <c r="BJ377" s="589"/>
      <c r="BK377" s="589"/>
      <c r="BL377" s="589"/>
    </row>
    <row r="378" spans="1:64" ht="14.25" customHeight="1">
      <c r="A378" s="691" t="s">
        <v>715</v>
      </c>
      <c r="B378" s="589"/>
      <c r="C378" s="589"/>
      <c r="D378" s="589"/>
      <c r="E378" s="589"/>
      <c r="F378" s="591">
        <v>377</v>
      </c>
      <c r="G378" s="691" t="s">
        <v>197</v>
      </c>
      <c r="H378" s="691" t="s">
        <v>217</v>
      </c>
      <c r="I378" s="691" t="s">
        <v>137</v>
      </c>
      <c r="J378" s="691" t="s">
        <v>147</v>
      </c>
      <c r="K378" s="691" t="s">
        <v>125</v>
      </c>
      <c r="L378" s="691" t="s">
        <v>177</v>
      </c>
      <c r="M378" s="691" t="s">
        <v>237</v>
      </c>
      <c r="N378" s="691" t="s">
        <v>227</v>
      </c>
      <c r="O378" s="589"/>
      <c r="P378" s="717" cm="1">
        <f t="array" ref="P378">F378</f>
        <v>377</v>
      </c>
      <c r="Q378" s="620" t="str" cm="1">
        <f t="array" ref="Q378">RIGHT(G378,1)</f>
        <v>H</v>
      </c>
      <c r="R378" s="590" t="str" cm="1">
        <f t="array" ref="R378">RIGHT(H378,1)</f>
        <v>J</v>
      </c>
      <c r="S378" s="590" t="str" cm="1">
        <f t="array" ref="S378">RIGHT(I378,1)</f>
        <v>B</v>
      </c>
      <c r="T378" s="590" t="str" cm="1">
        <f t="array" ref="T378">RIGHT(J378,1)</f>
        <v>C</v>
      </c>
      <c r="U378" s="590" t="str" cm="1">
        <f t="array" ref="U378">RIGHT(K378,1)</f>
        <v>A</v>
      </c>
      <c r="V378" s="590" t="str" cm="1">
        <f t="array" ref="V378">RIGHT(L378,1)</f>
        <v>F</v>
      </c>
      <c r="W378" s="590" t="str" cm="1">
        <f t="array" ref="W378">RIGHT(M378,1)</f>
        <v>L</v>
      </c>
      <c r="X378" s="590" t="str" cm="1">
        <f t="array" ref="X378">RIGHT(N378,1)</f>
        <v>K</v>
      </c>
      <c r="Y378" s="708" cm="1">
        <f t="array" ref="Y378">COUNTIF($AA$2:$AA$9,Q378)+COUNTIF($AA$2:$AA$9,R378)+COUNTIF($AA$2:$AA$9,S378)+COUNTIF($AA$2:$AA$9,T378)+COUNTIF($AA$2:$AA$9,U378)+COUNTIF($AA$2:$AA$9,V378)+COUNTIF($AA$2:$AA$9,W378)+COUNTIF($AA$2:$AA$9,X378)</f>
        <v>5</v>
      </c>
      <c r="Z378" s="589"/>
      <c r="AA378" s="589"/>
      <c r="AB378" s="589"/>
      <c r="AC378" s="589"/>
      <c r="AD378" s="589"/>
      <c r="AE378" s="589"/>
      <c r="AF378" s="589"/>
      <c r="AG378" s="589"/>
      <c r="AH378" s="589"/>
      <c r="AI378" s="589"/>
      <c r="AJ378" s="589"/>
      <c r="AK378" s="589"/>
      <c r="AL378" s="589"/>
      <c r="AM378" s="589"/>
      <c r="AN378" s="589"/>
      <c r="AO378" s="589"/>
      <c r="AP378" s="589"/>
      <c r="AQ378" s="589"/>
      <c r="AR378" s="589"/>
      <c r="AS378" s="589"/>
      <c r="AT378" s="589"/>
      <c r="AU378" s="589"/>
      <c r="AV378" s="589"/>
      <c r="AW378" s="589"/>
      <c r="AX378" s="589"/>
      <c r="AY378" s="589"/>
      <c r="AZ378" s="589"/>
      <c r="BA378" s="589"/>
      <c r="BB378" s="589"/>
      <c r="BC378" s="589"/>
      <c r="BD378" s="589"/>
      <c r="BE378" s="589"/>
      <c r="BF378" s="589"/>
      <c r="BG378" s="589"/>
      <c r="BH378" s="589"/>
      <c r="BI378" s="589"/>
      <c r="BJ378" s="589"/>
      <c r="BK378" s="589"/>
      <c r="BL378" s="589"/>
    </row>
    <row r="379" spans="1:64" ht="14.25" customHeight="1">
      <c r="A379" s="691" t="s">
        <v>716</v>
      </c>
      <c r="B379" s="589"/>
      <c r="C379" s="589"/>
      <c r="D379" s="589"/>
      <c r="E379" s="589"/>
      <c r="F379" s="591">
        <v>378</v>
      </c>
      <c r="G379" s="691" t="s">
        <v>197</v>
      </c>
      <c r="H379" s="691" t="s">
        <v>207</v>
      </c>
      <c r="I379" s="691" t="s">
        <v>137</v>
      </c>
      <c r="J379" s="691" t="s">
        <v>147</v>
      </c>
      <c r="K379" s="691" t="s">
        <v>125</v>
      </c>
      <c r="L379" s="691" t="s">
        <v>177</v>
      </c>
      <c r="M379" s="691" t="s">
        <v>237</v>
      </c>
      <c r="N379" s="691" t="s">
        <v>227</v>
      </c>
      <c r="O379" s="589"/>
      <c r="P379" s="717" cm="1">
        <f t="array" ref="P379">F379</f>
        <v>378</v>
      </c>
      <c r="Q379" s="620" t="str" cm="1">
        <f t="array" ref="Q379">RIGHT(G379,1)</f>
        <v>H</v>
      </c>
      <c r="R379" s="590" t="str" cm="1">
        <f t="array" ref="R379">RIGHT(H379,1)</f>
        <v>I</v>
      </c>
      <c r="S379" s="590" t="str" cm="1">
        <f t="array" ref="S379">RIGHT(I379,1)</f>
        <v>B</v>
      </c>
      <c r="T379" s="590" t="str" cm="1">
        <f t="array" ref="T379">RIGHT(J379,1)</f>
        <v>C</v>
      </c>
      <c r="U379" s="590" t="str" cm="1">
        <f t="array" ref="U379">RIGHT(K379,1)</f>
        <v>A</v>
      </c>
      <c r="V379" s="590" t="str" cm="1">
        <f t="array" ref="V379">RIGHT(L379,1)</f>
        <v>F</v>
      </c>
      <c r="W379" s="590" t="str" cm="1">
        <f t="array" ref="W379">RIGHT(M379,1)</f>
        <v>L</v>
      </c>
      <c r="X379" s="590" t="str" cm="1">
        <f t="array" ref="X379">RIGHT(N379,1)</f>
        <v>K</v>
      </c>
      <c r="Y379" s="708" cm="1">
        <f t="array" ref="Y379">COUNTIF($AA$2:$AA$9,Q379)+COUNTIF($AA$2:$AA$9,R379)+COUNTIF($AA$2:$AA$9,S379)+COUNTIF($AA$2:$AA$9,T379)+COUNTIF($AA$2:$AA$9,U379)+COUNTIF($AA$2:$AA$9,V379)+COUNTIF($AA$2:$AA$9,W379)+COUNTIF($AA$2:$AA$9,X379)</f>
        <v>5</v>
      </c>
      <c r="Z379" s="589"/>
      <c r="AA379" s="589"/>
      <c r="AB379" s="589"/>
      <c r="AC379" s="589"/>
      <c r="AD379" s="589"/>
      <c r="AE379" s="589"/>
      <c r="AF379" s="589"/>
      <c r="AG379" s="589"/>
      <c r="AH379" s="589"/>
      <c r="AI379" s="589"/>
      <c r="AJ379" s="589"/>
      <c r="AK379" s="589"/>
      <c r="AL379" s="589"/>
      <c r="AM379" s="589"/>
      <c r="AN379" s="589"/>
      <c r="AO379" s="589"/>
      <c r="AP379" s="589"/>
      <c r="AQ379" s="589"/>
      <c r="AR379" s="589"/>
      <c r="AS379" s="589"/>
      <c r="AT379" s="589"/>
      <c r="AU379" s="589"/>
      <c r="AV379" s="589"/>
      <c r="AW379" s="589"/>
      <c r="AX379" s="589"/>
      <c r="AY379" s="589"/>
      <c r="AZ379" s="589"/>
      <c r="BA379" s="589"/>
      <c r="BB379" s="589"/>
      <c r="BC379" s="589"/>
      <c r="BD379" s="589"/>
      <c r="BE379" s="589"/>
      <c r="BF379" s="589"/>
      <c r="BG379" s="589"/>
      <c r="BH379" s="589"/>
      <c r="BI379" s="589"/>
      <c r="BJ379" s="589"/>
      <c r="BK379" s="589"/>
      <c r="BL379" s="589"/>
    </row>
    <row r="380" spans="1:64" ht="14.25" customHeight="1">
      <c r="A380" s="691" t="s">
        <v>717</v>
      </c>
      <c r="B380" s="589"/>
      <c r="C380" s="589"/>
      <c r="D380" s="589"/>
      <c r="E380" s="589"/>
      <c r="F380" s="591">
        <v>379</v>
      </c>
      <c r="G380" s="691" t="s">
        <v>197</v>
      </c>
      <c r="H380" s="691" t="s">
        <v>217</v>
      </c>
      <c r="I380" s="691" t="s">
        <v>137</v>
      </c>
      <c r="J380" s="691" t="s">
        <v>147</v>
      </c>
      <c r="K380" s="691" t="s">
        <v>125</v>
      </c>
      <c r="L380" s="691" t="s">
        <v>177</v>
      </c>
      <c r="M380" s="691" t="s">
        <v>237</v>
      </c>
      <c r="N380" s="691" t="s">
        <v>207</v>
      </c>
      <c r="O380" s="589"/>
      <c r="P380" s="717" cm="1">
        <f t="array" ref="P380">F380</f>
        <v>379</v>
      </c>
      <c r="Q380" s="620" t="str" cm="1">
        <f t="array" ref="Q380">RIGHT(G380,1)</f>
        <v>H</v>
      </c>
      <c r="R380" s="590" t="str" cm="1">
        <f t="array" ref="R380">RIGHT(H380,1)</f>
        <v>J</v>
      </c>
      <c r="S380" s="590" t="str" cm="1">
        <f t="array" ref="S380">RIGHT(I380,1)</f>
        <v>B</v>
      </c>
      <c r="T380" s="590" t="str" cm="1">
        <f t="array" ref="T380">RIGHT(J380,1)</f>
        <v>C</v>
      </c>
      <c r="U380" s="590" t="str" cm="1">
        <f t="array" ref="U380">RIGHT(K380,1)</f>
        <v>A</v>
      </c>
      <c r="V380" s="590" t="str" cm="1">
        <f t="array" ref="V380">RIGHT(L380,1)</f>
        <v>F</v>
      </c>
      <c r="W380" s="590" t="str" cm="1">
        <f t="array" ref="W380">RIGHT(M380,1)</f>
        <v>L</v>
      </c>
      <c r="X380" s="590" t="str" cm="1">
        <f t="array" ref="X380">RIGHT(N380,1)</f>
        <v>I</v>
      </c>
      <c r="Y380" s="708" cm="1">
        <f t="array" ref="Y380">COUNTIF($AA$2:$AA$9,Q380)+COUNTIF($AA$2:$AA$9,R380)+COUNTIF($AA$2:$AA$9,S380)+COUNTIF($AA$2:$AA$9,T380)+COUNTIF($AA$2:$AA$9,U380)+COUNTIF($AA$2:$AA$9,V380)+COUNTIF($AA$2:$AA$9,W380)+COUNTIF($AA$2:$AA$9,X380)</f>
        <v>6</v>
      </c>
      <c r="Z380" s="589"/>
      <c r="AA380" s="589"/>
      <c r="AB380" s="589"/>
      <c r="AC380" s="589"/>
      <c r="AD380" s="589"/>
      <c r="AE380" s="589"/>
      <c r="AF380" s="589"/>
      <c r="AG380" s="589"/>
      <c r="AH380" s="589"/>
      <c r="AI380" s="589"/>
      <c r="AJ380" s="589"/>
      <c r="AK380" s="589"/>
      <c r="AL380" s="589"/>
      <c r="AM380" s="589"/>
      <c r="AN380" s="589"/>
      <c r="AO380" s="589"/>
      <c r="AP380" s="589"/>
      <c r="AQ380" s="589"/>
      <c r="AR380" s="589"/>
      <c r="AS380" s="589"/>
      <c r="AT380" s="589"/>
      <c r="AU380" s="589"/>
      <c r="AV380" s="589"/>
      <c r="AW380" s="589"/>
      <c r="AX380" s="589"/>
      <c r="AY380" s="589"/>
      <c r="AZ380" s="589"/>
      <c r="BA380" s="589"/>
      <c r="BB380" s="589"/>
      <c r="BC380" s="589"/>
      <c r="BD380" s="589"/>
      <c r="BE380" s="589"/>
      <c r="BF380" s="589"/>
      <c r="BG380" s="589"/>
      <c r="BH380" s="589"/>
      <c r="BI380" s="589"/>
      <c r="BJ380" s="589"/>
      <c r="BK380" s="589"/>
      <c r="BL380" s="589"/>
    </row>
    <row r="381" spans="1:64" ht="14.25" customHeight="1">
      <c r="A381" s="691" t="s">
        <v>718</v>
      </c>
      <c r="B381" s="589"/>
      <c r="C381" s="589"/>
      <c r="D381" s="589"/>
      <c r="E381" s="589"/>
      <c r="F381" s="591">
        <v>380</v>
      </c>
      <c r="G381" s="691" t="s">
        <v>197</v>
      </c>
      <c r="H381" s="691" t="s">
        <v>217</v>
      </c>
      <c r="I381" s="691" t="s">
        <v>137</v>
      </c>
      <c r="J381" s="691" t="s">
        <v>147</v>
      </c>
      <c r="K381" s="691" t="s">
        <v>125</v>
      </c>
      <c r="L381" s="691" t="s">
        <v>177</v>
      </c>
      <c r="M381" s="691" t="s">
        <v>207</v>
      </c>
      <c r="N381" s="691" t="s">
        <v>227</v>
      </c>
      <c r="O381" s="589"/>
      <c r="P381" s="717" cm="1">
        <f t="array" ref="P381">F381</f>
        <v>380</v>
      </c>
      <c r="Q381" s="620" t="str" cm="1">
        <f t="array" ref="Q381">RIGHT(G381,1)</f>
        <v>H</v>
      </c>
      <c r="R381" s="590" t="str" cm="1">
        <f t="array" ref="R381">RIGHT(H381,1)</f>
        <v>J</v>
      </c>
      <c r="S381" s="590" t="str" cm="1">
        <f t="array" ref="S381">RIGHT(I381,1)</f>
        <v>B</v>
      </c>
      <c r="T381" s="590" t="str" cm="1">
        <f t="array" ref="T381">RIGHT(J381,1)</f>
        <v>C</v>
      </c>
      <c r="U381" s="590" t="str" cm="1">
        <f t="array" ref="U381">RIGHT(K381,1)</f>
        <v>A</v>
      </c>
      <c r="V381" s="590" t="str" cm="1">
        <f t="array" ref="V381">RIGHT(L381,1)</f>
        <v>F</v>
      </c>
      <c r="W381" s="590" t="str" cm="1">
        <f t="array" ref="W381">RIGHT(M381,1)</f>
        <v>I</v>
      </c>
      <c r="X381" s="590" t="str" cm="1">
        <f t="array" ref="X381">RIGHT(N381,1)</f>
        <v>K</v>
      </c>
      <c r="Y381" s="708" cm="1">
        <f t="array" ref="Y381">COUNTIF($AA$2:$AA$9,Q381)+COUNTIF($AA$2:$AA$9,R381)+COUNTIF($AA$2:$AA$9,S381)+COUNTIF($AA$2:$AA$9,T381)+COUNTIF($AA$2:$AA$9,U381)+COUNTIF($AA$2:$AA$9,V381)+COUNTIF($AA$2:$AA$9,W381)+COUNTIF($AA$2:$AA$9,X381)</f>
        <v>5</v>
      </c>
      <c r="Z381" s="589"/>
      <c r="AA381" s="589"/>
      <c r="AB381" s="589"/>
      <c r="AC381" s="589"/>
      <c r="AD381" s="589"/>
      <c r="AE381" s="589"/>
      <c r="AF381" s="589"/>
      <c r="AG381" s="589"/>
      <c r="AH381" s="589"/>
      <c r="AI381" s="589"/>
      <c r="AJ381" s="589"/>
      <c r="AK381" s="589"/>
      <c r="AL381" s="589"/>
      <c r="AM381" s="589"/>
      <c r="AN381" s="589"/>
      <c r="AO381" s="589"/>
      <c r="AP381" s="589"/>
      <c r="AQ381" s="589"/>
      <c r="AR381" s="589"/>
      <c r="AS381" s="589"/>
      <c r="AT381" s="589"/>
      <c r="AU381" s="589"/>
      <c r="AV381" s="589"/>
      <c r="AW381" s="589"/>
      <c r="AX381" s="589"/>
      <c r="AY381" s="589"/>
      <c r="AZ381" s="589"/>
      <c r="BA381" s="589"/>
      <c r="BB381" s="589"/>
      <c r="BC381" s="589"/>
      <c r="BD381" s="589"/>
      <c r="BE381" s="589"/>
      <c r="BF381" s="589"/>
      <c r="BG381" s="589"/>
      <c r="BH381" s="589"/>
      <c r="BI381" s="589"/>
      <c r="BJ381" s="589"/>
      <c r="BK381" s="589"/>
      <c r="BL381" s="589"/>
    </row>
    <row r="382" spans="1:64" ht="14.25" customHeight="1">
      <c r="A382" s="691" t="s">
        <v>719</v>
      </c>
      <c r="B382" s="589"/>
      <c r="C382" s="589"/>
      <c r="D382" s="589"/>
      <c r="E382" s="589"/>
      <c r="F382" s="591">
        <v>381</v>
      </c>
      <c r="G382" s="691" t="s">
        <v>147</v>
      </c>
      <c r="H382" s="691" t="s">
        <v>217</v>
      </c>
      <c r="I382" s="691" t="s">
        <v>137</v>
      </c>
      <c r="J382" s="691" t="s">
        <v>177</v>
      </c>
      <c r="K382" s="691" t="s">
        <v>125</v>
      </c>
      <c r="L382" s="691" t="s">
        <v>187</v>
      </c>
      <c r="M382" s="691" t="s">
        <v>237</v>
      </c>
      <c r="N382" s="691" t="s">
        <v>227</v>
      </c>
      <c r="O382" s="589"/>
      <c r="P382" s="717" cm="1">
        <f t="array" ref="P382">F382</f>
        <v>381</v>
      </c>
      <c r="Q382" s="620" t="str" cm="1">
        <f t="array" ref="Q382">RIGHT(G382,1)</f>
        <v>C</v>
      </c>
      <c r="R382" s="590" t="str" cm="1">
        <f t="array" ref="R382">RIGHT(H382,1)</f>
        <v>J</v>
      </c>
      <c r="S382" s="590" t="str" cm="1">
        <f t="array" ref="S382">RIGHT(I382,1)</f>
        <v>B</v>
      </c>
      <c r="T382" s="590" t="str" cm="1">
        <f t="array" ref="T382">RIGHT(J382,1)</f>
        <v>F</v>
      </c>
      <c r="U382" s="590" t="str" cm="1">
        <f t="array" ref="U382">RIGHT(K382,1)</f>
        <v>A</v>
      </c>
      <c r="V382" s="590" t="str" cm="1">
        <f t="array" ref="V382">RIGHT(L382,1)</f>
        <v>G</v>
      </c>
      <c r="W382" s="590" t="str" cm="1">
        <f t="array" ref="W382">RIGHT(M382,1)</f>
        <v>L</v>
      </c>
      <c r="X382" s="590" t="str" cm="1">
        <f t="array" ref="X382">RIGHT(N382,1)</f>
        <v>K</v>
      </c>
      <c r="Y382" s="708" cm="1">
        <f t="array" ref="Y382">COUNTIF($AA$2:$AA$9,Q382)+COUNTIF($AA$2:$AA$9,R382)+COUNTIF($AA$2:$AA$9,S382)+COUNTIF($AA$2:$AA$9,T382)+COUNTIF($AA$2:$AA$9,U382)+COUNTIF($AA$2:$AA$9,V382)+COUNTIF($AA$2:$AA$9,W382)+COUNTIF($AA$2:$AA$9,X382)</f>
        <v>5</v>
      </c>
      <c r="Z382" s="589"/>
      <c r="AA382" s="589"/>
      <c r="AB382" s="589"/>
      <c r="AC382" s="589"/>
      <c r="AD382" s="589"/>
      <c r="AE382" s="589"/>
      <c r="AF382" s="589"/>
      <c r="AG382" s="589"/>
      <c r="AH382" s="589"/>
      <c r="AI382" s="589"/>
      <c r="AJ382" s="589"/>
      <c r="AK382" s="589"/>
      <c r="AL382" s="589"/>
      <c r="AM382" s="589"/>
      <c r="AN382" s="589"/>
      <c r="AO382" s="589"/>
      <c r="AP382" s="589"/>
      <c r="AQ382" s="589"/>
      <c r="AR382" s="589"/>
      <c r="AS382" s="589"/>
      <c r="AT382" s="589"/>
      <c r="AU382" s="589"/>
      <c r="AV382" s="589"/>
      <c r="AW382" s="589"/>
      <c r="AX382" s="589"/>
      <c r="AY382" s="589"/>
      <c r="AZ382" s="589"/>
      <c r="BA382" s="589"/>
      <c r="BB382" s="589"/>
      <c r="BC382" s="589"/>
      <c r="BD382" s="589"/>
      <c r="BE382" s="589"/>
      <c r="BF382" s="589"/>
      <c r="BG382" s="589"/>
      <c r="BH382" s="589"/>
      <c r="BI382" s="589"/>
      <c r="BJ382" s="589"/>
      <c r="BK382" s="589"/>
      <c r="BL382" s="589"/>
    </row>
    <row r="383" spans="1:64" ht="14.25" customHeight="1">
      <c r="A383" s="691" t="s">
        <v>720</v>
      </c>
      <c r="B383" s="589"/>
      <c r="C383" s="589"/>
      <c r="D383" s="589"/>
      <c r="E383" s="589"/>
      <c r="F383" s="591">
        <v>382</v>
      </c>
      <c r="G383" s="691" t="s">
        <v>207</v>
      </c>
      <c r="H383" s="691" t="s">
        <v>187</v>
      </c>
      <c r="I383" s="691" t="s">
        <v>137</v>
      </c>
      <c r="J383" s="691" t="s">
        <v>147</v>
      </c>
      <c r="K383" s="691" t="s">
        <v>125</v>
      </c>
      <c r="L383" s="691" t="s">
        <v>177</v>
      </c>
      <c r="M383" s="691" t="s">
        <v>237</v>
      </c>
      <c r="N383" s="691" t="s">
        <v>227</v>
      </c>
      <c r="O383" s="589"/>
      <c r="P383" s="717" cm="1">
        <f t="array" ref="P383">F383</f>
        <v>382</v>
      </c>
      <c r="Q383" s="620" t="str" cm="1">
        <f t="array" ref="Q383">RIGHT(G383,1)</f>
        <v>I</v>
      </c>
      <c r="R383" s="590" t="str" cm="1">
        <f t="array" ref="R383">RIGHT(H383,1)</f>
        <v>G</v>
      </c>
      <c r="S383" s="590" t="str" cm="1">
        <f t="array" ref="S383">RIGHT(I383,1)</f>
        <v>B</v>
      </c>
      <c r="T383" s="590" t="str" cm="1">
        <f t="array" ref="T383">RIGHT(J383,1)</f>
        <v>C</v>
      </c>
      <c r="U383" s="590" t="str" cm="1">
        <f t="array" ref="U383">RIGHT(K383,1)</f>
        <v>A</v>
      </c>
      <c r="V383" s="590" t="str" cm="1">
        <f t="array" ref="V383">RIGHT(L383,1)</f>
        <v>F</v>
      </c>
      <c r="W383" s="590" t="str" cm="1">
        <f t="array" ref="W383">RIGHT(M383,1)</f>
        <v>L</v>
      </c>
      <c r="X383" s="590" t="str" cm="1">
        <f t="array" ref="X383">RIGHT(N383,1)</f>
        <v>K</v>
      </c>
      <c r="Y383" s="708" cm="1">
        <f t="array" ref="Y383">COUNTIF($AA$2:$AA$9,Q383)+COUNTIF($AA$2:$AA$9,R383)+COUNTIF($AA$2:$AA$9,S383)+COUNTIF($AA$2:$AA$9,T383)+COUNTIF($AA$2:$AA$9,U383)+COUNTIF($AA$2:$AA$9,V383)+COUNTIF($AA$2:$AA$9,W383)+COUNTIF($AA$2:$AA$9,X383)</f>
        <v>5</v>
      </c>
      <c r="Z383" s="589"/>
      <c r="AA383" s="589"/>
      <c r="AB383" s="589"/>
      <c r="AC383" s="589"/>
      <c r="AD383" s="589"/>
      <c r="AE383" s="589"/>
      <c r="AF383" s="589"/>
      <c r="AG383" s="589"/>
      <c r="AH383" s="589"/>
      <c r="AI383" s="589"/>
      <c r="AJ383" s="589"/>
      <c r="AK383" s="589"/>
      <c r="AL383" s="589"/>
      <c r="AM383" s="589"/>
      <c r="AN383" s="589"/>
      <c r="AO383" s="589"/>
      <c r="AP383" s="589"/>
      <c r="AQ383" s="589"/>
      <c r="AR383" s="589"/>
      <c r="AS383" s="589"/>
      <c r="AT383" s="589"/>
      <c r="AU383" s="589"/>
      <c r="AV383" s="589"/>
      <c r="AW383" s="589"/>
      <c r="AX383" s="589"/>
      <c r="AY383" s="589"/>
      <c r="AZ383" s="589"/>
      <c r="BA383" s="589"/>
      <c r="BB383" s="589"/>
      <c r="BC383" s="589"/>
      <c r="BD383" s="589"/>
      <c r="BE383" s="589"/>
      <c r="BF383" s="589"/>
      <c r="BG383" s="589"/>
      <c r="BH383" s="589"/>
      <c r="BI383" s="589"/>
      <c r="BJ383" s="589"/>
      <c r="BK383" s="589"/>
      <c r="BL383" s="589"/>
    </row>
    <row r="384" spans="1:64" ht="14.25" customHeight="1">
      <c r="A384" s="691" t="s">
        <v>721</v>
      </c>
      <c r="B384" s="589"/>
      <c r="C384" s="589"/>
      <c r="D384" s="589"/>
      <c r="E384" s="589"/>
      <c r="F384" s="591">
        <v>383</v>
      </c>
      <c r="G384" s="691" t="s">
        <v>147</v>
      </c>
      <c r="H384" s="691" t="s">
        <v>217</v>
      </c>
      <c r="I384" s="691" t="s">
        <v>137</v>
      </c>
      <c r="J384" s="691" t="s">
        <v>177</v>
      </c>
      <c r="K384" s="691" t="s">
        <v>125</v>
      </c>
      <c r="L384" s="691" t="s">
        <v>187</v>
      </c>
      <c r="M384" s="691" t="s">
        <v>237</v>
      </c>
      <c r="N384" s="691" t="s">
        <v>207</v>
      </c>
      <c r="O384" s="589"/>
      <c r="P384" s="717" cm="1">
        <f t="array" ref="P384">F384</f>
        <v>383</v>
      </c>
      <c r="Q384" s="620" t="str" cm="1">
        <f t="array" ref="Q384">RIGHT(G384,1)</f>
        <v>C</v>
      </c>
      <c r="R384" s="590" t="str" cm="1">
        <f t="array" ref="R384">RIGHT(H384,1)</f>
        <v>J</v>
      </c>
      <c r="S384" s="590" t="str" cm="1">
        <f t="array" ref="S384">RIGHT(I384,1)</f>
        <v>B</v>
      </c>
      <c r="T384" s="590" t="str" cm="1">
        <f t="array" ref="T384">RIGHT(J384,1)</f>
        <v>F</v>
      </c>
      <c r="U384" s="590" t="str" cm="1">
        <f t="array" ref="U384">RIGHT(K384,1)</f>
        <v>A</v>
      </c>
      <c r="V384" s="590" t="str" cm="1">
        <f t="array" ref="V384">RIGHT(L384,1)</f>
        <v>G</v>
      </c>
      <c r="W384" s="590" t="str" cm="1">
        <f t="array" ref="W384">RIGHT(M384,1)</f>
        <v>L</v>
      </c>
      <c r="X384" s="590" t="str" cm="1">
        <f t="array" ref="X384">RIGHT(N384,1)</f>
        <v>I</v>
      </c>
      <c r="Y384" s="708" cm="1">
        <f t="array" ref="Y384">COUNTIF($AA$2:$AA$9,Q384)+COUNTIF($AA$2:$AA$9,R384)+COUNTIF($AA$2:$AA$9,S384)+COUNTIF($AA$2:$AA$9,T384)+COUNTIF($AA$2:$AA$9,U384)+COUNTIF($AA$2:$AA$9,V384)+COUNTIF($AA$2:$AA$9,W384)+COUNTIF($AA$2:$AA$9,X384)</f>
        <v>6</v>
      </c>
      <c r="Z384" s="589"/>
      <c r="AA384" s="589"/>
      <c r="AB384" s="589"/>
      <c r="AC384" s="589"/>
      <c r="AD384" s="589"/>
      <c r="AE384" s="589"/>
      <c r="AF384" s="589"/>
      <c r="AG384" s="589"/>
      <c r="AH384" s="589"/>
      <c r="AI384" s="589"/>
      <c r="AJ384" s="589"/>
      <c r="AK384" s="589"/>
      <c r="AL384" s="589"/>
      <c r="AM384" s="589"/>
      <c r="AN384" s="589"/>
      <c r="AO384" s="589"/>
      <c r="AP384" s="589"/>
      <c r="AQ384" s="589"/>
      <c r="AR384" s="589"/>
      <c r="AS384" s="589"/>
      <c r="AT384" s="589"/>
      <c r="AU384" s="589"/>
      <c r="AV384" s="589"/>
      <c r="AW384" s="589"/>
      <c r="AX384" s="589"/>
      <c r="AY384" s="589"/>
      <c r="AZ384" s="589"/>
      <c r="BA384" s="589"/>
      <c r="BB384" s="589"/>
      <c r="BC384" s="589"/>
      <c r="BD384" s="589"/>
      <c r="BE384" s="589"/>
      <c r="BF384" s="589"/>
      <c r="BG384" s="589"/>
      <c r="BH384" s="589"/>
      <c r="BI384" s="589"/>
      <c r="BJ384" s="589"/>
      <c r="BK384" s="589"/>
      <c r="BL384" s="589"/>
    </row>
    <row r="385" spans="1:64" ht="14.25" customHeight="1">
      <c r="A385" s="691" t="s">
        <v>722</v>
      </c>
      <c r="B385" s="589"/>
      <c r="C385" s="589"/>
      <c r="D385" s="589"/>
      <c r="E385" s="589"/>
      <c r="F385" s="591">
        <v>384</v>
      </c>
      <c r="G385" s="691" t="s">
        <v>147</v>
      </c>
      <c r="H385" s="691" t="s">
        <v>217</v>
      </c>
      <c r="I385" s="691" t="s">
        <v>137</v>
      </c>
      <c r="J385" s="691" t="s">
        <v>177</v>
      </c>
      <c r="K385" s="691" t="s">
        <v>125</v>
      </c>
      <c r="L385" s="691" t="s">
        <v>187</v>
      </c>
      <c r="M385" s="691" t="s">
        <v>207</v>
      </c>
      <c r="N385" s="691" t="s">
        <v>227</v>
      </c>
      <c r="O385" s="589"/>
      <c r="P385" s="717" cm="1">
        <f t="array" ref="P385">F385</f>
        <v>384</v>
      </c>
      <c r="Q385" s="620" t="str" cm="1">
        <f t="array" ref="Q385">RIGHT(G385,1)</f>
        <v>C</v>
      </c>
      <c r="R385" s="590" t="str" cm="1">
        <f t="array" ref="R385">RIGHT(H385,1)</f>
        <v>J</v>
      </c>
      <c r="S385" s="590" t="str" cm="1">
        <f t="array" ref="S385">RIGHT(I385,1)</f>
        <v>B</v>
      </c>
      <c r="T385" s="590" t="str" cm="1">
        <f t="array" ref="T385">RIGHT(J385,1)</f>
        <v>F</v>
      </c>
      <c r="U385" s="590" t="str" cm="1">
        <f t="array" ref="U385">RIGHT(K385,1)</f>
        <v>A</v>
      </c>
      <c r="V385" s="590" t="str" cm="1">
        <f t="array" ref="V385">RIGHT(L385,1)</f>
        <v>G</v>
      </c>
      <c r="W385" s="590" t="str" cm="1">
        <f t="array" ref="W385">RIGHT(M385,1)</f>
        <v>I</v>
      </c>
      <c r="X385" s="590" t="str" cm="1">
        <f t="array" ref="X385">RIGHT(N385,1)</f>
        <v>K</v>
      </c>
      <c r="Y385" s="708" cm="1">
        <f t="array" ref="Y385">COUNTIF($AA$2:$AA$9,Q385)+COUNTIF($AA$2:$AA$9,R385)+COUNTIF($AA$2:$AA$9,S385)+COUNTIF($AA$2:$AA$9,T385)+COUNTIF($AA$2:$AA$9,U385)+COUNTIF($AA$2:$AA$9,V385)+COUNTIF($AA$2:$AA$9,W385)+COUNTIF($AA$2:$AA$9,X385)</f>
        <v>5</v>
      </c>
      <c r="Z385" s="589"/>
      <c r="AA385" s="589"/>
      <c r="AB385" s="589"/>
      <c r="AC385" s="589"/>
      <c r="AD385" s="589"/>
      <c r="AE385" s="589"/>
      <c r="AF385" s="589"/>
      <c r="AG385" s="589"/>
      <c r="AH385" s="589"/>
      <c r="AI385" s="589"/>
      <c r="AJ385" s="589"/>
      <c r="AK385" s="589"/>
      <c r="AL385" s="589"/>
      <c r="AM385" s="589"/>
      <c r="AN385" s="589"/>
      <c r="AO385" s="589"/>
      <c r="AP385" s="589"/>
      <c r="AQ385" s="589"/>
      <c r="AR385" s="589"/>
      <c r="AS385" s="589"/>
      <c r="AT385" s="589"/>
      <c r="AU385" s="589"/>
      <c r="AV385" s="589"/>
      <c r="AW385" s="589"/>
      <c r="AX385" s="589"/>
      <c r="AY385" s="589"/>
      <c r="AZ385" s="589"/>
      <c r="BA385" s="589"/>
      <c r="BB385" s="589"/>
      <c r="BC385" s="589"/>
      <c r="BD385" s="589"/>
      <c r="BE385" s="589"/>
      <c r="BF385" s="589"/>
      <c r="BG385" s="589"/>
      <c r="BH385" s="589"/>
      <c r="BI385" s="589"/>
      <c r="BJ385" s="589"/>
      <c r="BK385" s="589"/>
      <c r="BL385" s="589"/>
    </row>
    <row r="386" spans="1:64" ht="14.25" customHeight="1">
      <c r="A386" s="691" t="s">
        <v>723</v>
      </c>
      <c r="B386" s="589"/>
      <c r="C386" s="589"/>
      <c r="D386" s="589"/>
      <c r="E386" s="589"/>
      <c r="F386" s="591">
        <v>385</v>
      </c>
      <c r="G386" s="691" t="s">
        <v>197</v>
      </c>
      <c r="H386" s="691" t="s">
        <v>187</v>
      </c>
      <c r="I386" s="691" t="s">
        <v>137</v>
      </c>
      <c r="J386" s="691" t="s">
        <v>147</v>
      </c>
      <c r="K386" s="691" t="s">
        <v>125</v>
      </c>
      <c r="L386" s="691" t="s">
        <v>177</v>
      </c>
      <c r="M386" s="691" t="s">
        <v>237</v>
      </c>
      <c r="N386" s="691" t="s">
        <v>227</v>
      </c>
      <c r="O386" s="589"/>
      <c r="P386" s="717" cm="1">
        <f t="array" ref="P386">F386</f>
        <v>385</v>
      </c>
      <c r="Q386" s="620" t="str" cm="1">
        <f t="array" ref="Q386">RIGHT(G386,1)</f>
        <v>H</v>
      </c>
      <c r="R386" s="590" t="str" cm="1">
        <f t="array" ref="R386">RIGHT(H386,1)</f>
        <v>G</v>
      </c>
      <c r="S386" s="590" t="str" cm="1">
        <f t="array" ref="S386">RIGHT(I386,1)</f>
        <v>B</v>
      </c>
      <c r="T386" s="590" t="str" cm="1">
        <f t="array" ref="T386">RIGHT(J386,1)</f>
        <v>C</v>
      </c>
      <c r="U386" s="590" t="str" cm="1">
        <f t="array" ref="U386">RIGHT(K386,1)</f>
        <v>A</v>
      </c>
      <c r="V386" s="590" t="str" cm="1">
        <f t="array" ref="V386">RIGHT(L386,1)</f>
        <v>F</v>
      </c>
      <c r="W386" s="590" t="str" cm="1">
        <f t="array" ref="W386">RIGHT(M386,1)</f>
        <v>L</v>
      </c>
      <c r="X386" s="590" t="str" cm="1">
        <f t="array" ref="X386">RIGHT(N386,1)</f>
        <v>K</v>
      </c>
      <c r="Y386" s="708" cm="1">
        <f t="array" ref="Y386">COUNTIF($AA$2:$AA$9,Q386)+COUNTIF($AA$2:$AA$9,R386)+COUNTIF($AA$2:$AA$9,S386)+COUNTIF($AA$2:$AA$9,T386)+COUNTIF($AA$2:$AA$9,U386)+COUNTIF($AA$2:$AA$9,V386)+COUNTIF($AA$2:$AA$9,W386)+COUNTIF($AA$2:$AA$9,X386)</f>
        <v>4</v>
      </c>
      <c r="Z386" s="589"/>
      <c r="AA386" s="589"/>
      <c r="AB386" s="589"/>
      <c r="AC386" s="589"/>
      <c r="AD386" s="589"/>
      <c r="AE386" s="589"/>
      <c r="AF386" s="589"/>
      <c r="AG386" s="589"/>
      <c r="AH386" s="589"/>
      <c r="AI386" s="589"/>
      <c r="AJ386" s="589"/>
      <c r="AK386" s="589"/>
      <c r="AL386" s="589"/>
      <c r="AM386" s="589"/>
      <c r="AN386" s="589"/>
      <c r="AO386" s="589"/>
      <c r="AP386" s="589"/>
      <c r="AQ386" s="589"/>
      <c r="AR386" s="589"/>
      <c r="AS386" s="589"/>
      <c r="AT386" s="589"/>
      <c r="AU386" s="589"/>
      <c r="AV386" s="589"/>
      <c r="AW386" s="589"/>
      <c r="AX386" s="589"/>
      <c r="AY386" s="589"/>
      <c r="AZ386" s="589"/>
      <c r="BA386" s="589"/>
      <c r="BB386" s="589"/>
      <c r="BC386" s="589"/>
      <c r="BD386" s="589"/>
      <c r="BE386" s="589"/>
      <c r="BF386" s="589"/>
      <c r="BG386" s="589"/>
      <c r="BH386" s="589"/>
      <c r="BI386" s="589"/>
      <c r="BJ386" s="589"/>
      <c r="BK386" s="589"/>
      <c r="BL386" s="589"/>
    </row>
    <row r="387" spans="1:64" ht="14.25" customHeight="1">
      <c r="A387" s="691" t="s">
        <v>724</v>
      </c>
      <c r="B387" s="589"/>
      <c r="C387" s="589"/>
      <c r="D387" s="589"/>
      <c r="E387" s="589"/>
      <c r="F387" s="591">
        <v>386</v>
      </c>
      <c r="G387" s="691" t="s">
        <v>197</v>
      </c>
      <c r="H387" s="691" t="s">
        <v>187</v>
      </c>
      <c r="I387" s="691" t="s">
        <v>137</v>
      </c>
      <c r="J387" s="691" t="s">
        <v>147</v>
      </c>
      <c r="K387" s="691" t="s">
        <v>125</v>
      </c>
      <c r="L387" s="691" t="s">
        <v>177</v>
      </c>
      <c r="M387" s="691" t="s">
        <v>237</v>
      </c>
      <c r="N387" s="691" t="s">
        <v>217</v>
      </c>
      <c r="O387" s="589"/>
      <c r="P387" s="717" cm="1">
        <f t="array" ref="P387">F387</f>
        <v>386</v>
      </c>
      <c r="Q387" s="620" t="str" cm="1">
        <f t="array" ref="Q387">RIGHT(G387,1)</f>
        <v>H</v>
      </c>
      <c r="R387" s="590" t="str" cm="1">
        <f t="array" ref="R387">RIGHT(H387,1)</f>
        <v>G</v>
      </c>
      <c r="S387" s="590" t="str" cm="1">
        <f t="array" ref="S387">RIGHT(I387,1)</f>
        <v>B</v>
      </c>
      <c r="T387" s="590" t="str" cm="1">
        <f t="array" ref="T387">RIGHT(J387,1)</f>
        <v>C</v>
      </c>
      <c r="U387" s="590" t="str" cm="1">
        <f t="array" ref="U387">RIGHT(K387,1)</f>
        <v>A</v>
      </c>
      <c r="V387" s="590" t="str" cm="1">
        <f t="array" ref="V387">RIGHT(L387,1)</f>
        <v>F</v>
      </c>
      <c r="W387" s="590" t="str" cm="1">
        <f t="array" ref="W387">RIGHT(M387,1)</f>
        <v>L</v>
      </c>
      <c r="X387" s="590" t="str" cm="1">
        <f t="array" ref="X387">RIGHT(N387,1)</f>
        <v>J</v>
      </c>
      <c r="Y387" s="708" cm="1">
        <f t="array" ref="Y387">COUNTIF($AA$2:$AA$9,Q387)+COUNTIF($AA$2:$AA$9,R387)+COUNTIF($AA$2:$AA$9,S387)+COUNTIF($AA$2:$AA$9,T387)+COUNTIF($AA$2:$AA$9,U387)+COUNTIF($AA$2:$AA$9,V387)+COUNTIF($AA$2:$AA$9,W387)+COUNTIF($AA$2:$AA$9,X387)</f>
        <v>5</v>
      </c>
      <c r="Z387" s="589"/>
      <c r="AA387" s="589"/>
      <c r="AB387" s="589"/>
      <c r="AC387" s="589"/>
      <c r="AD387" s="589"/>
      <c r="AE387" s="589"/>
      <c r="AF387" s="589"/>
      <c r="AG387" s="589"/>
      <c r="AH387" s="589"/>
      <c r="AI387" s="589"/>
      <c r="AJ387" s="589"/>
      <c r="AK387" s="589"/>
      <c r="AL387" s="589"/>
      <c r="AM387" s="589"/>
      <c r="AN387" s="589"/>
      <c r="AO387" s="589"/>
      <c r="AP387" s="589"/>
      <c r="AQ387" s="589"/>
      <c r="AR387" s="589"/>
      <c r="AS387" s="589"/>
      <c r="AT387" s="589"/>
      <c r="AU387" s="589"/>
      <c r="AV387" s="589"/>
      <c r="AW387" s="589"/>
      <c r="AX387" s="589"/>
      <c r="AY387" s="589"/>
      <c r="AZ387" s="589"/>
      <c r="BA387" s="589"/>
      <c r="BB387" s="589"/>
      <c r="BC387" s="589"/>
      <c r="BD387" s="589"/>
      <c r="BE387" s="589"/>
      <c r="BF387" s="589"/>
      <c r="BG387" s="589"/>
      <c r="BH387" s="589"/>
      <c r="BI387" s="589"/>
      <c r="BJ387" s="589"/>
      <c r="BK387" s="589"/>
      <c r="BL387" s="589"/>
    </row>
    <row r="388" spans="1:64" ht="14.25" customHeight="1">
      <c r="A388" s="691" t="s">
        <v>725</v>
      </c>
      <c r="B388" s="589"/>
      <c r="C388" s="589"/>
      <c r="D388" s="589"/>
      <c r="E388" s="589"/>
      <c r="F388" s="591">
        <v>387</v>
      </c>
      <c r="G388" s="691" t="s">
        <v>197</v>
      </c>
      <c r="H388" s="691" t="s">
        <v>187</v>
      </c>
      <c r="I388" s="691" t="s">
        <v>137</v>
      </c>
      <c r="J388" s="691" t="s">
        <v>147</v>
      </c>
      <c r="K388" s="691" t="s">
        <v>125</v>
      </c>
      <c r="L388" s="691" t="s">
        <v>177</v>
      </c>
      <c r="M388" s="691" t="s">
        <v>217</v>
      </c>
      <c r="N388" s="691" t="s">
        <v>227</v>
      </c>
      <c r="O388" s="589"/>
      <c r="P388" s="717" cm="1">
        <f t="array" ref="P388">F388</f>
        <v>387</v>
      </c>
      <c r="Q388" s="620" t="str" cm="1">
        <f t="array" ref="Q388">RIGHT(G388,1)</f>
        <v>H</v>
      </c>
      <c r="R388" s="590" t="str" cm="1">
        <f t="array" ref="R388">RIGHT(H388,1)</f>
        <v>G</v>
      </c>
      <c r="S388" s="590" t="str" cm="1">
        <f t="array" ref="S388">RIGHT(I388,1)</f>
        <v>B</v>
      </c>
      <c r="T388" s="590" t="str" cm="1">
        <f t="array" ref="T388">RIGHT(J388,1)</f>
        <v>C</v>
      </c>
      <c r="U388" s="590" t="str" cm="1">
        <f t="array" ref="U388">RIGHT(K388,1)</f>
        <v>A</v>
      </c>
      <c r="V388" s="590" t="str" cm="1">
        <f t="array" ref="V388">RIGHT(L388,1)</f>
        <v>F</v>
      </c>
      <c r="W388" s="590" t="str" cm="1">
        <f t="array" ref="W388">RIGHT(M388,1)</f>
        <v>J</v>
      </c>
      <c r="X388" s="590" t="str" cm="1">
        <f t="array" ref="X388">RIGHT(N388,1)</f>
        <v>K</v>
      </c>
      <c r="Y388" s="708" cm="1">
        <f t="array" ref="Y388">COUNTIF($AA$2:$AA$9,Q388)+COUNTIF($AA$2:$AA$9,R388)+COUNTIF($AA$2:$AA$9,S388)+COUNTIF($AA$2:$AA$9,T388)+COUNTIF($AA$2:$AA$9,U388)+COUNTIF($AA$2:$AA$9,V388)+COUNTIF($AA$2:$AA$9,W388)+COUNTIF($AA$2:$AA$9,X388)</f>
        <v>4</v>
      </c>
      <c r="Z388" s="589"/>
      <c r="AA388" s="589"/>
      <c r="AB388" s="589"/>
      <c r="AC388" s="589"/>
      <c r="AD388" s="589"/>
      <c r="AE388" s="589"/>
      <c r="AF388" s="589"/>
      <c r="AG388" s="589"/>
      <c r="AH388" s="589"/>
      <c r="AI388" s="589"/>
      <c r="AJ388" s="589"/>
      <c r="AK388" s="589"/>
      <c r="AL388" s="589"/>
      <c r="AM388" s="589"/>
      <c r="AN388" s="589"/>
      <c r="AO388" s="589"/>
      <c r="AP388" s="589"/>
      <c r="AQ388" s="589"/>
      <c r="AR388" s="589"/>
      <c r="AS388" s="589"/>
      <c r="AT388" s="589"/>
      <c r="AU388" s="589"/>
      <c r="AV388" s="589"/>
      <c r="AW388" s="589"/>
      <c r="AX388" s="589"/>
      <c r="AY388" s="589"/>
      <c r="AZ388" s="589"/>
      <c r="BA388" s="589"/>
      <c r="BB388" s="589"/>
      <c r="BC388" s="589"/>
      <c r="BD388" s="589"/>
      <c r="BE388" s="589"/>
      <c r="BF388" s="589"/>
      <c r="BG388" s="589"/>
      <c r="BH388" s="589"/>
      <c r="BI388" s="589"/>
      <c r="BJ388" s="589"/>
      <c r="BK388" s="589"/>
      <c r="BL388" s="589"/>
    </row>
    <row r="389" spans="1:64" ht="14.25" customHeight="1">
      <c r="A389" s="691" t="s">
        <v>726</v>
      </c>
      <c r="B389" s="589"/>
      <c r="C389" s="589"/>
      <c r="D389" s="589"/>
      <c r="E389" s="589"/>
      <c r="F389" s="591">
        <v>388</v>
      </c>
      <c r="G389" s="691" t="s">
        <v>197</v>
      </c>
      <c r="H389" s="691" t="s">
        <v>187</v>
      </c>
      <c r="I389" s="691" t="s">
        <v>137</v>
      </c>
      <c r="J389" s="691" t="s">
        <v>147</v>
      </c>
      <c r="K389" s="691" t="s">
        <v>125</v>
      </c>
      <c r="L389" s="691" t="s">
        <v>177</v>
      </c>
      <c r="M389" s="691" t="s">
        <v>237</v>
      </c>
      <c r="N389" s="691" t="s">
        <v>207</v>
      </c>
      <c r="O389" s="589"/>
      <c r="P389" s="717" cm="1">
        <f t="array" ref="P389">F389</f>
        <v>388</v>
      </c>
      <c r="Q389" s="620" t="str" cm="1">
        <f t="array" ref="Q389">RIGHT(G389,1)</f>
        <v>H</v>
      </c>
      <c r="R389" s="590" t="str" cm="1">
        <f t="array" ref="R389">RIGHT(H389,1)</f>
        <v>G</v>
      </c>
      <c r="S389" s="590" t="str" cm="1">
        <f t="array" ref="S389">RIGHT(I389,1)</f>
        <v>B</v>
      </c>
      <c r="T389" s="590" t="str" cm="1">
        <f t="array" ref="T389">RIGHT(J389,1)</f>
        <v>C</v>
      </c>
      <c r="U389" s="590" t="str" cm="1">
        <f t="array" ref="U389">RIGHT(K389,1)</f>
        <v>A</v>
      </c>
      <c r="V389" s="590" t="str" cm="1">
        <f t="array" ref="V389">RIGHT(L389,1)</f>
        <v>F</v>
      </c>
      <c r="W389" s="590" t="str" cm="1">
        <f t="array" ref="W389">RIGHT(M389,1)</f>
        <v>L</v>
      </c>
      <c r="X389" s="590" t="str" cm="1">
        <f t="array" ref="X389">RIGHT(N389,1)</f>
        <v>I</v>
      </c>
      <c r="Y389" s="708" cm="1">
        <f t="array" ref="Y389">COUNTIF($AA$2:$AA$9,Q389)+COUNTIF($AA$2:$AA$9,R389)+COUNTIF($AA$2:$AA$9,S389)+COUNTIF($AA$2:$AA$9,T389)+COUNTIF($AA$2:$AA$9,U389)+COUNTIF($AA$2:$AA$9,V389)+COUNTIF($AA$2:$AA$9,W389)+COUNTIF($AA$2:$AA$9,X389)</f>
        <v>5</v>
      </c>
      <c r="Z389" s="589"/>
      <c r="AA389" s="589"/>
      <c r="AB389" s="589"/>
      <c r="AC389" s="589"/>
      <c r="AD389" s="589"/>
      <c r="AE389" s="589"/>
      <c r="AF389" s="589"/>
      <c r="AG389" s="589"/>
      <c r="AH389" s="589"/>
      <c r="AI389" s="589"/>
      <c r="AJ389" s="589"/>
      <c r="AK389" s="589"/>
      <c r="AL389" s="589"/>
      <c r="AM389" s="589"/>
      <c r="AN389" s="589"/>
      <c r="AO389" s="589"/>
      <c r="AP389" s="589"/>
      <c r="AQ389" s="589"/>
      <c r="AR389" s="589"/>
      <c r="AS389" s="589"/>
      <c r="AT389" s="589"/>
      <c r="AU389" s="589"/>
      <c r="AV389" s="589"/>
      <c r="AW389" s="589"/>
      <c r="AX389" s="589"/>
      <c r="AY389" s="589"/>
      <c r="AZ389" s="589"/>
      <c r="BA389" s="589"/>
      <c r="BB389" s="589"/>
      <c r="BC389" s="589"/>
      <c r="BD389" s="589"/>
      <c r="BE389" s="589"/>
      <c r="BF389" s="589"/>
      <c r="BG389" s="589"/>
      <c r="BH389" s="589"/>
      <c r="BI389" s="589"/>
      <c r="BJ389" s="589"/>
      <c r="BK389" s="589"/>
      <c r="BL389" s="589"/>
    </row>
    <row r="390" spans="1:64" ht="14.25" customHeight="1">
      <c r="A390" s="691" t="s">
        <v>727</v>
      </c>
      <c r="B390" s="589"/>
      <c r="C390" s="589"/>
      <c r="D390" s="589"/>
      <c r="E390" s="589"/>
      <c r="F390" s="591">
        <v>389</v>
      </c>
      <c r="G390" s="691" t="s">
        <v>197</v>
      </c>
      <c r="H390" s="691" t="s">
        <v>187</v>
      </c>
      <c r="I390" s="691" t="s">
        <v>137</v>
      </c>
      <c r="J390" s="691" t="s">
        <v>147</v>
      </c>
      <c r="K390" s="691" t="s">
        <v>125</v>
      </c>
      <c r="L390" s="691" t="s">
        <v>177</v>
      </c>
      <c r="M390" s="691" t="s">
        <v>207</v>
      </c>
      <c r="N390" s="691" t="s">
        <v>227</v>
      </c>
      <c r="O390" s="589"/>
      <c r="P390" s="717" cm="1">
        <f t="array" ref="P390">F390</f>
        <v>389</v>
      </c>
      <c r="Q390" s="620" t="str" cm="1">
        <f t="array" ref="Q390">RIGHT(G390,1)</f>
        <v>H</v>
      </c>
      <c r="R390" s="590" t="str" cm="1">
        <f t="array" ref="R390">RIGHT(H390,1)</f>
        <v>G</v>
      </c>
      <c r="S390" s="590" t="str" cm="1">
        <f t="array" ref="S390">RIGHT(I390,1)</f>
        <v>B</v>
      </c>
      <c r="T390" s="590" t="str" cm="1">
        <f t="array" ref="T390">RIGHT(J390,1)</f>
        <v>C</v>
      </c>
      <c r="U390" s="590" t="str" cm="1">
        <f t="array" ref="U390">RIGHT(K390,1)</f>
        <v>A</v>
      </c>
      <c r="V390" s="590" t="str" cm="1">
        <f t="array" ref="V390">RIGHT(L390,1)</f>
        <v>F</v>
      </c>
      <c r="W390" s="590" t="str" cm="1">
        <f t="array" ref="W390">RIGHT(M390,1)</f>
        <v>I</v>
      </c>
      <c r="X390" s="590" t="str" cm="1">
        <f t="array" ref="X390">RIGHT(N390,1)</f>
        <v>K</v>
      </c>
      <c r="Y390" s="708" cm="1">
        <f t="array" ref="Y390">COUNTIF($AA$2:$AA$9,Q390)+COUNTIF($AA$2:$AA$9,R390)+COUNTIF($AA$2:$AA$9,S390)+COUNTIF($AA$2:$AA$9,T390)+COUNTIF($AA$2:$AA$9,U390)+COUNTIF($AA$2:$AA$9,V390)+COUNTIF($AA$2:$AA$9,W390)+COUNTIF($AA$2:$AA$9,X390)</f>
        <v>4</v>
      </c>
      <c r="Z390" s="589"/>
      <c r="AA390" s="589"/>
      <c r="AB390" s="589"/>
      <c r="AC390" s="589"/>
      <c r="AD390" s="589"/>
      <c r="AE390" s="589"/>
      <c r="AF390" s="589"/>
      <c r="AG390" s="589"/>
      <c r="AH390" s="589"/>
      <c r="AI390" s="589"/>
      <c r="AJ390" s="589"/>
      <c r="AK390" s="589"/>
      <c r="AL390" s="589"/>
      <c r="AM390" s="589"/>
      <c r="AN390" s="589"/>
      <c r="AO390" s="589"/>
      <c r="AP390" s="589"/>
      <c r="AQ390" s="589"/>
      <c r="AR390" s="589"/>
      <c r="AS390" s="589"/>
      <c r="AT390" s="589"/>
      <c r="AU390" s="589"/>
      <c r="AV390" s="589"/>
      <c r="AW390" s="589"/>
      <c r="AX390" s="589"/>
      <c r="AY390" s="589"/>
      <c r="AZ390" s="589"/>
      <c r="BA390" s="589"/>
      <c r="BB390" s="589"/>
      <c r="BC390" s="589"/>
      <c r="BD390" s="589"/>
      <c r="BE390" s="589"/>
      <c r="BF390" s="589"/>
      <c r="BG390" s="589"/>
      <c r="BH390" s="589"/>
      <c r="BI390" s="589"/>
      <c r="BJ390" s="589"/>
      <c r="BK390" s="589"/>
      <c r="BL390" s="589"/>
    </row>
    <row r="391" spans="1:64" ht="14.25" customHeight="1">
      <c r="A391" s="691" t="s">
        <v>728</v>
      </c>
      <c r="B391" s="589"/>
      <c r="C391" s="589"/>
      <c r="D391" s="589"/>
      <c r="E391" s="589"/>
      <c r="F391" s="591">
        <v>390</v>
      </c>
      <c r="G391" s="691" t="s">
        <v>197</v>
      </c>
      <c r="H391" s="691" t="s">
        <v>187</v>
      </c>
      <c r="I391" s="691" t="s">
        <v>137</v>
      </c>
      <c r="J391" s="691" t="s">
        <v>147</v>
      </c>
      <c r="K391" s="691" t="s">
        <v>125</v>
      </c>
      <c r="L391" s="691" t="s">
        <v>177</v>
      </c>
      <c r="M391" s="691" t="s">
        <v>207</v>
      </c>
      <c r="N391" s="691" t="s">
        <v>217</v>
      </c>
      <c r="O391" s="589"/>
      <c r="P391" s="717" cm="1">
        <f t="array" ref="P391">F391</f>
        <v>390</v>
      </c>
      <c r="Q391" s="620" t="str" cm="1">
        <f t="array" ref="Q391">RIGHT(G391,1)</f>
        <v>H</v>
      </c>
      <c r="R391" s="590" t="str" cm="1">
        <f t="array" ref="R391">RIGHT(H391,1)</f>
        <v>G</v>
      </c>
      <c r="S391" s="590" t="str" cm="1">
        <f t="array" ref="S391">RIGHT(I391,1)</f>
        <v>B</v>
      </c>
      <c r="T391" s="590" t="str" cm="1">
        <f t="array" ref="T391">RIGHT(J391,1)</f>
        <v>C</v>
      </c>
      <c r="U391" s="590" t="str" cm="1">
        <f t="array" ref="U391">RIGHT(K391,1)</f>
        <v>A</v>
      </c>
      <c r="V391" s="590" t="str" cm="1">
        <f t="array" ref="V391">RIGHT(L391,1)</f>
        <v>F</v>
      </c>
      <c r="W391" s="590" t="str" cm="1">
        <f t="array" ref="W391">RIGHT(M391,1)</f>
        <v>I</v>
      </c>
      <c r="X391" s="590" t="str" cm="1">
        <f t="array" ref="X391">RIGHT(N391,1)</f>
        <v>J</v>
      </c>
      <c r="Y391" s="708" cm="1">
        <f t="array" ref="Y391">COUNTIF($AA$2:$AA$9,Q391)+COUNTIF($AA$2:$AA$9,R391)+COUNTIF($AA$2:$AA$9,S391)+COUNTIF($AA$2:$AA$9,T391)+COUNTIF($AA$2:$AA$9,U391)+COUNTIF($AA$2:$AA$9,V391)+COUNTIF($AA$2:$AA$9,W391)+COUNTIF($AA$2:$AA$9,X391)</f>
        <v>5</v>
      </c>
      <c r="Z391" s="589"/>
      <c r="AA391" s="589"/>
      <c r="AB391" s="589"/>
      <c r="AC391" s="589"/>
      <c r="AD391" s="589"/>
      <c r="AE391" s="589"/>
      <c r="AF391" s="589"/>
      <c r="AG391" s="589"/>
      <c r="AH391" s="589"/>
      <c r="AI391" s="589"/>
      <c r="AJ391" s="589"/>
      <c r="AK391" s="589"/>
      <c r="AL391" s="589"/>
      <c r="AM391" s="589"/>
      <c r="AN391" s="589"/>
      <c r="AO391" s="589"/>
      <c r="AP391" s="589"/>
      <c r="AQ391" s="589"/>
      <c r="AR391" s="589"/>
      <c r="AS391" s="589"/>
      <c r="AT391" s="589"/>
      <c r="AU391" s="589"/>
      <c r="AV391" s="589"/>
      <c r="AW391" s="589"/>
      <c r="AX391" s="589"/>
      <c r="AY391" s="589"/>
      <c r="AZ391" s="589"/>
      <c r="BA391" s="589"/>
      <c r="BB391" s="589"/>
      <c r="BC391" s="589"/>
      <c r="BD391" s="589"/>
      <c r="BE391" s="589"/>
      <c r="BF391" s="589"/>
      <c r="BG391" s="589"/>
      <c r="BH391" s="589"/>
      <c r="BI391" s="589"/>
      <c r="BJ391" s="589"/>
      <c r="BK391" s="589"/>
      <c r="BL391" s="589"/>
    </row>
    <row r="392" spans="1:64" ht="14.25" customHeight="1">
      <c r="A392" s="691" t="s">
        <v>729</v>
      </c>
      <c r="B392" s="589"/>
      <c r="C392" s="589"/>
      <c r="D392" s="589"/>
      <c r="E392" s="589"/>
      <c r="F392" s="591">
        <v>391</v>
      </c>
      <c r="G392" s="691" t="s">
        <v>167</v>
      </c>
      <c r="H392" s="691" t="s">
        <v>217</v>
      </c>
      <c r="I392" s="691" t="s">
        <v>137</v>
      </c>
      <c r="J392" s="691" t="s">
        <v>125</v>
      </c>
      <c r="K392" s="691" t="s">
        <v>207</v>
      </c>
      <c r="L392" s="691" t="s">
        <v>147</v>
      </c>
      <c r="M392" s="691" t="s">
        <v>237</v>
      </c>
      <c r="N392" s="691" t="s">
        <v>227</v>
      </c>
      <c r="O392" s="589"/>
      <c r="P392" s="717" cm="1">
        <f t="array" ref="P392">F392</f>
        <v>391</v>
      </c>
      <c r="Q392" s="620" t="str" cm="1">
        <f t="array" ref="Q392">RIGHT(G392,1)</f>
        <v>E</v>
      </c>
      <c r="R392" s="590" t="str" cm="1">
        <f t="array" ref="R392">RIGHT(H392,1)</f>
        <v>J</v>
      </c>
      <c r="S392" s="590" t="str" cm="1">
        <f t="array" ref="S392">RIGHT(I392,1)</f>
        <v>B</v>
      </c>
      <c r="T392" s="590" t="str" cm="1">
        <f t="array" ref="T392">RIGHT(J392,1)</f>
        <v>A</v>
      </c>
      <c r="U392" s="590" t="str" cm="1">
        <f t="array" ref="U392">RIGHT(K392,1)</f>
        <v>I</v>
      </c>
      <c r="V392" s="590" t="str" cm="1">
        <f t="array" ref="V392">RIGHT(L392,1)</f>
        <v>C</v>
      </c>
      <c r="W392" s="590" t="str" cm="1">
        <f t="array" ref="W392">RIGHT(M392,1)</f>
        <v>L</v>
      </c>
      <c r="X392" s="590" t="str" cm="1">
        <f t="array" ref="X392">RIGHT(N392,1)</f>
        <v>K</v>
      </c>
      <c r="Y392" s="708" cm="1">
        <f t="array" ref="Y392">COUNTIF($AA$2:$AA$9,Q392)+COUNTIF($AA$2:$AA$9,R392)+COUNTIF($AA$2:$AA$9,S392)+COUNTIF($AA$2:$AA$9,T392)+COUNTIF($AA$2:$AA$9,U392)+COUNTIF($AA$2:$AA$9,V392)+COUNTIF($AA$2:$AA$9,W392)+COUNTIF($AA$2:$AA$9,X392)</f>
        <v>6</v>
      </c>
      <c r="Z392" s="589"/>
      <c r="AA392" s="589"/>
      <c r="AB392" s="589"/>
      <c r="AC392" s="589"/>
      <c r="AD392" s="589"/>
      <c r="AE392" s="589"/>
      <c r="AF392" s="589"/>
      <c r="AG392" s="589"/>
      <c r="AH392" s="589"/>
      <c r="AI392" s="589"/>
      <c r="AJ392" s="589"/>
      <c r="AK392" s="589"/>
      <c r="AL392" s="589"/>
      <c r="AM392" s="589"/>
      <c r="AN392" s="589"/>
      <c r="AO392" s="589"/>
      <c r="AP392" s="589"/>
      <c r="AQ392" s="589"/>
      <c r="AR392" s="589"/>
      <c r="AS392" s="589"/>
      <c r="AT392" s="589"/>
      <c r="AU392" s="589"/>
      <c r="AV392" s="589"/>
      <c r="AW392" s="589"/>
      <c r="AX392" s="589"/>
      <c r="AY392" s="589"/>
      <c r="AZ392" s="589"/>
      <c r="BA392" s="589"/>
      <c r="BB392" s="589"/>
      <c r="BC392" s="589"/>
      <c r="BD392" s="589"/>
      <c r="BE392" s="589"/>
      <c r="BF392" s="589"/>
      <c r="BG392" s="589"/>
      <c r="BH392" s="589"/>
      <c r="BI392" s="589"/>
      <c r="BJ392" s="589"/>
      <c r="BK392" s="589"/>
      <c r="BL392" s="589"/>
    </row>
    <row r="393" spans="1:64" ht="14.25" customHeight="1">
      <c r="A393" s="691" t="s">
        <v>730</v>
      </c>
      <c r="B393" s="589"/>
      <c r="C393" s="589"/>
      <c r="D393" s="589"/>
      <c r="E393" s="589"/>
      <c r="F393" s="591">
        <v>392</v>
      </c>
      <c r="G393" s="691" t="s">
        <v>167</v>
      </c>
      <c r="H393" s="691" t="s">
        <v>217</v>
      </c>
      <c r="I393" s="691" t="s">
        <v>137</v>
      </c>
      <c r="J393" s="691" t="s">
        <v>147</v>
      </c>
      <c r="K393" s="691" t="s">
        <v>125</v>
      </c>
      <c r="L393" s="691" t="s">
        <v>197</v>
      </c>
      <c r="M393" s="691" t="s">
        <v>237</v>
      </c>
      <c r="N393" s="691" t="s">
        <v>227</v>
      </c>
      <c r="O393" s="589"/>
      <c r="P393" s="717" cm="1">
        <f t="array" ref="P393">F393</f>
        <v>392</v>
      </c>
      <c r="Q393" s="620" t="str" cm="1">
        <f t="array" ref="Q393">RIGHT(G393,1)</f>
        <v>E</v>
      </c>
      <c r="R393" s="590" t="str" cm="1">
        <f t="array" ref="R393">RIGHT(H393,1)</f>
        <v>J</v>
      </c>
      <c r="S393" s="590" t="str" cm="1">
        <f t="array" ref="S393">RIGHT(I393,1)</f>
        <v>B</v>
      </c>
      <c r="T393" s="590" t="str" cm="1">
        <f t="array" ref="T393">RIGHT(J393,1)</f>
        <v>C</v>
      </c>
      <c r="U393" s="590" t="str" cm="1">
        <f t="array" ref="U393">RIGHT(K393,1)</f>
        <v>A</v>
      </c>
      <c r="V393" s="590" t="str" cm="1">
        <f t="array" ref="V393">RIGHT(L393,1)</f>
        <v>H</v>
      </c>
      <c r="W393" s="590" t="str" cm="1">
        <f t="array" ref="W393">RIGHT(M393,1)</f>
        <v>L</v>
      </c>
      <c r="X393" s="590" t="str" cm="1">
        <f t="array" ref="X393">RIGHT(N393,1)</f>
        <v>K</v>
      </c>
      <c r="Y393" s="708" cm="1">
        <f t="array" ref="Y393">COUNTIF($AA$2:$AA$9,Q393)+COUNTIF($AA$2:$AA$9,R393)+COUNTIF($AA$2:$AA$9,S393)+COUNTIF($AA$2:$AA$9,T393)+COUNTIF($AA$2:$AA$9,U393)+COUNTIF($AA$2:$AA$9,V393)+COUNTIF($AA$2:$AA$9,W393)+COUNTIF($AA$2:$AA$9,X393)</f>
        <v>5</v>
      </c>
      <c r="Z393" s="589"/>
      <c r="AA393" s="589"/>
      <c r="AB393" s="589"/>
      <c r="AC393" s="589"/>
      <c r="AD393" s="589"/>
      <c r="AE393" s="589"/>
      <c r="AF393" s="589"/>
      <c r="AG393" s="589"/>
      <c r="AH393" s="589"/>
      <c r="AI393" s="589"/>
      <c r="AJ393" s="589"/>
      <c r="AK393" s="589"/>
      <c r="AL393" s="589"/>
      <c r="AM393" s="589"/>
      <c r="AN393" s="589"/>
      <c r="AO393" s="589"/>
      <c r="AP393" s="589"/>
      <c r="AQ393" s="589"/>
      <c r="AR393" s="589"/>
      <c r="AS393" s="589"/>
      <c r="AT393" s="589"/>
      <c r="AU393" s="589"/>
      <c r="AV393" s="589"/>
      <c r="AW393" s="589"/>
      <c r="AX393" s="589"/>
      <c r="AY393" s="589"/>
      <c r="AZ393" s="589"/>
      <c r="BA393" s="589"/>
      <c r="BB393" s="589"/>
      <c r="BC393" s="589"/>
      <c r="BD393" s="589"/>
      <c r="BE393" s="589"/>
      <c r="BF393" s="589"/>
      <c r="BG393" s="589"/>
      <c r="BH393" s="589"/>
      <c r="BI393" s="589"/>
      <c r="BJ393" s="589"/>
      <c r="BK393" s="589"/>
      <c r="BL393" s="589"/>
    </row>
    <row r="394" spans="1:64" ht="14.25" customHeight="1">
      <c r="A394" s="691" t="s">
        <v>731</v>
      </c>
      <c r="B394" s="589"/>
      <c r="C394" s="589"/>
      <c r="D394" s="589"/>
      <c r="E394" s="589"/>
      <c r="F394" s="591">
        <v>393</v>
      </c>
      <c r="G394" s="691" t="s">
        <v>167</v>
      </c>
      <c r="H394" s="691" t="s">
        <v>207</v>
      </c>
      <c r="I394" s="691" t="s">
        <v>137</v>
      </c>
      <c r="J394" s="691" t="s">
        <v>147</v>
      </c>
      <c r="K394" s="691" t="s">
        <v>125</v>
      </c>
      <c r="L394" s="691" t="s">
        <v>197</v>
      </c>
      <c r="M394" s="691" t="s">
        <v>237</v>
      </c>
      <c r="N394" s="691" t="s">
        <v>227</v>
      </c>
      <c r="O394" s="589"/>
      <c r="P394" s="717" cm="1">
        <f t="array" ref="P394">F394</f>
        <v>393</v>
      </c>
      <c r="Q394" s="620" t="str" cm="1">
        <f t="array" ref="Q394">RIGHT(G394,1)</f>
        <v>E</v>
      </c>
      <c r="R394" s="590" t="str" cm="1">
        <f t="array" ref="R394">RIGHT(H394,1)</f>
        <v>I</v>
      </c>
      <c r="S394" s="590" t="str" cm="1">
        <f t="array" ref="S394">RIGHT(I394,1)</f>
        <v>B</v>
      </c>
      <c r="T394" s="590" t="str" cm="1">
        <f t="array" ref="T394">RIGHT(J394,1)</f>
        <v>C</v>
      </c>
      <c r="U394" s="590" t="str" cm="1">
        <f t="array" ref="U394">RIGHT(K394,1)</f>
        <v>A</v>
      </c>
      <c r="V394" s="590" t="str" cm="1">
        <f t="array" ref="V394">RIGHT(L394,1)</f>
        <v>H</v>
      </c>
      <c r="W394" s="590" t="str" cm="1">
        <f t="array" ref="W394">RIGHT(M394,1)</f>
        <v>L</v>
      </c>
      <c r="X394" s="590" t="str" cm="1">
        <f t="array" ref="X394">RIGHT(N394,1)</f>
        <v>K</v>
      </c>
      <c r="Y394" s="708" cm="1">
        <f t="array" ref="Y394">COUNTIF($AA$2:$AA$9,Q394)+COUNTIF($AA$2:$AA$9,R394)+COUNTIF($AA$2:$AA$9,S394)+COUNTIF($AA$2:$AA$9,T394)+COUNTIF($AA$2:$AA$9,U394)+COUNTIF($AA$2:$AA$9,V394)+COUNTIF($AA$2:$AA$9,W394)+COUNTIF($AA$2:$AA$9,X394)</f>
        <v>5</v>
      </c>
      <c r="Z394" s="589"/>
      <c r="AA394" s="589"/>
      <c r="AB394" s="589"/>
      <c r="AC394" s="589"/>
      <c r="AD394" s="589"/>
      <c r="AE394" s="589"/>
      <c r="AF394" s="589"/>
      <c r="AG394" s="589"/>
      <c r="AH394" s="589"/>
      <c r="AI394" s="589"/>
      <c r="AJ394" s="589"/>
      <c r="AK394" s="589"/>
      <c r="AL394" s="589"/>
      <c r="AM394" s="589"/>
      <c r="AN394" s="589"/>
      <c r="AO394" s="589"/>
      <c r="AP394" s="589"/>
      <c r="AQ394" s="589"/>
      <c r="AR394" s="589"/>
      <c r="AS394" s="589"/>
      <c r="AT394" s="589"/>
      <c r="AU394" s="589"/>
      <c r="AV394" s="589"/>
      <c r="AW394" s="589"/>
      <c r="AX394" s="589"/>
      <c r="AY394" s="589"/>
      <c r="AZ394" s="589"/>
      <c r="BA394" s="589"/>
      <c r="BB394" s="589"/>
      <c r="BC394" s="589"/>
      <c r="BD394" s="589"/>
      <c r="BE394" s="589"/>
      <c r="BF394" s="589"/>
      <c r="BG394" s="589"/>
      <c r="BH394" s="589"/>
      <c r="BI394" s="589"/>
      <c r="BJ394" s="589"/>
      <c r="BK394" s="589"/>
      <c r="BL394" s="589"/>
    </row>
    <row r="395" spans="1:64" ht="14.25" customHeight="1">
      <c r="A395" s="691" t="s">
        <v>732</v>
      </c>
      <c r="B395" s="589"/>
      <c r="C395" s="589"/>
      <c r="D395" s="589"/>
      <c r="E395" s="589"/>
      <c r="F395" s="591">
        <v>394</v>
      </c>
      <c r="G395" s="691" t="s">
        <v>167</v>
      </c>
      <c r="H395" s="691" t="s">
        <v>217</v>
      </c>
      <c r="I395" s="691" t="s">
        <v>137</v>
      </c>
      <c r="J395" s="691" t="s">
        <v>147</v>
      </c>
      <c r="K395" s="691" t="s">
        <v>125</v>
      </c>
      <c r="L395" s="691" t="s">
        <v>197</v>
      </c>
      <c r="M395" s="691" t="s">
        <v>237</v>
      </c>
      <c r="N395" s="691" t="s">
        <v>207</v>
      </c>
      <c r="O395" s="589"/>
      <c r="P395" s="717" cm="1">
        <f t="array" ref="P395">F395</f>
        <v>394</v>
      </c>
      <c r="Q395" s="620" t="str" cm="1">
        <f t="array" ref="Q395">RIGHT(G395,1)</f>
        <v>E</v>
      </c>
      <c r="R395" s="590" t="str" cm="1">
        <f t="array" ref="R395">RIGHT(H395,1)</f>
        <v>J</v>
      </c>
      <c r="S395" s="590" t="str" cm="1">
        <f t="array" ref="S395">RIGHT(I395,1)</f>
        <v>B</v>
      </c>
      <c r="T395" s="590" t="str" cm="1">
        <f t="array" ref="T395">RIGHT(J395,1)</f>
        <v>C</v>
      </c>
      <c r="U395" s="590" t="str" cm="1">
        <f t="array" ref="U395">RIGHT(K395,1)</f>
        <v>A</v>
      </c>
      <c r="V395" s="590" t="str" cm="1">
        <f t="array" ref="V395">RIGHT(L395,1)</f>
        <v>H</v>
      </c>
      <c r="W395" s="590" t="str" cm="1">
        <f t="array" ref="W395">RIGHT(M395,1)</f>
        <v>L</v>
      </c>
      <c r="X395" s="590" t="str" cm="1">
        <f t="array" ref="X395">RIGHT(N395,1)</f>
        <v>I</v>
      </c>
      <c r="Y395" s="708" cm="1">
        <f t="array" ref="Y395">COUNTIF($AA$2:$AA$9,Q395)+COUNTIF($AA$2:$AA$9,R395)+COUNTIF($AA$2:$AA$9,S395)+COUNTIF($AA$2:$AA$9,T395)+COUNTIF($AA$2:$AA$9,U395)+COUNTIF($AA$2:$AA$9,V395)+COUNTIF($AA$2:$AA$9,W395)+COUNTIF($AA$2:$AA$9,X395)</f>
        <v>6</v>
      </c>
      <c r="Z395" s="589"/>
      <c r="AA395" s="589"/>
      <c r="AB395" s="589"/>
      <c r="AC395" s="589"/>
      <c r="AD395" s="589"/>
      <c r="AE395" s="589"/>
      <c r="AF395" s="589"/>
      <c r="AG395" s="589"/>
      <c r="AH395" s="589"/>
      <c r="AI395" s="589"/>
      <c r="AJ395" s="589"/>
      <c r="AK395" s="589"/>
      <c r="AL395" s="589"/>
      <c r="AM395" s="589"/>
      <c r="AN395" s="589"/>
      <c r="AO395" s="589"/>
      <c r="AP395" s="589"/>
      <c r="AQ395" s="589"/>
      <c r="AR395" s="589"/>
      <c r="AS395" s="589"/>
      <c r="AT395" s="589"/>
      <c r="AU395" s="589"/>
      <c r="AV395" s="589"/>
      <c r="AW395" s="589"/>
      <c r="AX395" s="589"/>
      <c r="AY395" s="589"/>
      <c r="AZ395" s="589"/>
      <c r="BA395" s="589"/>
      <c r="BB395" s="589"/>
      <c r="BC395" s="589"/>
      <c r="BD395" s="589"/>
      <c r="BE395" s="589"/>
      <c r="BF395" s="589"/>
      <c r="BG395" s="589"/>
      <c r="BH395" s="589"/>
      <c r="BI395" s="589"/>
      <c r="BJ395" s="589"/>
      <c r="BK395" s="589"/>
      <c r="BL395" s="589"/>
    </row>
    <row r="396" spans="1:64" ht="14.25" customHeight="1">
      <c r="A396" s="691" t="s">
        <v>733</v>
      </c>
      <c r="B396" s="589"/>
      <c r="C396" s="589"/>
      <c r="D396" s="589"/>
      <c r="E396" s="589"/>
      <c r="F396" s="591">
        <v>395</v>
      </c>
      <c r="G396" s="691" t="s">
        <v>167</v>
      </c>
      <c r="H396" s="691" t="s">
        <v>217</v>
      </c>
      <c r="I396" s="691" t="s">
        <v>137</v>
      </c>
      <c r="J396" s="691" t="s">
        <v>147</v>
      </c>
      <c r="K396" s="691" t="s">
        <v>125</v>
      </c>
      <c r="L396" s="691" t="s">
        <v>197</v>
      </c>
      <c r="M396" s="691" t="s">
        <v>207</v>
      </c>
      <c r="N396" s="691" t="s">
        <v>227</v>
      </c>
      <c r="O396" s="589"/>
      <c r="P396" s="717" cm="1">
        <f t="array" ref="P396">F396</f>
        <v>395</v>
      </c>
      <c r="Q396" s="620" t="str" cm="1">
        <f t="array" ref="Q396">RIGHT(G396,1)</f>
        <v>E</v>
      </c>
      <c r="R396" s="590" t="str" cm="1">
        <f t="array" ref="R396">RIGHT(H396,1)</f>
        <v>J</v>
      </c>
      <c r="S396" s="590" t="str" cm="1">
        <f t="array" ref="S396">RIGHT(I396,1)</f>
        <v>B</v>
      </c>
      <c r="T396" s="590" t="str" cm="1">
        <f t="array" ref="T396">RIGHT(J396,1)</f>
        <v>C</v>
      </c>
      <c r="U396" s="590" t="str" cm="1">
        <f t="array" ref="U396">RIGHT(K396,1)</f>
        <v>A</v>
      </c>
      <c r="V396" s="590" t="str" cm="1">
        <f t="array" ref="V396">RIGHT(L396,1)</f>
        <v>H</v>
      </c>
      <c r="W396" s="590" t="str" cm="1">
        <f t="array" ref="W396">RIGHT(M396,1)</f>
        <v>I</v>
      </c>
      <c r="X396" s="590" t="str" cm="1">
        <f t="array" ref="X396">RIGHT(N396,1)</f>
        <v>K</v>
      </c>
      <c r="Y396" s="708" cm="1">
        <f t="array" ref="Y396">COUNTIF($AA$2:$AA$9,Q396)+COUNTIF($AA$2:$AA$9,R396)+COUNTIF($AA$2:$AA$9,S396)+COUNTIF($AA$2:$AA$9,T396)+COUNTIF($AA$2:$AA$9,U396)+COUNTIF($AA$2:$AA$9,V396)+COUNTIF($AA$2:$AA$9,W396)+COUNTIF($AA$2:$AA$9,X396)</f>
        <v>5</v>
      </c>
      <c r="Z396" s="589"/>
      <c r="AA396" s="589"/>
      <c r="AB396" s="589"/>
      <c r="AC396" s="589"/>
      <c r="AD396" s="589"/>
      <c r="AE396" s="589"/>
      <c r="AF396" s="589"/>
      <c r="AG396" s="589"/>
      <c r="AH396" s="589"/>
      <c r="AI396" s="589"/>
      <c r="AJ396" s="589"/>
      <c r="AK396" s="589"/>
      <c r="AL396" s="589"/>
      <c r="AM396" s="589"/>
      <c r="AN396" s="589"/>
      <c r="AO396" s="589"/>
      <c r="AP396" s="589"/>
      <c r="AQ396" s="589"/>
      <c r="AR396" s="589"/>
      <c r="AS396" s="589"/>
      <c r="AT396" s="589"/>
      <c r="AU396" s="589"/>
      <c r="AV396" s="589"/>
      <c r="AW396" s="589"/>
      <c r="AX396" s="589"/>
      <c r="AY396" s="589"/>
      <c r="AZ396" s="589"/>
      <c r="BA396" s="589"/>
      <c r="BB396" s="589"/>
      <c r="BC396" s="589"/>
      <c r="BD396" s="589"/>
      <c r="BE396" s="589"/>
      <c r="BF396" s="589"/>
      <c r="BG396" s="589"/>
      <c r="BH396" s="589"/>
      <c r="BI396" s="589"/>
      <c r="BJ396" s="589"/>
      <c r="BK396" s="589"/>
      <c r="BL396" s="589"/>
    </row>
    <row r="397" spans="1:64" ht="14.25" customHeight="1">
      <c r="A397" s="691" t="s">
        <v>734</v>
      </c>
      <c r="B397" s="589"/>
      <c r="C397" s="589"/>
      <c r="D397" s="589"/>
      <c r="E397" s="589"/>
      <c r="F397" s="591">
        <v>396</v>
      </c>
      <c r="G397" s="691" t="s">
        <v>167</v>
      </c>
      <c r="H397" s="691" t="s">
        <v>217</v>
      </c>
      <c r="I397" s="691" t="s">
        <v>137</v>
      </c>
      <c r="J397" s="691" t="s">
        <v>147</v>
      </c>
      <c r="K397" s="691" t="s">
        <v>125</v>
      </c>
      <c r="L397" s="691" t="s">
        <v>187</v>
      </c>
      <c r="M397" s="691" t="s">
        <v>237</v>
      </c>
      <c r="N397" s="691" t="s">
        <v>227</v>
      </c>
      <c r="O397" s="589"/>
      <c r="P397" s="717" cm="1">
        <f t="array" ref="P397">F397</f>
        <v>396</v>
      </c>
      <c r="Q397" s="620" t="str" cm="1">
        <f t="array" ref="Q397">RIGHT(G397,1)</f>
        <v>E</v>
      </c>
      <c r="R397" s="590" t="str" cm="1">
        <f t="array" ref="R397">RIGHT(H397,1)</f>
        <v>J</v>
      </c>
      <c r="S397" s="590" t="str" cm="1">
        <f t="array" ref="S397">RIGHT(I397,1)</f>
        <v>B</v>
      </c>
      <c r="T397" s="590" t="str" cm="1">
        <f t="array" ref="T397">RIGHT(J397,1)</f>
        <v>C</v>
      </c>
      <c r="U397" s="590" t="str" cm="1">
        <f t="array" ref="U397">RIGHT(K397,1)</f>
        <v>A</v>
      </c>
      <c r="V397" s="590" t="str" cm="1">
        <f t="array" ref="V397">RIGHT(L397,1)</f>
        <v>G</v>
      </c>
      <c r="W397" s="590" t="str" cm="1">
        <f t="array" ref="W397">RIGHT(M397,1)</f>
        <v>L</v>
      </c>
      <c r="X397" s="590" t="str" cm="1">
        <f t="array" ref="X397">RIGHT(N397,1)</f>
        <v>K</v>
      </c>
      <c r="Y397" s="708" cm="1">
        <f t="array" ref="Y397">COUNTIF($AA$2:$AA$9,Q397)+COUNTIF($AA$2:$AA$9,R397)+COUNTIF($AA$2:$AA$9,S397)+COUNTIF($AA$2:$AA$9,T397)+COUNTIF($AA$2:$AA$9,U397)+COUNTIF($AA$2:$AA$9,V397)+COUNTIF($AA$2:$AA$9,W397)+COUNTIF($AA$2:$AA$9,X397)</f>
        <v>5</v>
      </c>
      <c r="Z397" s="589"/>
      <c r="AA397" s="589"/>
      <c r="AB397" s="589"/>
      <c r="AC397" s="589"/>
      <c r="AD397" s="589"/>
      <c r="AE397" s="589"/>
      <c r="AF397" s="589"/>
      <c r="AG397" s="589"/>
      <c r="AH397" s="589"/>
      <c r="AI397" s="589"/>
      <c r="AJ397" s="589"/>
      <c r="AK397" s="589"/>
      <c r="AL397" s="589"/>
      <c r="AM397" s="589"/>
      <c r="AN397" s="589"/>
      <c r="AO397" s="589"/>
      <c r="AP397" s="589"/>
      <c r="AQ397" s="589"/>
      <c r="AR397" s="589"/>
      <c r="AS397" s="589"/>
      <c r="AT397" s="589"/>
      <c r="AU397" s="589"/>
      <c r="AV397" s="589"/>
      <c r="AW397" s="589"/>
      <c r="AX397" s="589"/>
      <c r="AY397" s="589"/>
      <c r="AZ397" s="589"/>
      <c r="BA397" s="589"/>
      <c r="BB397" s="589"/>
      <c r="BC397" s="589"/>
      <c r="BD397" s="589"/>
      <c r="BE397" s="589"/>
      <c r="BF397" s="589"/>
      <c r="BG397" s="589"/>
      <c r="BH397" s="589"/>
      <c r="BI397" s="589"/>
      <c r="BJ397" s="589"/>
      <c r="BK397" s="589"/>
      <c r="BL397" s="589"/>
    </row>
    <row r="398" spans="1:64" ht="14.25" customHeight="1">
      <c r="A398" s="691" t="s">
        <v>735</v>
      </c>
      <c r="B398" s="589"/>
      <c r="C398" s="589"/>
      <c r="D398" s="589"/>
      <c r="E398" s="589"/>
      <c r="F398" s="591">
        <v>397</v>
      </c>
      <c r="G398" s="691" t="s">
        <v>167</v>
      </c>
      <c r="H398" s="691" t="s">
        <v>187</v>
      </c>
      <c r="I398" s="691" t="s">
        <v>137</v>
      </c>
      <c r="J398" s="691" t="s">
        <v>125</v>
      </c>
      <c r="K398" s="691" t="s">
        <v>207</v>
      </c>
      <c r="L398" s="691" t="s">
        <v>147</v>
      </c>
      <c r="M398" s="691" t="s">
        <v>237</v>
      </c>
      <c r="N398" s="691" t="s">
        <v>227</v>
      </c>
      <c r="O398" s="589"/>
      <c r="P398" s="717" cm="1">
        <f t="array" ref="P398">F398</f>
        <v>397</v>
      </c>
      <c r="Q398" s="620" t="str" cm="1">
        <f t="array" ref="Q398">RIGHT(G398,1)</f>
        <v>E</v>
      </c>
      <c r="R398" s="590" t="str" cm="1">
        <f t="array" ref="R398">RIGHT(H398,1)</f>
        <v>G</v>
      </c>
      <c r="S398" s="590" t="str" cm="1">
        <f t="array" ref="S398">RIGHT(I398,1)</f>
        <v>B</v>
      </c>
      <c r="T398" s="590" t="str" cm="1">
        <f t="array" ref="T398">RIGHT(J398,1)</f>
        <v>A</v>
      </c>
      <c r="U398" s="590" t="str" cm="1">
        <f t="array" ref="U398">RIGHT(K398,1)</f>
        <v>I</v>
      </c>
      <c r="V398" s="590" t="str" cm="1">
        <f t="array" ref="V398">RIGHT(L398,1)</f>
        <v>C</v>
      </c>
      <c r="W398" s="590" t="str" cm="1">
        <f t="array" ref="W398">RIGHT(M398,1)</f>
        <v>L</v>
      </c>
      <c r="X398" s="590" t="str" cm="1">
        <f t="array" ref="X398">RIGHT(N398,1)</f>
        <v>K</v>
      </c>
      <c r="Y398" s="708" cm="1">
        <f t="array" ref="Y398">COUNTIF($AA$2:$AA$9,Q398)+COUNTIF($AA$2:$AA$9,R398)+COUNTIF($AA$2:$AA$9,S398)+COUNTIF($AA$2:$AA$9,T398)+COUNTIF($AA$2:$AA$9,U398)+COUNTIF($AA$2:$AA$9,V398)+COUNTIF($AA$2:$AA$9,W398)+COUNTIF($AA$2:$AA$9,X398)</f>
        <v>5</v>
      </c>
      <c r="Z398" s="589"/>
      <c r="AA398" s="589"/>
      <c r="AB398" s="589"/>
      <c r="AC398" s="589"/>
      <c r="AD398" s="589"/>
      <c r="AE398" s="589"/>
      <c r="AF398" s="589"/>
      <c r="AG398" s="589"/>
      <c r="AH398" s="589"/>
      <c r="AI398" s="589"/>
      <c r="AJ398" s="589"/>
      <c r="AK398" s="589"/>
      <c r="AL398" s="589"/>
      <c r="AM398" s="589"/>
      <c r="AN398" s="589"/>
      <c r="AO398" s="589"/>
      <c r="AP398" s="589"/>
      <c r="AQ398" s="589"/>
      <c r="AR398" s="589"/>
      <c r="AS398" s="589"/>
      <c r="AT398" s="589"/>
      <c r="AU398" s="589"/>
      <c r="AV398" s="589"/>
      <c r="AW398" s="589"/>
      <c r="AX398" s="589"/>
      <c r="AY398" s="589"/>
      <c r="AZ398" s="589"/>
      <c r="BA398" s="589"/>
      <c r="BB398" s="589"/>
      <c r="BC398" s="589"/>
      <c r="BD398" s="589"/>
      <c r="BE398" s="589"/>
      <c r="BF398" s="589"/>
      <c r="BG398" s="589"/>
      <c r="BH398" s="589"/>
      <c r="BI398" s="589"/>
      <c r="BJ398" s="589"/>
      <c r="BK398" s="589"/>
      <c r="BL398" s="589"/>
    </row>
    <row r="399" spans="1:64" ht="14.25" customHeight="1">
      <c r="A399" s="691" t="s">
        <v>736</v>
      </c>
      <c r="B399" s="589"/>
      <c r="C399" s="589"/>
      <c r="D399" s="589"/>
      <c r="E399" s="589"/>
      <c r="F399" s="591">
        <v>398</v>
      </c>
      <c r="G399" s="691" t="s">
        <v>167</v>
      </c>
      <c r="H399" s="691" t="s">
        <v>217</v>
      </c>
      <c r="I399" s="691" t="s">
        <v>137</v>
      </c>
      <c r="J399" s="691" t="s">
        <v>147</v>
      </c>
      <c r="K399" s="691" t="s">
        <v>125</v>
      </c>
      <c r="L399" s="691" t="s">
        <v>187</v>
      </c>
      <c r="M399" s="691" t="s">
        <v>237</v>
      </c>
      <c r="N399" s="691" t="s">
        <v>207</v>
      </c>
      <c r="O399" s="589"/>
      <c r="P399" s="717" cm="1">
        <f t="array" ref="P399">F399</f>
        <v>398</v>
      </c>
      <c r="Q399" s="620" t="str" cm="1">
        <f t="array" ref="Q399">RIGHT(G399,1)</f>
        <v>E</v>
      </c>
      <c r="R399" s="590" t="str" cm="1">
        <f t="array" ref="R399">RIGHT(H399,1)</f>
        <v>J</v>
      </c>
      <c r="S399" s="590" t="str" cm="1">
        <f t="array" ref="S399">RIGHT(I399,1)</f>
        <v>B</v>
      </c>
      <c r="T399" s="590" t="str" cm="1">
        <f t="array" ref="T399">RIGHT(J399,1)</f>
        <v>C</v>
      </c>
      <c r="U399" s="590" t="str" cm="1">
        <f t="array" ref="U399">RIGHT(K399,1)</f>
        <v>A</v>
      </c>
      <c r="V399" s="590" t="str" cm="1">
        <f t="array" ref="V399">RIGHT(L399,1)</f>
        <v>G</v>
      </c>
      <c r="W399" s="590" t="str" cm="1">
        <f t="array" ref="W399">RIGHT(M399,1)</f>
        <v>L</v>
      </c>
      <c r="X399" s="590" t="str" cm="1">
        <f t="array" ref="X399">RIGHT(N399,1)</f>
        <v>I</v>
      </c>
      <c r="Y399" s="708" cm="1">
        <f t="array" ref="Y399">COUNTIF($AA$2:$AA$9,Q399)+COUNTIF($AA$2:$AA$9,R399)+COUNTIF($AA$2:$AA$9,S399)+COUNTIF($AA$2:$AA$9,T399)+COUNTIF($AA$2:$AA$9,U399)+COUNTIF($AA$2:$AA$9,V399)+COUNTIF($AA$2:$AA$9,W399)+COUNTIF($AA$2:$AA$9,X399)</f>
        <v>6</v>
      </c>
      <c r="Z399" s="589"/>
      <c r="AA399" s="589"/>
      <c r="AB399" s="589"/>
      <c r="AC399" s="589"/>
      <c r="AD399" s="589"/>
      <c r="AE399" s="589"/>
      <c r="AF399" s="589"/>
      <c r="AG399" s="589"/>
      <c r="AH399" s="589"/>
      <c r="AI399" s="589"/>
      <c r="AJ399" s="589"/>
      <c r="AK399" s="589"/>
      <c r="AL399" s="589"/>
      <c r="AM399" s="589"/>
      <c r="AN399" s="589"/>
      <c r="AO399" s="589"/>
      <c r="AP399" s="589"/>
      <c r="AQ399" s="589"/>
      <c r="AR399" s="589"/>
      <c r="AS399" s="589"/>
      <c r="AT399" s="589"/>
      <c r="AU399" s="589"/>
      <c r="AV399" s="589"/>
      <c r="AW399" s="589"/>
      <c r="AX399" s="589"/>
      <c r="AY399" s="589"/>
      <c r="AZ399" s="589"/>
      <c r="BA399" s="589"/>
      <c r="BB399" s="589"/>
      <c r="BC399" s="589"/>
      <c r="BD399" s="589"/>
      <c r="BE399" s="589"/>
      <c r="BF399" s="589"/>
      <c r="BG399" s="589"/>
      <c r="BH399" s="589"/>
      <c r="BI399" s="589"/>
      <c r="BJ399" s="589"/>
      <c r="BK399" s="589"/>
      <c r="BL399" s="589"/>
    </row>
    <row r="400" spans="1:64" ht="14.25" customHeight="1">
      <c r="A400" s="691" t="s">
        <v>737</v>
      </c>
      <c r="B400" s="589"/>
      <c r="C400" s="589"/>
      <c r="D400" s="589"/>
      <c r="E400" s="589"/>
      <c r="F400" s="591">
        <v>399</v>
      </c>
      <c r="G400" s="691" t="s">
        <v>167</v>
      </c>
      <c r="H400" s="691" t="s">
        <v>217</v>
      </c>
      <c r="I400" s="691" t="s">
        <v>137</v>
      </c>
      <c r="J400" s="691" t="s">
        <v>147</v>
      </c>
      <c r="K400" s="691" t="s">
        <v>125</v>
      </c>
      <c r="L400" s="691" t="s">
        <v>187</v>
      </c>
      <c r="M400" s="691" t="s">
        <v>207</v>
      </c>
      <c r="N400" s="691" t="s">
        <v>227</v>
      </c>
      <c r="O400" s="589"/>
      <c r="P400" s="717" cm="1">
        <f t="array" ref="P400">F400</f>
        <v>399</v>
      </c>
      <c r="Q400" s="620" t="str" cm="1">
        <f t="array" ref="Q400">RIGHT(G400,1)</f>
        <v>E</v>
      </c>
      <c r="R400" s="590" t="str" cm="1">
        <f t="array" ref="R400">RIGHT(H400,1)</f>
        <v>J</v>
      </c>
      <c r="S400" s="590" t="str" cm="1">
        <f t="array" ref="S400">RIGHT(I400,1)</f>
        <v>B</v>
      </c>
      <c r="T400" s="590" t="str" cm="1">
        <f t="array" ref="T400">RIGHT(J400,1)</f>
        <v>C</v>
      </c>
      <c r="U400" s="590" t="str" cm="1">
        <f t="array" ref="U400">RIGHT(K400,1)</f>
        <v>A</v>
      </c>
      <c r="V400" s="590" t="str" cm="1">
        <f t="array" ref="V400">RIGHT(L400,1)</f>
        <v>G</v>
      </c>
      <c r="W400" s="590" t="str" cm="1">
        <f t="array" ref="W400">RIGHT(M400,1)</f>
        <v>I</v>
      </c>
      <c r="X400" s="590" t="str" cm="1">
        <f t="array" ref="X400">RIGHT(N400,1)</f>
        <v>K</v>
      </c>
      <c r="Y400" s="708" cm="1">
        <f t="array" ref="Y400">COUNTIF($AA$2:$AA$9,Q400)+COUNTIF($AA$2:$AA$9,R400)+COUNTIF($AA$2:$AA$9,S400)+COUNTIF($AA$2:$AA$9,T400)+COUNTIF($AA$2:$AA$9,U400)+COUNTIF($AA$2:$AA$9,V400)+COUNTIF($AA$2:$AA$9,W400)+COUNTIF($AA$2:$AA$9,X400)</f>
        <v>5</v>
      </c>
      <c r="Z400" s="589"/>
      <c r="AA400" s="589"/>
      <c r="AB400" s="589"/>
      <c r="AC400" s="589"/>
      <c r="AD400" s="589"/>
      <c r="AE400" s="589"/>
      <c r="AF400" s="589"/>
      <c r="AG400" s="589"/>
      <c r="AH400" s="589"/>
      <c r="AI400" s="589"/>
      <c r="AJ400" s="589"/>
      <c r="AK400" s="589"/>
      <c r="AL400" s="589"/>
      <c r="AM400" s="589"/>
      <c r="AN400" s="589"/>
      <c r="AO400" s="589"/>
      <c r="AP400" s="589"/>
      <c r="AQ400" s="589"/>
      <c r="AR400" s="589"/>
      <c r="AS400" s="589"/>
      <c r="AT400" s="589"/>
      <c r="AU400" s="589"/>
      <c r="AV400" s="589"/>
      <c r="AW400" s="589"/>
      <c r="AX400" s="589"/>
      <c r="AY400" s="589"/>
      <c r="AZ400" s="589"/>
      <c r="BA400" s="589"/>
      <c r="BB400" s="589"/>
      <c r="BC400" s="589"/>
      <c r="BD400" s="589"/>
      <c r="BE400" s="589"/>
      <c r="BF400" s="589"/>
      <c r="BG400" s="589"/>
      <c r="BH400" s="589"/>
      <c r="BI400" s="589"/>
      <c r="BJ400" s="589"/>
      <c r="BK400" s="589"/>
      <c r="BL400" s="589"/>
    </row>
    <row r="401" spans="1:64" ht="14.25" customHeight="1">
      <c r="A401" s="691" t="s">
        <v>738</v>
      </c>
      <c r="B401" s="589"/>
      <c r="C401" s="589"/>
      <c r="D401" s="589"/>
      <c r="E401" s="589"/>
      <c r="F401" s="591">
        <v>400</v>
      </c>
      <c r="G401" s="691" t="s">
        <v>167</v>
      </c>
      <c r="H401" s="691" t="s">
        <v>187</v>
      </c>
      <c r="I401" s="691" t="s">
        <v>137</v>
      </c>
      <c r="J401" s="691" t="s">
        <v>147</v>
      </c>
      <c r="K401" s="691" t="s">
        <v>125</v>
      </c>
      <c r="L401" s="691" t="s">
        <v>197</v>
      </c>
      <c r="M401" s="691" t="s">
        <v>237</v>
      </c>
      <c r="N401" s="691" t="s">
        <v>227</v>
      </c>
      <c r="O401" s="589"/>
      <c r="P401" s="717" cm="1">
        <f t="array" ref="P401">F401</f>
        <v>400</v>
      </c>
      <c r="Q401" s="620" t="str" cm="1">
        <f t="array" ref="Q401">RIGHT(G401,1)</f>
        <v>E</v>
      </c>
      <c r="R401" s="590" t="str" cm="1">
        <f t="array" ref="R401">RIGHT(H401,1)</f>
        <v>G</v>
      </c>
      <c r="S401" s="590" t="str" cm="1">
        <f t="array" ref="S401">RIGHT(I401,1)</f>
        <v>B</v>
      </c>
      <c r="T401" s="590" t="str" cm="1">
        <f t="array" ref="T401">RIGHT(J401,1)</f>
        <v>C</v>
      </c>
      <c r="U401" s="590" t="str" cm="1">
        <f t="array" ref="U401">RIGHT(K401,1)</f>
        <v>A</v>
      </c>
      <c r="V401" s="590" t="str" cm="1">
        <f t="array" ref="V401">RIGHT(L401,1)</f>
        <v>H</v>
      </c>
      <c r="W401" s="590" t="str" cm="1">
        <f t="array" ref="W401">RIGHT(M401,1)</f>
        <v>L</v>
      </c>
      <c r="X401" s="590" t="str" cm="1">
        <f t="array" ref="X401">RIGHT(N401,1)</f>
        <v>K</v>
      </c>
      <c r="Y401" s="708" cm="1">
        <f t="array" ref="Y401">COUNTIF($AA$2:$AA$9,Q401)+COUNTIF($AA$2:$AA$9,R401)+COUNTIF($AA$2:$AA$9,S401)+COUNTIF($AA$2:$AA$9,T401)+COUNTIF($AA$2:$AA$9,U401)+COUNTIF($AA$2:$AA$9,V401)+COUNTIF($AA$2:$AA$9,W401)+COUNTIF($AA$2:$AA$9,X401)</f>
        <v>4</v>
      </c>
      <c r="Z401" s="589"/>
      <c r="AA401" s="589"/>
      <c r="AB401" s="589"/>
      <c r="AC401" s="589"/>
      <c r="AD401" s="589"/>
      <c r="AE401" s="589"/>
      <c r="AF401" s="589"/>
      <c r="AG401" s="589"/>
      <c r="AH401" s="589"/>
      <c r="AI401" s="589"/>
      <c r="AJ401" s="589"/>
      <c r="AK401" s="589"/>
      <c r="AL401" s="589"/>
      <c r="AM401" s="589"/>
      <c r="AN401" s="589"/>
      <c r="AO401" s="589"/>
      <c r="AP401" s="589"/>
      <c r="AQ401" s="589"/>
      <c r="AR401" s="589"/>
      <c r="AS401" s="589"/>
      <c r="AT401" s="589"/>
      <c r="AU401" s="589"/>
      <c r="AV401" s="589"/>
      <c r="AW401" s="589"/>
      <c r="AX401" s="589"/>
      <c r="AY401" s="589"/>
      <c r="AZ401" s="589"/>
      <c r="BA401" s="589"/>
      <c r="BB401" s="589"/>
      <c r="BC401" s="589"/>
      <c r="BD401" s="589"/>
      <c r="BE401" s="589"/>
      <c r="BF401" s="589"/>
      <c r="BG401" s="589"/>
      <c r="BH401" s="589"/>
      <c r="BI401" s="589"/>
      <c r="BJ401" s="589"/>
      <c r="BK401" s="589"/>
      <c r="BL401" s="589"/>
    </row>
    <row r="402" spans="1:64" ht="14.25" customHeight="1">
      <c r="A402" s="691" t="s">
        <v>739</v>
      </c>
      <c r="B402" s="589"/>
      <c r="C402" s="589"/>
      <c r="D402" s="589"/>
      <c r="E402" s="589"/>
      <c r="F402" s="591">
        <v>401</v>
      </c>
      <c r="G402" s="691" t="s">
        <v>197</v>
      </c>
      <c r="H402" s="691" t="s">
        <v>217</v>
      </c>
      <c r="I402" s="691" t="s">
        <v>137</v>
      </c>
      <c r="J402" s="691" t="s">
        <v>147</v>
      </c>
      <c r="K402" s="691" t="s">
        <v>125</v>
      </c>
      <c r="L402" s="691" t="s">
        <v>187</v>
      </c>
      <c r="M402" s="691" t="s">
        <v>237</v>
      </c>
      <c r="N402" s="691" t="s">
        <v>167</v>
      </c>
      <c r="O402" s="589"/>
      <c r="P402" s="717" cm="1">
        <f t="array" ref="P402">F402</f>
        <v>401</v>
      </c>
      <c r="Q402" s="620" t="str" cm="1">
        <f t="array" ref="Q402">RIGHT(G402,1)</f>
        <v>H</v>
      </c>
      <c r="R402" s="590" t="str" cm="1">
        <f t="array" ref="R402">RIGHT(H402,1)</f>
        <v>J</v>
      </c>
      <c r="S402" s="590" t="str" cm="1">
        <f t="array" ref="S402">RIGHT(I402,1)</f>
        <v>B</v>
      </c>
      <c r="T402" s="590" t="str" cm="1">
        <f t="array" ref="T402">RIGHT(J402,1)</f>
        <v>C</v>
      </c>
      <c r="U402" s="590" t="str" cm="1">
        <f t="array" ref="U402">RIGHT(K402,1)</f>
        <v>A</v>
      </c>
      <c r="V402" s="590" t="str" cm="1">
        <f t="array" ref="V402">RIGHT(L402,1)</f>
        <v>G</v>
      </c>
      <c r="W402" s="590" t="str" cm="1">
        <f t="array" ref="W402">RIGHT(M402,1)</f>
        <v>L</v>
      </c>
      <c r="X402" s="590" t="str" cm="1">
        <f t="array" ref="X402">RIGHT(N402,1)</f>
        <v>E</v>
      </c>
      <c r="Y402" s="708" cm="1">
        <f t="array" ref="Y402">COUNTIF($AA$2:$AA$9,Q402)+COUNTIF($AA$2:$AA$9,R402)+COUNTIF($AA$2:$AA$9,S402)+COUNTIF($AA$2:$AA$9,T402)+COUNTIF($AA$2:$AA$9,U402)+COUNTIF($AA$2:$AA$9,V402)+COUNTIF($AA$2:$AA$9,W402)+COUNTIF($AA$2:$AA$9,X402)</f>
        <v>5</v>
      </c>
      <c r="Z402" s="589"/>
      <c r="AA402" s="589"/>
      <c r="AB402" s="589"/>
      <c r="AC402" s="589"/>
      <c r="AD402" s="589"/>
      <c r="AE402" s="589"/>
      <c r="AF402" s="589"/>
      <c r="AG402" s="589"/>
      <c r="AH402" s="589"/>
      <c r="AI402" s="589"/>
      <c r="AJ402" s="589"/>
      <c r="AK402" s="589"/>
      <c r="AL402" s="589"/>
      <c r="AM402" s="589"/>
      <c r="AN402" s="589"/>
      <c r="AO402" s="589"/>
      <c r="AP402" s="589"/>
      <c r="AQ402" s="589"/>
      <c r="AR402" s="589"/>
      <c r="AS402" s="589"/>
      <c r="AT402" s="589"/>
      <c r="AU402" s="589"/>
      <c r="AV402" s="589"/>
      <c r="AW402" s="589"/>
      <c r="AX402" s="589"/>
      <c r="AY402" s="589"/>
      <c r="AZ402" s="589"/>
      <c r="BA402" s="589"/>
      <c r="BB402" s="589"/>
      <c r="BC402" s="589"/>
      <c r="BD402" s="589"/>
      <c r="BE402" s="589"/>
      <c r="BF402" s="589"/>
      <c r="BG402" s="589"/>
      <c r="BH402" s="589"/>
      <c r="BI402" s="589"/>
      <c r="BJ402" s="589"/>
      <c r="BK402" s="589"/>
      <c r="BL402" s="589"/>
    </row>
    <row r="403" spans="1:64" ht="14.25" customHeight="1">
      <c r="A403" s="691" t="s">
        <v>740</v>
      </c>
      <c r="B403" s="589"/>
      <c r="C403" s="589"/>
      <c r="D403" s="589"/>
      <c r="E403" s="589"/>
      <c r="F403" s="591">
        <v>402</v>
      </c>
      <c r="G403" s="691" t="s">
        <v>197</v>
      </c>
      <c r="H403" s="691" t="s">
        <v>217</v>
      </c>
      <c r="I403" s="691" t="s">
        <v>137</v>
      </c>
      <c r="J403" s="691" t="s">
        <v>147</v>
      </c>
      <c r="K403" s="691" t="s">
        <v>125</v>
      </c>
      <c r="L403" s="691" t="s">
        <v>187</v>
      </c>
      <c r="M403" s="691" t="s">
        <v>167</v>
      </c>
      <c r="N403" s="691" t="s">
        <v>227</v>
      </c>
      <c r="O403" s="589"/>
      <c r="P403" s="717" cm="1">
        <f t="array" ref="P403">F403</f>
        <v>402</v>
      </c>
      <c r="Q403" s="620" t="str" cm="1">
        <f t="array" ref="Q403">RIGHT(G403,1)</f>
        <v>H</v>
      </c>
      <c r="R403" s="590" t="str" cm="1">
        <f t="array" ref="R403">RIGHT(H403,1)</f>
        <v>J</v>
      </c>
      <c r="S403" s="590" t="str" cm="1">
        <f t="array" ref="S403">RIGHT(I403,1)</f>
        <v>B</v>
      </c>
      <c r="T403" s="590" t="str" cm="1">
        <f t="array" ref="T403">RIGHT(J403,1)</f>
        <v>C</v>
      </c>
      <c r="U403" s="590" t="str" cm="1">
        <f t="array" ref="U403">RIGHT(K403,1)</f>
        <v>A</v>
      </c>
      <c r="V403" s="590" t="str" cm="1">
        <f t="array" ref="V403">RIGHT(L403,1)</f>
        <v>G</v>
      </c>
      <c r="W403" s="590" t="str" cm="1">
        <f t="array" ref="W403">RIGHT(M403,1)</f>
        <v>E</v>
      </c>
      <c r="X403" s="590" t="str" cm="1">
        <f t="array" ref="X403">RIGHT(N403,1)</f>
        <v>K</v>
      </c>
      <c r="Y403" s="708" cm="1">
        <f t="array" ref="Y403">COUNTIF($AA$2:$AA$9,Q403)+COUNTIF($AA$2:$AA$9,R403)+COUNTIF($AA$2:$AA$9,S403)+COUNTIF($AA$2:$AA$9,T403)+COUNTIF($AA$2:$AA$9,U403)+COUNTIF($AA$2:$AA$9,V403)+COUNTIF($AA$2:$AA$9,W403)+COUNTIF($AA$2:$AA$9,X403)</f>
        <v>4</v>
      </c>
      <c r="Z403" s="589"/>
      <c r="AA403" s="589"/>
      <c r="AB403" s="589"/>
      <c r="AC403" s="589"/>
      <c r="AD403" s="589"/>
      <c r="AE403" s="589"/>
      <c r="AF403" s="589"/>
      <c r="AG403" s="589"/>
      <c r="AH403" s="589"/>
      <c r="AI403" s="589"/>
      <c r="AJ403" s="589"/>
      <c r="AK403" s="589"/>
      <c r="AL403" s="589"/>
      <c r="AM403" s="589"/>
      <c r="AN403" s="589"/>
      <c r="AO403" s="589"/>
      <c r="AP403" s="589"/>
      <c r="AQ403" s="589"/>
      <c r="AR403" s="589"/>
      <c r="AS403" s="589"/>
      <c r="AT403" s="589"/>
      <c r="AU403" s="589"/>
      <c r="AV403" s="589"/>
      <c r="AW403" s="589"/>
      <c r="AX403" s="589"/>
      <c r="AY403" s="589"/>
      <c r="AZ403" s="589"/>
      <c r="BA403" s="589"/>
      <c r="BB403" s="589"/>
      <c r="BC403" s="589"/>
      <c r="BD403" s="589"/>
      <c r="BE403" s="589"/>
      <c r="BF403" s="589"/>
      <c r="BG403" s="589"/>
      <c r="BH403" s="589"/>
      <c r="BI403" s="589"/>
      <c r="BJ403" s="589"/>
      <c r="BK403" s="589"/>
      <c r="BL403" s="589"/>
    </row>
    <row r="404" spans="1:64" ht="14.25" customHeight="1">
      <c r="A404" s="691" t="s">
        <v>741</v>
      </c>
      <c r="B404" s="589"/>
      <c r="C404" s="589"/>
      <c r="D404" s="589"/>
      <c r="E404" s="589"/>
      <c r="F404" s="591">
        <v>403</v>
      </c>
      <c r="G404" s="691" t="s">
        <v>167</v>
      </c>
      <c r="H404" s="691" t="s">
        <v>187</v>
      </c>
      <c r="I404" s="691" t="s">
        <v>137</v>
      </c>
      <c r="J404" s="691" t="s">
        <v>147</v>
      </c>
      <c r="K404" s="691" t="s">
        <v>125</v>
      </c>
      <c r="L404" s="691" t="s">
        <v>197</v>
      </c>
      <c r="M404" s="691" t="s">
        <v>237</v>
      </c>
      <c r="N404" s="691" t="s">
        <v>207</v>
      </c>
      <c r="O404" s="589"/>
      <c r="P404" s="717" cm="1">
        <f t="array" ref="P404">F404</f>
        <v>403</v>
      </c>
      <c r="Q404" s="620" t="str" cm="1">
        <f t="array" ref="Q404">RIGHT(G404,1)</f>
        <v>E</v>
      </c>
      <c r="R404" s="590" t="str" cm="1">
        <f t="array" ref="R404">RIGHT(H404,1)</f>
        <v>G</v>
      </c>
      <c r="S404" s="590" t="str" cm="1">
        <f t="array" ref="S404">RIGHT(I404,1)</f>
        <v>B</v>
      </c>
      <c r="T404" s="590" t="str" cm="1">
        <f t="array" ref="T404">RIGHT(J404,1)</f>
        <v>C</v>
      </c>
      <c r="U404" s="590" t="str" cm="1">
        <f t="array" ref="U404">RIGHT(K404,1)</f>
        <v>A</v>
      </c>
      <c r="V404" s="590" t="str" cm="1">
        <f t="array" ref="V404">RIGHT(L404,1)</f>
        <v>H</v>
      </c>
      <c r="W404" s="590" t="str" cm="1">
        <f t="array" ref="W404">RIGHT(M404,1)</f>
        <v>L</v>
      </c>
      <c r="X404" s="590" t="str" cm="1">
        <f t="array" ref="X404">RIGHT(N404,1)</f>
        <v>I</v>
      </c>
      <c r="Y404" s="708" cm="1">
        <f t="array" ref="Y404">COUNTIF($AA$2:$AA$9,Q404)+COUNTIF($AA$2:$AA$9,R404)+COUNTIF($AA$2:$AA$9,S404)+COUNTIF($AA$2:$AA$9,T404)+COUNTIF($AA$2:$AA$9,U404)+COUNTIF($AA$2:$AA$9,V404)+COUNTIF($AA$2:$AA$9,W404)+COUNTIF($AA$2:$AA$9,X404)</f>
        <v>5</v>
      </c>
      <c r="Z404" s="589"/>
      <c r="AA404" s="589"/>
      <c r="AB404" s="589"/>
      <c r="AC404" s="589"/>
      <c r="AD404" s="589"/>
      <c r="AE404" s="589"/>
      <c r="AF404" s="589"/>
      <c r="AG404" s="589"/>
      <c r="AH404" s="589"/>
      <c r="AI404" s="589"/>
      <c r="AJ404" s="589"/>
      <c r="AK404" s="589"/>
      <c r="AL404" s="589"/>
      <c r="AM404" s="589"/>
      <c r="AN404" s="589"/>
      <c r="AO404" s="589"/>
      <c r="AP404" s="589"/>
      <c r="AQ404" s="589"/>
      <c r="AR404" s="589"/>
      <c r="AS404" s="589"/>
      <c r="AT404" s="589"/>
      <c r="AU404" s="589"/>
      <c r="AV404" s="589"/>
      <c r="AW404" s="589"/>
      <c r="AX404" s="589"/>
      <c r="AY404" s="589"/>
      <c r="AZ404" s="589"/>
      <c r="BA404" s="589"/>
      <c r="BB404" s="589"/>
      <c r="BC404" s="589"/>
      <c r="BD404" s="589"/>
      <c r="BE404" s="589"/>
      <c r="BF404" s="589"/>
      <c r="BG404" s="589"/>
      <c r="BH404" s="589"/>
      <c r="BI404" s="589"/>
      <c r="BJ404" s="589"/>
      <c r="BK404" s="589"/>
      <c r="BL404" s="589"/>
    </row>
    <row r="405" spans="1:64" ht="14.25" customHeight="1">
      <c r="A405" s="691" t="s">
        <v>742</v>
      </c>
      <c r="B405" s="589"/>
      <c r="C405" s="589"/>
      <c r="D405" s="589"/>
      <c r="E405" s="589"/>
      <c r="F405" s="591">
        <v>404</v>
      </c>
      <c r="G405" s="691" t="s">
        <v>167</v>
      </c>
      <c r="H405" s="691" t="s">
        <v>187</v>
      </c>
      <c r="I405" s="691" t="s">
        <v>137</v>
      </c>
      <c r="J405" s="691" t="s">
        <v>147</v>
      </c>
      <c r="K405" s="691" t="s">
        <v>125</v>
      </c>
      <c r="L405" s="691" t="s">
        <v>197</v>
      </c>
      <c r="M405" s="691" t="s">
        <v>207</v>
      </c>
      <c r="N405" s="691" t="s">
        <v>227</v>
      </c>
      <c r="O405" s="589"/>
      <c r="P405" s="717" cm="1">
        <f t="array" ref="P405">F405</f>
        <v>404</v>
      </c>
      <c r="Q405" s="620" t="str" cm="1">
        <f t="array" ref="Q405">RIGHT(G405,1)</f>
        <v>E</v>
      </c>
      <c r="R405" s="590" t="str" cm="1">
        <f t="array" ref="R405">RIGHT(H405,1)</f>
        <v>G</v>
      </c>
      <c r="S405" s="590" t="str" cm="1">
        <f t="array" ref="S405">RIGHT(I405,1)</f>
        <v>B</v>
      </c>
      <c r="T405" s="590" t="str" cm="1">
        <f t="array" ref="T405">RIGHT(J405,1)</f>
        <v>C</v>
      </c>
      <c r="U405" s="590" t="str" cm="1">
        <f t="array" ref="U405">RIGHT(K405,1)</f>
        <v>A</v>
      </c>
      <c r="V405" s="590" t="str" cm="1">
        <f t="array" ref="V405">RIGHT(L405,1)</f>
        <v>H</v>
      </c>
      <c r="W405" s="590" t="str" cm="1">
        <f t="array" ref="W405">RIGHT(M405,1)</f>
        <v>I</v>
      </c>
      <c r="X405" s="590" t="str" cm="1">
        <f t="array" ref="X405">RIGHT(N405,1)</f>
        <v>K</v>
      </c>
      <c r="Y405" s="708" cm="1">
        <f t="array" ref="Y405">COUNTIF($AA$2:$AA$9,Q405)+COUNTIF($AA$2:$AA$9,R405)+COUNTIF($AA$2:$AA$9,S405)+COUNTIF($AA$2:$AA$9,T405)+COUNTIF($AA$2:$AA$9,U405)+COUNTIF($AA$2:$AA$9,V405)+COUNTIF($AA$2:$AA$9,W405)+COUNTIF($AA$2:$AA$9,X405)</f>
        <v>4</v>
      </c>
      <c r="Z405" s="589"/>
      <c r="AA405" s="589"/>
      <c r="AB405" s="589"/>
      <c r="AC405" s="589"/>
      <c r="AD405" s="589"/>
      <c r="AE405" s="589"/>
      <c r="AF405" s="589"/>
      <c r="AG405" s="589"/>
      <c r="AH405" s="589"/>
      <c r="AI405" s="589"/>
      <c r="AJ405" s="589"/>
      <c r="AK405" s="589"/>
      <c r="AL405" s="589"/>
      <c r="AM405" s="589"/>
      <c r="AN405" s="589"/>
      <c r="AO405" s="589"/>
      <c r="AP405" s="589"/>
      <c r="AQ405" s="589"/>
      <c r="AR405" s="589"/>
      <c r="AS405" s="589"/>
      <c r="AT405" s="589"/>
      <c r="AU405" s="589"/>
      <c r="AV405" s="589"/>
      <c r="AW405" s="589"/>
      <c r="AX405" s="589"/>
      <c r="AY405" s="589"/>
      <c r="AZ405" s="589"/>
      <c r="BA405" s="589"/>
      <c r="BB405" s="589"/>
      <c r="BC405" s="589"/>
      <c r="BD405" s="589"/>
      <c r="BE405" s="589"/>
      <c r="BF405" s="589"/>
      <c r="BG405" s="589"/>
      <c r="BH405" s="589"/>
      <c r="BI405" s="589"/>
      <c r="BJ405" s="589"/>
      <c r="BK405" s="589"/>
      <c r="BL405" s="589"/>
    </row>
    <row r="406" spans="1:64" ht="14.25" customHeight="1">
      <c r="A406" s="691" t="s">
        <v>743</v>
      </c>
      <c r="B406" s="589"/>
      <c r="C406" s="589"/>
      <c r="D406" s="589"/>
      <c r="E406" s="589"/>
      <c r="F406" s="591">
        <v>405</v>
      </c>
      <c r="G406" s="691" t="s">
        <v>197</v>
      </c>
      <c r="H406" s="691" t="s">
        <v>217</v>
      </c>
      <c r="I406" s="691" t="s">
        <v>137</v>
      </c>
      <c r="J406" s="691" t="s">
        <v>147</v>
      </c>
      <c r="K406" s="691" t="s">
        <v>125</v>
      </c>
      <c r="L406" s="691" t="s">
        <v>187</v>
      </c>
      <c r="M406" s="691" t="s">
        <v>167</v>
      </c>
      <c r="N406" s="691" t="s">
        <v>207</v>
      </c>
      <c r="O406" s="589"/>
      <c r="P406" s="717" cm="1">
        <f t="array" ref="P406">F406</f>
        <v>405</v>
      </c>
      <c r="Q406" s="620" t="str" cm="1">
        <f t="array" ref="Q406">RIGHT(G406,1)</f>
        <v>H</v>
      </c>
      <c r="R406" s="590" t="str" cm="1">
        <f t="array" ref="R406">RIGHT(H406,1)</f>
        <v>J</v>
      </c>
      <c r="S406" s="590" t="str" cm="1">
        <f t="array" ref="S406">RIGHT(I406,1)</f>
        <v>B</v>
      </c>
      <c r="T406" s="590" t="str" cm="1">
        <f t="array" ref="T406">RIGHT(J406,1)</f>
        <v>C</v>
      </c>
      <c r="U406" s="590" t="str" cm="1">
        <f t="array" ref="U406">RIGHT(K406,1)</f>
        <v>A</v>
      </c>
      <c r="V406" s="590" t="str" cm="1">
        <f t="array" ref="V406">RIGHT(L406,1)</f>
        <v>G</v>
      </c>
      <c r="W406" s="590" t="str" cm="1">
        <f t="array" ref="W406">RIGHT(M406,1)</f>
        <v>E</v>
      </c>
      <c r="X406" s="590" t="str" cm="1">
        <f t="array" ref="X406">RIGHT(N406,1)</f>
        <v>I</v>
      </c>
      <c r="Y406" s="708" cm="1">
        <f t="array" ref="Y406">COUNTIF($AA$2:$AA$9,Q406)+COUNTIF($AA$2:$AA$9,R406)+COUNTIF($AA$2:$AA$9,S406)+COUNTIF($AA$2:$AA$9,T406)+COUNTIF($AA$2:$AA$9,U406)+COUNTIF($AA$2:$AA$9,V406)+COUNTIF($AA$2:$AA$9,W406)+COUNTIF($AA$2:$AA$9,X406)</f>
        <v>5</v>
      </c>
      <c r="Z406" s="589"/>
      <c r="AA406" s="589"/>
      <c r="AB406" s="589"/>
      <c r="AC406" s="589"/>
      <c r="AD406" s="589"/>
      <c r="AE406" s="589"/>
      <c r="AF406" s="589"/>
      <c r="AG406" s="589"/>
      <c r="AH406" s="589"/>
      <c r="AI406" s="589"/>
      <c r="AJ406" s="589"/>
      <c r="AK406" s="589"/>
      <c r="AL406" s="589"/>
      <c r="AM406" s="589"/>
      <c r="AN406" s="589"/>
      <c r="AO406" s="589"/>
      <c r="AP406" s="589"/>
      <c r="AQ406" s="589"/>
      <c r="AR406" s="589"/>
      <c r="AS406" s="589"/>
      <c r="AT406" s="589"/>
      <c r="AU406" s="589"/>
      <c r="AV406" s="589"/>
      <c r="AW406" s="589"/>
      <c r="AX406" s="589"/>
      <c r="AY406" s="589"/>
      <c r="AZ406" s="589"/>
      <c r="BA406" s="589"/>
      <c r="BB406" s="589"/>
      <c r="BC406" s="589"/>
      <c r="BD406" s="589"/>
      <c r="BE406" s="589"/>
      <c r="BF406" s="589"/>
      <c r="BG406" s="589"/>
      <c r="BH406" s="589"/>
      <c r="BI406" s="589"/>
      <c r="BJ406" s="589"/>
      <c r="BK406" s="589"/>
      <c r="BL406" s="589"/>
    </row>
    <row r="407" spans="1:64" ht="14.25" customHeight="1">
      <c r="A407" s="691" t="s">
        <v>744</v>
      </c>
      <c r="B407" s="589"/>
      <c r="C407" s="589"/>
      <c r="D407" s="589"/>
      <c r="E407" s="589"/>
      <c r="F407" s="591">
        <v>406</v>
      </c>
      <c r="G407" s="691" t="s">
        <v>167</v>
      </c>
      <c r="H407" s="691" t="s">
        <v>217</v>
      </c>
      <c r="I407" s="691" t="s">
        <v>137</v>
      </c>
      <c r="J407" s="691" t="s">
        <v>147</v>
      </c>
      <c r="K407" s="691" t="s">
        <v>125</v>
      </c>
      <c r="L407" s="691" t="s">
        <v>177</v>
      </c>
      <c r="M407" s="691" t="s">
        <v>237</v>
      </c>
      <c r="N407" s="691" t="s">
        <v>227</v>
      </c>
      <c r="O407" s="589"/>
      <c r="P407" s="717" cm="1">
        <f t="array" ref="P407">F407</f>
        <v>406</v>
      </c>
      <c r="Q407" s="620" t="str" cm="1">
        <f t="array" ref="Q407">RIGHT(G407,1)</f>
        <v>E</v>
      </c>
      <c r="R407" s="590" t="str" cm="1">
        <f t="array" ref="R407">RIGHT(H407,1)</f>
        <v>J</v>
      </c>
      <c r="S407" s="590" t="str" cm="1">
        <f t="array" ref="S407">RIGHT(I407,1)</f>
        <v>B</v>
      </c>
      <c r="T407" s="590" t="str" cm="1">
        <f t="array" ref="T407">RIGHT(J407,1)</f>
        <v>C</v>
      </c>
      <c r="U407" s="590" t="str" cm="1">
        <f t="array" ref="U407">RIGHT(K407,1)</f>
        <v>A</v>
      </c>
      <c r="V407" s="590" t="str" cm="1">
        <f t="array" ref="V407">RIGHT(L407,1)</f>
        <v>F</v>
      </c>
      <c r="W407" s="590" t="str" cm="1">
        <f t="array" ref="W407">RIGHT(M407,1)</f>
        <v>L</v>
      </c>
      <c r="X407" s="590" t="str" cm="1">
        <f t="array" ref="X407">RIGHT(N407,1)</f>
        <v>K</v>
      </c>
      <c r="Y407" s="708" cm="1">
        <f t="array" ref="Y407">COUNTIF($AA$2:$AA$9,Q407)+COUNTIF($AA$2:$AA$9,R407)+COUNTIF($AA$2:$AA$9,S407)+COUNTIF($AA$2:$AA$9,T407)+COUNTIF($AA$2:$AA$9,U407)+COUNTIF($AA$2:$AA$9,V407)+COUNTIF($AA$2:$AA$9,W407)+COUNTIF($AA$2:$AA$9,X407)</f>
        <v>6</v>
      </c>
      <c r="Z407" s="589"/>
      <c r="AA407" s="589"/>
      <c r="AB407" s="589"/>
      <c r="AC407" s="589"/>
      <c r="AD407" s="589"/>
      <c r="AE407" s="589"/>
      <c r="AF407" s="589"/>
      <c r="AG407" s="589"/>
      <c r="AH407" s="589"/>
      <c r="AI407" s="589"/>
      <c r="AJ407" s="589"/>
      <c r="AK407" s="589"/>
      <c r="AL407" s="589"/>
      <c r="AM407" s="589"/>
      <c r="AN407" s="589"/>
      <c r="AO407" s="589"/>
      <c r="AP407" s="589"/>
      <c r="AQ407" s="589"/>
      <c r="AR407" s="589"/>
      <c r="AS407" s="589"/>
      <c r="AT407" s="589"/>
      <c r="AU407" s="589"/>
      <c r="AV407" s="589"/>
      <c r="AW407" s="589"/>
      <c r="AX407" s="589"/>
      <c r="AY407" s="589"/>
      <c r="AZ407" s="589"/>
      <c r="BA407" s="589"/>
      <c r="BB407" s="589"/>
      <c r="BC407" s="589"/>
      <c r="BD407" s="589"/>
      <c r="BE407" s="589"/>
      <c r="BF407" s="589"/>
      <c r="BG407" s="589"/>
      <c r="BH407" s="589"/>
      <c r="BI407" s="589"/>
      <c r="BJ407" s="589"/>
      <c r="BK407" s="589"/>
      <c r="BL407" s="589"/>
    </row>
    <row r="408" spans="1:64" ht="14.25" customHeight="1">
      <c r="A408" s="691" t="s">
        <v>745</v>
      </c>
      <c r="B408" s="589"/>
      <c r="C408" s="589"/>
      <c r="D408" s="589"/>
      <c r="E408" s="589"/>
      <c r="F408" s="591">
        <v>407</v>
      </c>
      <c r="G408" s="691" t="s">
        <v>167</v>
      </c>
      <c r="H408" s="691" t="s">
        <v>207</v>
      </c>
      <c r="I408" s="691" t="s">
        <v>137</v>
      </c>
      <c r="J408" s="691" t="s">
        <v>147</v>
      </c>
      <c r="K408" s="691" t="s">
        <v>125</v>
      </c>
      <c r="L408" s="691" t="s">
        <v>177</v>
      </c>
      <c r="M408" s="691" t="s">
        <v>237</v>
      </c>
      <c r="N408" s="691" t="s">
        <v>227</v>
      </c>
      <c r="O408" s="589"/>
      <c r="P408" s="717" cm="1">
        <f t="array" ref="P408">F408</f>
        <v>407</v>
      </c>
      <c r="Q408" s="620" t="str" cm="1">
        <f t="array" ref="Q408">RIGHT(G408,1)</f>
        <v>E</v>
      </c>
      <c r="R408" s="590" t="str" cm="1">
        <f t="array" ref="R408">RIGHT(H408,1)</f>
        <v>I</v>
      </c>
      <c r="S408" s="590" t="str" cm="1">
        <f t="array" ref="S408">RIGHT(I408,1)</f>
        <v>B</v>
      </c>
      <c r="T408" s="590" t="str" cm="1">
        <f t="array" ref="T408">RIGHT(J408,1)</f>
        <v>C</v>
      </c>
      <c r="U408" s="590" t="str" cm="1">
        <f t="array" ref="U408">RIGHT(K408,1)</f>
        <v>A</v>
      </c>
      <c r="V408" s="590" t="str" cm="1">
        <f t="array" ref="V408">RIGHT(L408,1)</f>
        <v>F</v>
      </c>
      <c r="W408" s="590" t="str" cm="1">
        <f t="array" ref="W408">RIGHT(M408,1)</f>
        <v>L</v>
      </c>
      <c r="X408" s="590" t="str" cm="1">
        <f t="array" ref="X408">RIGHT(N408,1)</f>
        <v>K</v>
      </c>
      <c r="Y408" s="708" cm="1">
        <f t="array" ref="Y408">COUNTIF($AA$2:$AA$9,Q408)+COUNTIF($AA$2:$AA$9,R408)+COUNTIF($AA$2:$AA$9,S408)+COUNTIF($AA$2:$AA$9,T408)+COUNTIF($AA$2:$AA$9,U408)+COUNTIF($AA$2:$AA$9,V408)+COUNTIF($AA$2:$AA$9,W408)+COUNTIF($AA$2:$AA$9,X408)</f>
        <v>6</v>
      </c>
      <c r="Z408" s="589"/>
      <c r="AA408" s="589"/>
      <c r="AB408" s="589"/>
      <c r="AC408" s="589"/>
      <c r="AD408" s="589"/>
      <c r="AE408" s="589"/>
      <c r="AF408" s="589"/>
      <c r="AG408" s="589"/>
      <c r="AH408" s="589"/>
      <c r="AI408" s="589"/>
      <c r="AJ408" s="589"/>
      <c r="AK408" s="589"/>
      <c r="AL408" s="589"/>
      <c r="AM408" s="589"/>
      <c r="AN408" s="589"/>
      <c r="AO408" s="589"/>
      <c r="AP408" s="589"/>
      <c r="AQ408" s="589"/>
      <c r="AR408" s="589"/>
      <c r="AS408" s="589"/>
      <c r="AT408" s="589"/>
      <c r="AU408" s="589"/>
      <c r="AV408" s="589"/>
      <c r="AW408" s="589"/>
      <c r="AX408" s="589"/>
      <c r="AY408" s="589"/>
      <c r="AZ408" s="589"/>
      <c r="BA408" s="589"/>
      <c r="BB408" s="589"/>
      <c r="BC408" s="589"/>
      <c r="BD408" s="589"/>
      <c r="BE408" s="589"/>
      <c r="BF408" s="589"/>
      <c r="BG408" s="589"/>
      <c r="BH408" s="589"/>
      <c r="BI408" s="589"/>
      <c r="BJ408" s="589"/>
      <c r="BK408" s="589"/>
      <c r="BL408" s="589"/>
    </row>
    <row r="409" spans="1:64" ht="14.25" customHeight="1">
      <c r="A409" s="691" t="s">
        <v>746</v>
      </c>
      <c r="B409" s="589"/>
      <c r="C409" s="589"/>
      <c r="D409" s="589"/>
      <c r="E409" s="589"/>
      <c r="F409" s="591">
        <v>408</v>
      </c>
      <c r="G409" s="691" t="s">
        <v>167</v>
      </c>
      <c r="H409" s="691" t="s">
        <v>217</v>
      </c>
      <c r="I409" s="691" t="s">
        <v>137</v>
      </c>
      <c r="J409" s="691" t="s">
        <v>147</v>
      </c>
      <c r="K409" s="691" t="s">
        <v>125</v>
      </c>
      <c r="L409" s="691" t="s">
        <v>177</v>
      </c>
      <c r="M409" s="691" t="s">
        <v>237</v>
      </c>
      <c r="N409" s="691" t="s">
        <v>207</v>
      </c>
      <c r="O409" s="589"/>
      <c r="P409" s="717" cm="1">
        <f t="array" ref="P409">F409</f>
        <v>408</v>
      </c>
      <c r="Q409" s="620" t="str" cm="1">
        <f t="array" ref="Q409">RIGHT(G409,1)</f>
        <v>E</v>
      </c>
      <c r="R409" s="590" t="str" cm="1">
        <f t="array" ref="R409">RIGHT(H409,1)</f>
        <v>J</v>
      </c>
      <c r="S409" s="590" t="str" cm="1">
        <f t="array" ref="S409">RIGHT(I409,1)</f>
        <v>B</v>
      </c>
      <c r="T409" s="590" t="str" cm="1">
        <f t="array" ref="T409">RIGHT(J409,1)</f>
        <v>C</v>
      </c>
      <c r="U409" s="590" t="str" cm="1">
        <f t="array" ref="U409">RIGHT(K409,1)</f>
        <v>A</v>
      </c>
      <c r="V409" s="590" t="str" cm="1">
        <f t="array" ref="V409">RIGHT(L409,1)</f>
        <v>F</v>
      </c>
      <c r="W409" s="590" t="str" cm="1">
        <f t="array" ref="W409">RIGHT(M409,1)</f>
        <v>L</v>
      </c>
      <c r="X409" s="590" t="str" cm="1">
        <f t="array" ref="X409">RIGHT(N409,1)</f>
        <v>I</v>
      </c>
      <c r="Y409" s="708" cm="1">
        <f t="array" ref="Y409">COUNTIF($AA$2:$AA$9,Q409)+COUNTIF($AA$2:$AA$9,R409)+COUNTIF($AA$2:$AA$9,S409)+COUNTIF($AA$2:$AA$9,T409)+COUNTIF($AA$2:$AA$9,U409)+COUNTIF($AA$2:$AA$9,V409)+COUNTIF($AA$2:$AA$9,W409)+COUNTIF($AA$2:$AA$9,X409)</f>
        <v>7</v>
      </c>
      <c r="Z409" s="589"/>
      <c r="AA409" s="589"/>
      <c r="AB409" s="589"/>
      <c r="AC409" s="589"/>
      <c r="AD409" s="589"/>
      <c r="AE409" s="589"/>
      <c r="AF409" s="589"/>
      <c r="AG409" s="589"/>
      <c r="AH409" s="589"/>
      <c r="AI409" s="589"/>
      <c r="AJ409" s="589"/>
      <c r="AK409" s="589"/>
      <c r="AL409" s="589"/>
      <c r="AM409" s="589"/>
      <c r="AN409" s="589"/>
      <c r="AO409" s="589"/>
      <c r="AP409" s="589"/>
      <c r="AQ409" s="589"/>
      <c r="AR409" s="589"/>
      <c r="AS409" s="589"/>
      <c r="AT409" s="589"/>
      <c r="AU409" s="589"/>
      <c r="AV409" s="589"/>
      <c r="AW409" s="589"/>
      <c r="AX409" s="589"/>
      <c r="AY409" s="589"/>
      <c r="AZ409" s="589"/>
      <c r="BA409" s="589"/>
      <c r="BB409" s="589"/>
      <c r="BC409" s="589"/>
      <c r="BD409" s="589"/>
      <c r="BE409" s="589"/>
      <c r="BF409" s="589"/>
      <c r="BG409" s="589"/>
      <c r="BH409" s="589"/>
      <c r="BI409" s="589"/>
      <c r="BJ409" s="589"/>
      <c r="BK409" s="589"/>
      <c r="BL409" s="589"/>
    </row>
    <row r="410" spans="1:64" ht="14.25" customHeight="1">
      <c r="A410" s="691" t="s">
        <v>747</v>
      </c>
      <c r="B410" s="589"/>
      <c r="C410" s="589"/>
      <c r="D410" s="589"/>
      <c r="E410" s="589"/>
      <c r="F410" s="591">
        <v>409</v>
      </c>
      <c r="G410" s="691" t="s">
        <v>167</v>
      </c>
      <c r="H410" s="691" t="s">
        <v>217</v>
      </c>
      <c r="I410" s="691" t="s">
        <v>137</v>
      </c>
      <c r="J410" s="691" t="s">
        <v>147</v>
      </c>
      <c r="K410" s="691" t="s">
        <v>125</v>
      </c>
      <c r="L410" s="691" t="s">
        <v>177</v>
      </c>
      <c r="M410" s="691" t="s">
        <v>207</v>
      </c>
      <c r="N410" s="691" t="s">
        <v>227</v>
      </c>
      <c r="O410" s="589"/>
      <c r="P410" s="717" cm="1">
        <f t="array" ref="P410">F410</f>
        <v>409</v>
      </c>
      <c r="Q410" s="620" t="str" cm="1">
        <f t="array" ref="Q410">RIGHT(G410,1)</f>
        <v>E</v>
      </c>
      <c r="R410" s="590" t="str" cm="1">
        <f t="array" ref="R410">RIGHT(H410,1)</f>
        <v>J</v>
      </c>
      <c r="S410" s="590" t="str" cm="1">
        <f t="array" ref="S410">RIGHT(I410,1)</f>
        <v>B</v>
      </c>
      <c r="T410" s="590" t="str" cm="1">
        <f t="array" ref="T410">RIGHT(J410,1)</f>
        <v>C</v>
      </c>
      <c r="U410" s="590" t="str" cm="1">
        <f t="array" ref="U410">RIGHT(K410,1)</f>
        <v>A</v>
      </c>
      <c r="V410" s="590" t="str" cm="1">
        <f t="array" ref="V410">RIGHT(L410,1)</f>
        <v>F</v>
      </c>
      <c r="W410" s="590" t="str" cm="1">
        <f t="array" ref="W410">RIGHT(M410,1)</f>
        <v>I</v>
      </c>
      <c r="X410" s="590" t="str" cm="1">
        <f t="array" ref="X410">RIGHT(N410,1)</f>
        <v>K</v>
      </c>
      <c r="Y410" s="708" cm="1">
        <f t="array" ref="Y410">COUNTIF($AA$2:$AA$9,Q410)+COUNTIF($AA$2:$AA$9,R410)+COUNTIF($AA$2:$AA$9,S410)+COUNTIF($AA$2:$AA$9,T410)+COUNTIF($AA$2:$AA$9,U410)+COUNTIF($AA$2:$AA$9,V410)+COUNTIF($AA$2:$AA$9,W410)+COUNTIF($AA$2:$AA$9,X410)</f>
        <v>6</v>
      </c>
      <c r="Z410" s="589"/>
      <c r="AA410" s="589"/>
      <c r="AB410" s="589"/>
      <c r="AC410" s="589"/>
      <c r="AD410" s="589"/>
      <c r="AE410" s="589"/>
      <c r="AF410" s="589"/>
      <c r="AG410" s="589"/>
      <c r="AH410" s="589"/>
      <c r="AI410" s="589"/>
      <c r="AJ410" s="589"/>
      <c r="AK410" s="589"/>
      <c r="AL410" s="589"/>
      <c r="AM410" s="589"/>
      <c r="AN410" s="589"/>
      <c r="AO410" s="589"/>
      <c r="AP410" s="589"/>
      <c r="AQ410" s="589"/>
      <c r="AR410" s="589"/>
      <c r="AS410" s="589"/>
      <c r="AT410" s="589"/>
      <c r="AU410" s="589"/>
      <c r="AV410" s="589"/>
      <c r="AW410" s="589"/>
      <c r="AX410" s="589"/>
      <c r="AY410" s="589"/>
      <c r="AZ410" s="589"/>
      <c r="BA410" s="589"/>
      <c r="BB410" s="589"/>
      <c r="BC410" s="589"/>
      <c r="BD410" s="589"/>
      <c r="BE410" s="589"/>
      <c r="BF410" s="589"/>
      <c r="BG410" s="589"/>
      <c r="BH410" s="589"/>
      <c r="BI410" s="589"/>
      <c r="BJ410" s="589"/>
      <c r="BK410" s="589"/>
      <c r="BL410" s="589"/>
    </row>
    <row r="411" spans="1:64" ht="14.25" customHeight="1">
      <c r="A411" s="691" t="s">
        <v>748</v>
      </c>
      <c r="B411" s="589"/>
      <c r="C411" s="589"/>
      <c r="D411" s="589"/>
      <c r="E411" s="589"/>
      <c r="F411" s="591">
        <v>410</v>
      </c>
      <c r="G411" s="691" t="s">
        <v>197</v>
      </c>
      <c r="H411" s="691" t="s">
        <v>167</v>
      </c>
      <c r="I411" s="691" t="s">
        <v>137</v>
      </c>
      <c r="J411" s="691" t="s">
        <v>147</v>
      </c>
      <c r="K411" s="691" t="s">
        <v>125</v>
      </c>
      <c r="L411" s="691" t="s">
        <v>177</v>
      </c>
      <c r="M411" s="691" t="s">
        <v>237</v>
      </c>
      <c r="N411" s="691" t="s">
        <v>227</v>
      </c>
      <c r="O411" s="589"/>
      <c r="P411" s="717" cm="1">
        <f t="array" ref="P411">F411</f>
        <v>410</v>
      </c>
      <c r="Q411" s="620" t="str" cm="1">
        <f t="array" ref="Q411">RIGHT(G411,1)</f>
        <v>H</v>
      </c>
      <c r="R411" s="590" t="str" cm="1">
        <f t="array" ref="R411">RIGHT(H411,1)</f>
        <v>E</v>
      </c>
      <c r="S411" s="590" t="str" cm="1">
        <f t="array" ref="S411">RIGHT(I411,1)</f>
        <v>B</v>
      </c>
      <c r="T411" s="590" t="str" cm="1">
        <f t="array" ref="T411">RIGHT(J411,1)</f>
        <v>C</v>
      </c>
      <c r="U411" s="590" t="str" cm="1">
        <f t="array" ref="U411">RIGHT(K411,1)</f>
        <v>A</v>
      </c>
      <c r="V411" s="590" t="str" cm="1">
        <f t="array" ref="V411">RIGHT(L411,1)</f>
        <v>F</v>
      </c>
      <c r="W411" s="590" t="str" cm="1">
        <f t="array" ref="W411">RIGHT(M411,1)</f>
        <v>L</v>
      </c>
      <c r="X411" s="590" t="str" cm="1">
        <f t="array" ref="X411">RIGHT(N411,1)</f>
        <v>K</v>
      </c>
      <c r="Y411" s="708" cm="1">
        <f t="array" ref="Y411">COUNTIF($AA$2:$AA$9,Q411)+COUNTIF($AA$2:$AA$9,R411)+COUNTIF($AA$2:$AA$9,S411)+COUNTIF($AA$2:$AA$9,T411)+COUNTIF($AA$2:$AA$9,U411)+COUNTIF($AA$2:$AA$9,V411)+COUNTIF($AA$2:$AA$9,W411)+COUNTIF($AA$2:$AA$9,X411)</f>
        <v>5</v>
      </c>
      <c r="Z411" s="589"/>
      <c r="AA411" s="589"/>
      <c r="AB411" s="589"/>
      <c r="AC411" s="589"/>
      <c r="AD411" s="589"/>
      <c r="AE411" s="589"/>
      <c r="AF411" s="589"/>
      <c r="AG411" s="589"/>
      <c r="AH411" s="589"/>
      <c r="AI411" s="589"/>
      <c r="AJ411" s="589"/>
      <c r="AK411" s="589"/>
      <c r="AL411" s="589"/>
      <c r="AM411" s="589"/>
      <c r="AN411" s="589"/>
      <c r="AO411" s="589"/>
      <c r="AP411" s="589"/>
      <c r="AQ411" s="589"/>
      <c r="AR411" s="589"/>
      <c r="AS411" s="589"/>
      <c r="AT411" s="589"/>
      <c r="AU411" s="589"/>
      <c r="AV411" s="589"/>
      <c r="AW411" s="589"/>
      <c r="AX411" s="589"/>
      <c r="AY411" s="589"/>
      <c r="AZ411" s="589"/>
      <c r="BA411" s="589"/>
      <c r="BB411" s="589"/>
      <c r="BC411" s="589"/>
      <c r="BD411" s="589"/>
      <c r="BE411" s="589"/>
      <c r="BF411" s="589"/>
      <c r="BG411" s="589"/>
      <c r="BH411" s="589"/>
      <c r="BI411" s="589"/>
      <c r="BJ411" s="589"/>
      <c r="BK411" s="589"/>
      <c r="BL411" s="589"/>
    </row>
    <row r="412" spans="1:64" ht="14.25" customHeight="1">
      <c r="A412" s="691" t="s">
        <v>749</v>
      </c>
      <c r="B412" s="589"/>
      <c r="C412" s="589"/>
      <c r="D412" s="589"/>
      <c r="E412" s="589"/>
      <c r="F412" s="591">
        <v>411</v>
      </c>
      <c r="G412" s="691" t="s">
        <v>197</v>
      </c>
      <c r="H412" s="691" t="s">
        <v>217</v>
      </c>
      <c r="I412" s="691" t="s">
        <v>137</v>
      </c>
      <c r="J412" s="691" t="s">
        <v>147</v>
      </c>
      <c r="K412" s="691" t="s">
        <v>125</v>
      </c>
      <c r="L412" s="691" t="s">
        <v>177</v>
      </c>
      <c r="M412" s="691" t="s">
        <v>237</v>
      </c>
      <c r="N412" s="691" t="s">
        <v>167</v>
      </c>
      <c r="O412" s="589"/>
      <c r="P412" s="717" cm="1">
        <f t="array" ref="P412">F412</f>
        <v>411</v>
      </c>
      <c r="Q412" s="620" t="str" cm="1">
        <f t="array" ref="Q412">RIGHT(G412,1)</f>
        <v>H</v>
      </c>
      <c r="R412" s="590" t="str" cm="1">
        <f t="array" ref="R412">RIGHT(H412,1)</f>
        <v>J</v>
      </c>
      <c r="S412" s="590" t="str" cm="1">
        <f t="array" ref="S412">RIGHT(I412,1)</f>
        <v>B</v>
      </c>
      <c r="T412" s="590" t="str" cm="1">
        <f t="array" ref="T412">RIGHT(J412,1)</f>
        <v>C</v>
      </c>
      <c r="U412" s="590" t="str" cm="1">
        <f t="array" ref="U412">RIGHT(K412,1)</f>
        <v>A</v>
      </c>
      <c r="V412" s="590" t="str" cm="1">
        <f t="array" ref="V412">RIGHT(L412,1)</f>
        <v>F</v>
      </c>
      <c r="W412" s="590" t="str" cm="1">
        <f t="array" ref="W412">RIGHT(M412,1)</f>
        <v>L</v>
      </c>
      <c r="X412" s="590" t="str" cm="1">
        <f t="array" ref="X412">RIGHT(N412,1)</f>
        <v>E</v>
      </c>
      <c r="Y412" s="708" cm="1">
        <f t="array" ref="Y412">COUNTIF($AA$2:$AA$9,Q412)+COUNTIF($AA$2:$AA$9,R412)+COUNTIF($AA$2:$AA$9,S412)+COUNTIF($AA$2:$AA$9,T412)+COUNTIF($AA$2:$AA$9,U412)+COUNTIF($AA$2:$AA$9,V412)+COUNTIF($AA$2:$AA$9,W412)+COUNTIF($AA$2:$AA$9,X412)</f>
        <v>6</v>
      </c>
      <c r="Z412" s="589"/>
      <c r="AA412" s="589"/>
      <c r="AB412" s="589"/>
      <c r="AC412" s="589"/>
      <c r="AD412" s="589"/>
      <c r="AE412" s="589"/>
      <c r="AF412" s="589"/>
      <c r="AG412" s="589"/>
      <c r="AH412" s="589"/>
      <c r="AI412" s="589"/>
      <c r="AJ412" s="589"/>
      <c r="AK412" s="589"/>
      <c r="AL412" s="589"/>
      <c r="AM412" s="589"/>
      <c r="AN412" s="589"/>
      <c r="AO412" s="589"/>
      <c r="AP412" s="589"/>
      <c r="AQ412" s="589"/>
      <c r="AR412" s="589"/>
      <c r="AS412" s="589"/>
      <c r="AT412" s="589"/>
      <c r="AU412" s="589"/>
      <c r="AV412" s="589"/>
      <c r="AW412" s="589"/>
      <c r="AX412" s="589"/>
      <c r="AY412" s="589"/>
      <c r="AZ412" s="589"/>
      <c r="BA412" s="589"/>
      <c r="BB412" s="589"/>
      <c r="BC412" s="589"/>
      <c r="BD412" s="589"/>
      <c r="BE412" s="589"/>
      <c r="BF412" s="589"/>
      <c r="BG412" s="589"/>
      <c r="BH412" s="589"/>
      <c r="BI412" s="589"/>
      <c r="BJ412" s="589"/>
      <c r="BK412" s="589"/>
      <c r="BL412" s="589"/>
    </row>
    <row r="413" spans="1:64" ht="14.25" customHeight="1">
      <c r="A413" s="691" t="s">
        <v>750</v>
      </c>
      <c r="B413" s="589"/>
      <c r="C413" s="589"/>
      <c r="D413" s="589"/>
      <c r="E413" s="589"/>
      <c r="F413" s="591">
        <v>412</v>
      </c>
      <c r="G413" s="691" t="s">
        <v>197</v>
      </c>
      <c r="H413" s="691" t="s">
        <v>217</v>
      </c>
      <c r="I413" s="691" t="s">
        <v>137</v>
      </c>
      <c r="J413" s="691" t="s">
        <v>147</v>
      </c>
      <c r="K413" s="691" t="s">
        <v>125</v>
      </c>
      <c r="L413" s="691" t="s">
        <v>177</v>
      </c>
      <c r="M413" s="691" t="s">
        <v>167</v>
      </c>
      <c r="N413" s="691" t="s">
        <v>227</v>
      </c>
      <c r="O413" s="589"/>
      <c r="P413" s="717" cm="1">
        <f t="array" ref="P413">F413</f>
        <v>412</v>
      </c>
      <c r="Q413" s="620" t="str" cm="1">
        <f t="array" ref="Q413">RIGHT(G413,1)</f>
        <v>H</v>
      </c>
      <c r="R413" s="590" t="str" cm="1">
        <f t="array" ref="R413">RIGHT(H413,1)</f>
        <v>J</v>
      </c>
      <c r="S413" s="590" t="str" cm="1">
        <f t="array" ref="S413">RIGHT(I413,1)</f>
        <v>B</v>
      </c>
      <c r="T413" s="590" t="str" cm="1">
        <f t="array" ref="T413">RIGHT(J413,1)</f>
        <v>C</v>
      </c>
      <c r="U413" s="590" t="str" cm="1">
        <f t="array" ref="U413">RIGHT(K413,1)</f>
        <v>A</v>
      </c>
      <c r="V413" s="590" t="str" cm="1">
        <f t="array" ref="V413">RIGHT(L413,1)</f>
        <v>F</v>
      </c>
      <c r="W413" s="590" t="str" cm="1">
        <f t="array" ref="W413">RIGHT(M413,1)</f>
        <v>E</v>
      </c>
      <c r="X413" s="590" t="str" cm="1">
        <f t="array" ref="X413">RIGHT(N413,1)</f>
        <v>K</v>
      </c>
      <c r="Y413" s="708" cm="1">
        <f t="array" ref="Y413">COUNTIF($AA$2:$AA$9,Q413)+COUNTIF($AA$2:$AA$9,R413)+COUNTIF($AA$2:$AA$9,S413)+COUNTIF($AA$2:$AA$9,T413)+COUNTIF($AA$2:$AA$9,U413)+COUNTIF($AA$2:$AA$9,V413)+COUNTIF($AA$2:$AA$9,W413)+COUNTIF($AA$2:$AA$9,X413)</f>
        <v>5</v>
      </c>
      <c r="Z413" s="589"/>
      <c r="AA413" s="589"/>
      <c r="AB413" s="589"/>
      <c r="AC413" s="589"/>
      <c r="AD413" s="589"/>
      <c r="AE413" s="589"/>
      <c r="AF413" s="589"/>
      <c r="AG413" s="589"/>
      <c r="AH413" s="589"/>
      <c r="AI413" s="589"/>
      <c r="AJ413" s="589"/>
      <c r="AK413" s="589"/>
      <c r="AL413" s="589"/>
      <c r="AM413" s="589"/>
      <c r="AN413" s="589"/>
      <c r="AO413" s="589"/>
      <c r="AP413" s="589"/>
      <c r="AQ413" s="589"/>
      <c r="AR413" s="589"/>
      <c r="AS413" s="589"/>
      <c r="AT413" s="589"/>
      <c r="AU413" s="589"/>
      <c r="AV413" s="589"/>
      <c r="AW413" s="589"/>
      <c r="AX413" s="589"/>
      <c r="AY413" s="589"/>
      <c r="AZ413" s="589"/>
      <c r="BA413" s="589"/>
      <c r="BB413" s="589"/>
      <c r="BC413" s="589"/>
      <c r="BD413" s="589"/>
      <c r="BE413" s="589"/>
      <c r="BF413" s="589"/>
      <c r="BG413" s="589"/>
      <c r="BH413" s="589"/>
      <c r="BI413" s="589"/>
      <c r="BJ413" s="589"/>
      <c r="BK413" s="589"/>
      <c r="BL413" s="589"/>
    </row>
    <row r="414" spans="1:64" ht="14.25" customHeight="1">
      <c r="A414" s="691" t="s">
        <v>751</v>
      </c>
      <c r="B414" s="589"/>
      <c r="C414" s="589"/>
      <c r="D414" s="589"/>
      <c r="E414" s="589"/>
      <c r="F414" s="591">
        <v>413</v>
      </c>
      <c r="G414" s="691" t="s">
        <v>197</v>
      </c>
      <c r="H414" s="691" t="s">
        <v>167</v>
      </c>
      <c r="I414" s="691" t="s">
        <v>137</v>
      </c>
      <c r="J414" s="691" t="s">
        <v>147</v>
      </c>
      <c r="K414" s="691" t="s">
        <v>125</v>
      </c>
      <c r="L414" s="691" t="s">
        <v>177</v>
      </c>
      <c r="M414" s="691" t="s">
        <v>237</v>
      </c>
      <c r="N414" s="691" t="s">
        <v>207</v>
      </c>
      <c r="O414" s="589"/>
      <c r="P414" s="717" cm="1">
        <f t="array" ref="P414">F414</f>
        <v>413</v>
      </c>
      <c r="Q414" s="620" t="str" cm="1">
        <f t="array" ref="Q414">RIGHT(G414,1)</f>
        <v>H</v>
      </c>
      <c r="R414" s="590" t="str" cm="1">
        <f t="array" ref="R414">RIGHT(H414,1)</f>
        <v>E</v>
      </c>
      <c r="S414" s="590" t="str" cm="1">
        <f t="array" ref="S414">RIGHT(I414,1)</f>
        <v>B</v>
      </c>
      <c r="T414" s="590" t="str" cm="1">
        <f t="array" ref="T414">RIGHT(J414,1)</f>
        <v>C</v>
      </c>
      <c r="U414" s="590" t="str" cm="1">
        <f t="array" ref="U414">RIGHT(K414,1)</f>
        <v>A</v>
      </c>
      <c r="V414" s="590" t="str" cm="1">
        <f t="array" ref="V414">RIGHT(L414,1)</f>
        <v>F</v>
      </c>
      <c r="W414" s="590" t="str" cm="1">
        <f t="array" ref="W414">RIGHT(M414,1)</f>
        <v>L</v>
      </c>
      <c r="X414" s="590" t="str" cm="1">
        <f t="array" ref="X414">RIGHT(N414,1)</f>
        <v>I</v>
      </c>
      <c r="Y414" s="708" cm="1">
        <f t="array" ref="Y414">COUNTIF($AA$2:$AA$9,Q414)+COUNTIF($AA$2:$AA$9,R414)+COUNTIF($AA$2:$AA$9,S414)+COUNTIF($AA$2:$AA$9,T414)+COUNTIF($AA$2:$AA$9,U414)+COUNTIF($AA$2:$AA$9,V414)+COUNTIF($AA$2:$AA$9,W414)+COUNTIF($AA$2:$AA$9,X414)</f>
        <v>6</v>
      </c>
      <c r="Z414" s="589"/>
      <c r="AA414" s="589"/>
      <c r="AB414" s="589"/>
      <c r="AC414" s="589"/>
      <c r="AD414" s="589"/>
      <c r="AE414" s="589"/>
      <c r="AF414" s="589"/>
      <c r="AG414" s="589"/>
      <c r="AH414" s="589"/>
      <c r="AI414" s="589"/>
      <c r="AJ414" s="589"/>
      <c r="AK414" s="589"/>
      <c r="AL414" s="589"/>
      <c r="AM414" s="589"/>
      <c r="AN414" s="589"/>
      <c r="AO414" s="589"/>
      <c r="AP414" s="589"/>
      <c r="AQ414" s="589"/>
      <c r="AR414" s="589"/>
      <c r="AS414" s="589"/>
      <c r="AT414" s="589"/>
      <c r="AU414" s="589"/>
      <c r="AV414" s="589"/>
      <c r="AW414" s="589"/>
      <c r="AX414" s="589"/>
      <c r="AY414" s="589"/>
      <c r="AZ414" s="589"/>
      <c r="BA414" s="589"/>
      <c r="BB414" s="589"/>
      <c r="BC414" s="589"/>
      <c r="BD414" s="589"/>
      <c r="BE414" s="589"/>
      <c r="BF414" s="589"/>
      <c r="BG414" s="589"/>
      <c r="BH414" s="589"/>
      <c r="BI414" s="589"/>
      <c r="BJ414" s="589"/>
      <c r="BK414" s="589"/>
      <c r="BL414" s="589"/>
    </row>
    <row r="415" spans="1:64" ht="14.25" customHeight="1">
      <c r="A415" s="691" t="s">
        <v>752</v>
      </c>
      <c r="B415" s="589"/>
      <c r="C415" s="589"/>
      <c r="D415" s="589"/>
      <c r="E415" s="589"/>
      <c r="F415" s="591">
        <v>414</v>
      </c>
      <c r="G415" s="691" t="s">
        <v>197</v>
      </c>
      <c r="H415" s="691" t="s">
        <v>167</v>
      </c>
      <c r="I415" s="691" t="s">
        <v>137</v>
      </c>
      <c r="J415" s="691" t="s">
        <v>147</v>
      </c>
      <c r="K415" s="691" t="s">
        <v>125</v>
      </c>
      <c r="L415" s="691" t="s">
        <v>177</v>
      </c>
      <c r="M415" s="691" t="s">
        <v>207</v>
      </c>
      <c r="N415" s="691" t="s">
        <v>227</v>
      </c>
      <c r="O415" s="589"/>
      <c r="P415" s="717" cm="1">
        <f t="array" ref="P415">F415</f>
        <v>414</v>
      </c>
      <c r="Q415" s="620" t="str" cm="1">
        <f t="array" ref="Q415">RIGHT(G415,1)</f>
        <v>H</v>
      </c>
      <c r="R415" s="590" t="str" cm="1">
        <f t="array" ref="R415">RIGHT(H415,1)</f>
        <v>E</v>
      </c>
      <c r="S415" s="590" t="str" cm="1">
        <f t="array" ref="S415">RIGHT(I415,1)</f>
        <v>B</v>
      </c>
      <c r="T415" s="590" t="str" cm="1">
        <f t="array" ref="T415">RIGHT(J415,1)</f>
        <v>C</v>
      </c>
      <c r="U415" s="590" t="str" cm="1">
        <f t="array" ref="U415">RIGHT(K415,1)</f>
        <v>A</v>
      </c>
      <c r="V415" s="590" t="str" cm="1">
        <f t="array" ref="V415">RIGHT(L415,1)</f>
        <v>F</v>
      </c>
      <c r="W415" s="590" t="str" cm="1">
        <f t="array" ref="W415">RIGHT(M415,1)</f>
        <v>I</v>
      </c>
      <c r="X415" s="590" t="str" cm="1">
        <f t="array" ref="X415">RIGHT(N415,1)</f>
        <v>K</v>
      </c>
      <c r="Y415" s="708" cm="1">
        <f t="array" ref="Y415">COUNTIF($AA$2:$AA$9,Q415)+COUNTIF($AA$2:$AA$9,R415)+COUNTIF($AA$2:$AA$9,S415)+COUNTIF($AA$2:$AA$9,T415)+COUNTIF($AA$2:$AA$9,U415)+COUNTIF($AA$2:$AA$9,V415)+COUNTIF($AA$2:$AA$9,W415)+COUNTIF($AA$2:$AA$9,X415)</f>
        <v>5</v>
      </c>
      <c r="Z415" s="589"/>
      <c r="AA415" s="589"/>
      <c r="AB415" s="589"/>
      <c r="AC415" s="589"/>
      <c r="AD415" s="589"/>
      <c r="AE415" s="589"/>
      <c r="AF415" s="589"/>
      <c r="AG415" s="589"/>
      <c r="AH415" s="589"/>
      <c r="AI415" s="589"/>
      <c r="AJ415" s="589"/>
      <c r="AK415" s="589"/>
      <c r="AL415" s="589"/>
      <c r="AM415" s="589"/>
      <c r="AN415" s="589"/>
      <c r="AO415" s="589"/>
      <c r="AP415" s="589"/>
      <c r="AQ415" s="589"/>
      <c r="AR415" s="589"/>
      <c r="AS415" s="589"/>
      <c r="AT415" s="589"/>
      <c r="AU415" s="589"/>
      <c r="AV415" s="589"/>
      <c r="AW415" s="589"/>
      <c r="AX415" s="589"/>
      <c r="AY415" s="589"/>
      <c r="AZ415" s="589"/>
      <c r="BA415" s="589"/>
      <c r="BB415" s="589"/>
      <c r="BC415" s="589"/>
      <c r="BD415" s="589"/>
      <c r="BE415" s="589"/>
      <c r="BF415" s="589"/>
      <c r="BG415" s="589"/>
      <c r="BH415" s="589"/>
      <c r="BI415" s="589"/>
      <c r="BJ415" s="589"/>
      <c r="BK415" s="589"/>
      <c r="BL415" s="589"/>
    </row>
    <row r="416" spans="1:64" ht="14.25" customHeight="1">
      <c r="A416" s="691" t="s">
        <v>753</v>
      </c>
      <c r="B416" s="589"/>
      <c r="C416" s="589"/>
      <c r="D416" s="589"/>
      <c r="E416" s="589"/>
      <c r="F416" s="591">
        <v>415</v>
      </c>
      <c r="G416" s="691" t="s">
        <v>197</v>
      </c>
      <c r="H416" s="691" t="s">
        <v>217</v>
      </c>
      <c r="I416" s="691" t="s">
        <v>137</v>
      </c>
      <c r="J416" s="691" t="s">
        <v>147</v>
      </c>
      <c r="K416" s="691" t="s">
        <v>125</v>
      </c>
      <c r="L416" s="691" t="s">
        <v>177</v>
      </c>
      <c r="M416" s="691" t="s">
        <v>167</v>
      </c>
      <c r="N416" s="691" t="s">
        <v>207</v>
      </c>
      <c r="O416" s="589"/>
      <c r="P416" s="717" cm="1">
        <f t="array" ref="P416">F416</f>
        <v>415</v>
      </c>
      <c r="Q416" s="620" t="str" cm="1">
        <f t="array" ref="Q416">RIGHT(G416,1)</f>
        <v>H</v>
      </c>
      <c r="R416" s="590" t="str" cm="1">
        <f t="array" ref="R416">RIGHT(H416,1)</f>
        <v>J</v>
      </c>
      <c r="S416" s="590" t="str" cm="1">
        <f t="array" ref="S416">RIGHT(I416,1)</f>
        <v>B</v>
      </c>
      <c r="T416" s="590" t="str" cm="1">
        <f t="array" ref="T416">RIGHT(J416,1)</f>
        <v>C</v>
      </c>
      <c r="U416" s="590" t="str" cm="1">
        <f t="array" ref="U416">RIGHT(K416,1)</f>
        <v>A</v>
      </c>
      <c r="V416" s="590" t="str" cm="1">
        <f t="array" ref="V416">RIGHT(L416,1)</f>
        <v>F</v>
      </c>
      <c r="W416" s="590" t="str" cm="1">
        <f t="array" ref="W416">RIGHT(M416,1)</f>
        <v>E</v>
      </c>
      <c r="X416" s="590" t="str" cm="1">
        <f t="array" ref="X416">RIGHT(N416,1)</f>
        <v>I</v>
      </c>
      <c r="Y416" s="708" cm="1">
        <f t="array" ref="Y416">COUNTIF($AA$2:$AA$9,Q416)+COUNTIF($AA$2:$AA$9,R416)+COUNTIF($AA$2:$AA$9,S416)+COUNTIF($AA$2:$AA$9,T416)+COUNTIF($AA$2:$AA$9,U416)+COUNTIF($AA$2:$AA$9,V416)+COUNTIF($AA$2:$AA$9,W416)+COUNTIF($AA$2:$AA$9,X416)</f>
        <v>6</v>
      </c>
      <c r="Z416" s="589"/>
      <c r="AA416" s="589"/>
      <c r="AB416" s="589"/>
      <c r="AC416" s="589"/>
      <c r="AD416" s="589"/>
      <c r="AE416" s="589"/>
      <c r="AF416" s="589"/>
      <c r="AG416" s="589"/>
      <c r="AH416" s="589"/>
      <c r="AI416" s="589"/>
      <c r="AJ416" s="589"/>
      <c r="AK416" s="589"/>
      <c r="AL416" s="589"/>
      <c r="AM416" s="589"/>
      <c r="AN416" s="589"/>
      <c r="AO416" s="589"/>
      <c r="AP416" s="589"/>
      <c r="AQ416" s="589"/>
      <c r="AR416" s="589"/>
      <c r="AS416" s="589"/>
      <c r="AT416" s="589"/>
      <c r="AU416" s="589"/>
      <c r="AV416" s="589"/>
      <c r="AW416" s="589"/>
      <c r="AX416" s="589"/>
      <c r="AY416" s="589"/>
      <c r="AZ416" s="589"/>
      <c r="BA416" s="589"/>
      <c r="BB416" s="589"/>
      <c r="BC416" s="589"/>
      <c r="BD416" s="589"/>
      <c r="BE416" s="589"/>
      <c r="BF416" s="589"/>
      <c r="BG416" s="589"/>
      <c r="BH416" s="589"/>
      <c r="BI416" s="589"/>
      <c r="BJ416" s="589"/>
      <c r="BK416" s="589"/>
      <c r="BL416" s="589"/>
    </row>
    <row r="417" spans="1:64" ht="14.25" customHeight="1">
      <c r="A417" s="691" t="s">
        <v>754</v>
      </c>
      <c r="B417" s="589"/>
      <c r="C417" s="589"/>
      <c r="D417" s="589"/>
      <c r="E417" s="589"/>
      <c r="F417" s="591">
        <v>416</v>
      </c>
      <c r="G417" s="691" t="s">
        <v>167</v>
      </c>
      <c r="H417" s="691" t="s">
        <v>187</v>
      </c>
      <c r="I417" s="691" t="s">
        <v>137</v>
      </c>
      <c r="J417" s="691" t="s">
        <v>147</v>
      </c>
      <c r="K417" s="691" t="s">
        <v>125</v>
      </c>
      <c r="L417" s="691" t="s">
        <v>177</v>
      </c>
      <c r="M417" s="691" t="s">
        <v>237</v>
      </c>
      <c r="N417" s="691" t="s">
        <v>227</v>
      </c>
      <c r="O417" s="589"/>
      <c r="P417" s="717" cm="1">
        <f t="array" ref="P417">F417</f>
        <v>416</v>
      </c>
      <c r="Q417" s="620" t="str" cm="1">
        <f t="array" ref="Q417">RIGHT(G417,1)</f>
        <v>E</v>
      </c>
      <c r="R417" s="590" t="str" cm="1">
        <f t="array" ref="R417">RIGHT(H417,1)</f>
        <v>G</v>
      </c>
      <c r="S417" s="590" t="str" cm="1">
        <f t="array" ref="S417">RIGHT(I417,1)</f>
        <v>B</v>
      </c>
      <c r="T417" s="590" t="str" cm="1">
        <f t="array" ref="T417">RIGHT(J417,1)</f>
        <v>C</v>
      </c>
      <c r="U417" s="590" t="str" cm="1">
        <f t="array" ref="U417">RIGHT(K417,1)</f>
        <v>A</v>
      </c>
      <c r="V417" s="590" t="str" cm="1">
        <f t="array" ref="V417">RIGHT(L417,1)</f>
        <v>F</v>
      </c>
      <c r="W417" s="590" t="str" cm="1">
        <f t="array" ref="W417">RIGHT(M417,1)</f>
        <v>L</v>
      </c>
      <c r="X417" s="590" t="str" cm="1">
        <f t="array" ref="X417">RIGHT(N417,1)</f>
        <v>K</v>
      </c>
      <c r="Y417" s="708" cm="1">
        <f t="array" ref="Y417">COUNTIF($AA$2:$AA$9,Q417)+COUNTIF($AA$2:$AA$9,R417)+COUNTIF($AA$2:$AA$9,S417)+COUNTIF($AA$2:$AA$9,T417)+COUNTIF($AA$2:$AA$9,U417)+COUNTIF($AA$2:$AA$9,V417)+COUNTIF($AA$2:$AA$9,W417)+COUNTIF($AA$2:$AA$9,X417)</f>
        <v>5</v>
      </c>
      <c r="Z417" s="589"/>
      <c r="AA417" s="589"/>
      <c r="AB417" s="589"/>
      <c r="AC417" s="589"/>
      <c r="AD417" s="589"/>
      <c r="AE417" s="589"/>
      <c r="AF417" s="589"/>
      <c r="AG417" s="589"/>
      <c r="AH417" s="589"/>
      <c r="AI417" s="589"/>
      <c r="AJ417" s="589"/>
      <c r="AK417" s="589"/>
      <c r="AL417" s="589"/>
      <c r="AM417" s="589"/>
      <c r="AN417" s="589"/>
      <c r="AO417" s="589"/>
      <c r="AP417" s="589"/>
      <c r="AQ417" s="589"/>
      <c r="AR417" s="589"/>
      <c r="AS417" s="589"/>
      <c r="AT417" s="589"/>
      <c r="AU417" s="589"/>
      <c r="AV417" s="589"/>
      <c r="AW417" s="589"/>
      <c r="AX417" s="589"/>
      <c r="AY417" s="589"/>
      <c r="AZ417" s="589"/>
      <c r="BA417" s="589"/>
      <c r="BB417" s="589"/>
      <c r="BC417" s="589"/>
      <c r="BD417" s="589"/>
      <c r="BE417" s="589"/>
      <c r="BF417" s="589"/>
      <c r="BG417" s="589"/>
      <c r="BH417" s="589"/>
      <c r="BI417" s="589"/>
      <c r="BJ417" s="589"/>
      <c r="BK417" s="589"/>
      <c r="BL417" s="589"/>
    </row>
    <row r="418" spans="1:64" ht="14.25" customHeight="1">
      <c r="A418" s="691" t="s">
        <v>755</v>
      </c>
      <c r="B418" s="589"/>
      <c r="C418" s="589"/>
      <c r="D418" s="589"/>
      <c r="E418" s="589"/>
      <c r="F418" s="591">
        <v>417</v>
      </c>
      <c r="G418" s="691" t="s">
        <v>167</v>
      </c>
      <c r="H418" s="691" t="s">
        <v>187</v>
      </c>
      <c r="I418" s="691" t="s">
        <v>137</v>
      </c>
      <c r="J418" s="691" t="s">
        <v>147</v>
      </c>
      <c r="K418" s="691" t="s">
        <v>125</v>
      </c>
      <c r="L418" s="691" t="s">
        <v>177</v>
      </c>
      <c r="M418" s="691" t="s">
        <v>237</v>
      </c>
      <c r="N418" s="691" t="s">
        <v>217</v>
      </c>
      <c r="O418" s="589"/>
      <c r="P418" s="717" cm="1">
        <f t="array" ref="P418">F418</f>
        <v>417</v>
      </c>
      <c r="Q418" s="620" t="str" cm="1">
        <f t="array" ref="Q418">RIGHT(G418,1)</f>
        <v>E</v>
      </c>
      <c r="R418" s="590" t="str" cm="1">
        <f t="array" ref="R418">RIGHT(H418,1)</f>
        <v>G</v>
      </c>
      <c r="S418" s="590" t="str" cm="1">
        <f t="array" ref="S418">RIGHT(I418,1)</f>
        <v>B</v>
      </c>
      <c r="T418" s="590" t="str" cm="1">
        <f t="array" ref="T418">RIGHT(J418,1)</f>
        <v>C</v>
      </c>
      <c r="U418" s="590" t="str" cm="1">
        <f t="array" ref="U418">RIGHT(K418,1)</f>
        <v>A</v>
      </c>
      <c r="V418" s="590" t="str" cm="1">
        <f t="array" ref="V418">RIGHT(L418,1)</f>
        <v>F</v>
      </c>
      <c r="W418" s="590" t="str" cm="1">
        <f t="array" ref="W418">RIGHT(M418,1)</f>
        <v>L</v>
      </c>
      <c r="X418" s="590" t="str" cm="1">
        <f t="array" ref="X418">RIGHT(N418,1)</f>
        <v>J</v>
      </c>
      <c r="Y418" s="708" cm="1">
        <f t="array" ref="Y418">COUNTIF($AA$2:$AA$9,Q418)+COUNTIF($AA$2:$AA$9,R418)+COUNTIF($AA$2:$AA$9,S418)+COUNTIF($AA$2:$AA$9,T418)+COUNTIF($AA$2:$AA$9,U418)+COUNTIF($AA$2:$AA$9,V418)+COUNTIF($AA$2:$AA$9,W418)+COUNTIF($AA$2:$AA$9,X418)</f>
        <v>6</v>
      </c>
      <c r="Z418" s="589"/>
      <c r="AA418" s="589"/>
      <c r="AB418" s="589"/>
      <c r="AC418" s="589"/>
      <c r="AD418" s="589"/>
      <c r="AE418" s="589"/>
      <c r="AF418" s="589"/>
      <c r="AG418" s="589"/>
      <c r="AH418" s="589"/>
      <c r="AI418" s="589"/>
      <c r="AJ418" s="589"/>
      <c r="AK418" s="589"/>
      <c r="AL418" s="589"/>
      <c r="AM418" s="589"/>
      <c r="AN418" s="589"/>
      <c r="AO418" s="589"/>
      <c r="AP418" s="589"/>
      <c r="AQ418" s="589"/>
      <c r="AR418" s="589"/>
      <c r="AS418" s="589"/>
      <c r="AT418" s="589"/>
      <c r="AU418" s="589"/>
      <c r="AV418" s="589"/>
      <c r="AW418" s="589"/>
      <c r="AX418" s="589"/>
      <c r="AY418" s="589"/>
      <c r="AZ418" s="589"/>
      <c r="BA418" s="589"/>
      <c r="BB418" s="589"/>
      <c r="BC418" s="589"/>
      <c r="BD418" s="589"/>
      <c r="BE418" s="589"/>
      <c r="BF418" s="589"/>
      <c r="BG418" s="589"/>
      <c r="BH418" s="589"/>
      <c r="BI418" s="589"/>
      <c r="BJ418" s="589"/>
      <c r="BK418" s="589"/>
      <c r="BL418" s="589"/>
    </row>
    <row r="419" spans="1:64" ht="14.25" customHeight="1">
      <c r="A419" s="691" t="s">
        <v>756</v>
      </c>
      <c r="B419" s="589"/>
      <c r="C419" s="589"/>
      <c r="D419" s="589"/>
      <c r="E419" s="589"/>
      <c r="F419" s="591">
        <v>418</v>
      </c>
      <c r="G419" s="691" t="s">
        <v>167</v>
      </c>
      <c r="H419" s="691" t="s">
        <v>187</v>
      </c>
      <c r="I419" s="691" t="s">
        <v>137</v>
      </c>
      <c r="J419" s="691" t="s">
        <v>147</v>
      </c>
      <c r="K419" s="691" t="s">
        <v>125</v>
      </c>
      <c r="L419" s="691" t="s">
        <v>177</v>
      </c>
      <c r="M419" s="691" t="s">
        <v>217</v>
      </c>
      <c r="N419" s="691" t="s">
        <v>227</v>
      </c>
      <c r="O419" s="589"/>
      <c r="P419" s="717" cm="1">
        <f t="array" ref="P419">F419</f>
        <v>418</v>
      </c>
      <c r="Q419" s="620" t="str" cm="1">
        <f t="array" ref="Q419">RIGHT(G419,1)</f>
        <v>E</v>
      </c>
      <c r="R419" s="590" t="str" cm="1">
        <f t="array" ref="R419">RIGHT(H419,1)</f>
        <v>G</v>
      </c>
      <c r="S419" s="590" t="str" cm="1">
        <f t="array" ref="S419">RIGHT(I419,1)</f>
        <v>B</v>
      </c>
      <c r="T419" s="590" t="str" cm="1">
        <f t="array" ref="T419">RIGHT(J419,1)</f>
        <v>C</v>
      </c>
      <c r="U419" s="590" t="str" cm="1">
        <f t="array" ref="U419">RIGHT(K419,1)</f>
        <v>A</v>
      </c>
      <c r="V419" s="590" t="str" cm="1">
        <f t="array" ref="V419">RIGHT(L419,1)</f>
        <v>F</v>
      </c>
      <c r="W419" s="590" t="str" cm="1">
        <f t="array" ref="W419">RIGHT(M419,1)</f>
        <v>J</v>
      </c>
      <c r="X419" s="590" t="str" cm="1">
        <f t="array" ref="X419">RIGHT(N419,1)</f>
        <v>K</v>
      </c>
      <c r="Y419" s="708" cm="1">
        <f t="array" ref="Y419">COUNTIF($AA$2:$AA$9,Q419)+COUNTIF($AA$2:$AA$9,R419)+COUNTIF($AA$2:$AA$9,S419)+COUNTIF($AA$2:$AA$9,T419)+COUNTIF($AA$2:$AA$9,U419)+COUNTIF($AA$2:$AA$9,V419)+COUNTIF($AA$2:$AA$9,W419)+COUNTIF($AA$2:$AA$9,X419)</f>
        <v>5</v>
      </c>
      <c r="Z419" s="589"/>
      <c r="AA419" s="589"/>
      <c r="AB419" s="589"/>
      <c r="AC419" s="589"/>
      <c r="AD419" s="589"/>
      <c r="AE419" s="589"/>
      <c r="AF419" s="589"/>
      <c r="AG419" s="589"/>
      <c r="AH419" s="589"/>
      <c r="AI419" s="589"/>
      <c r="AJ419" s="589"/>
      <c r="AK419" s="589"/>
      <c r="AL419" s="589"/>
      <c r="AM419" s="589"/>
      <c r="AN419" s="589"/>
      <c r="AO419" s="589"/>
      <c r="AP419" s="589"/>
      <c r="AQ419" s="589"/>
      <c r="AR419" s="589"/>
      <c r="AS419" s="589"/>
      <c r="AT419" s="589"/>
      <c r="AU419" s="589"/>
      <c r="AV419" s="589"/>
      <c r="AW419" s="589"/>
      <c r="AX419" s="589"/>
      <c r="AY419" s="589"/>
      <c r="AZ419" s="589"/>
      <c r="BA419" s="589"/>
      <c r="BB419" s="589"/>
      <c r="BC419" s="589"/>
      <c r="BD419" s="589"/>
      <c r="BE419" s="589"/>
      <c r="BF419" s="589"/>
      <c r="BG419" s="589"/>
      <c r="BH419" s="589"/>
      <c r="BI419" s="589"/>
      <c r="BJ419" s="589"/>
      <c r="BK419" s="589"/>
      <c r="BL419" s="589"/>
    </row>
    <row r="420" spans="1:64" ht="14.25" customHeight="1">
      <c r="A420" s="691" t="s">
        <v>757</v>
      </c>
      <c r="B420" s="589"/>
      <c r="C420" s="589"/>
      <c r="D420" s="589"/>
      <c r="E420" s="589"/>
      <c r="F420" s="591">
        <v>419</v>
      </c>
      <c r="G420" s="691" t="s">
        <v>167</v>
      </c>
      <c r="H420" s="691" t="s">
        <v>187</v>
      </c>
      <c r="I420" s="691" t="s">
        <v>137</v>
      </c>
      <c r="J420" s="691" t="s">
        <v>147</v>
      </c>
      <c r="K420" s="691" t="s">
        <v>125</v>
      </c>
      <c r="L420" s="691" t="s">
        <v>177</v>
      </c>
      <c r="M420" s="691" t="s">
        <v>237</v>
      </c>
      <c r="N420" s="691" t="s">
        <v>207</v>
      </c>
      <c r="O420" s="589"/>
      <c r="P420" s="717" cm="1">
        <f t="array" ref="P420">F420</f>
        <v>419</v>
      </c>
      <c r="Q420" s="620" t="str" cm="1">
        <f t="array" ref="Q420">RIGHT(G420,1)</f>
        <v>E</v>
      </c>
      <c r="R420" s="590" t="str" cm="1">
        <f t="array" ref="R420">RIGHT(H420,1)</f>
        <v>G</v>
      </c>
      <c r="S420" s="590" t="str" cm="1">
        <f t="array" ref="S420">RIGHT(I420,1)</f>
        <v>B</v>
      </c>
      <c r="T420" s="590" t="str" cm="1">
        <f t="array" ref="T420">RIGHT(J420,1)</f>
        <v>C</v>
      </c>
      <c r="U420" s="590" t="str" cm="1">
        <f t="array" ref="U420">RIGHT(K420,1)</f>
        <v>A</v>
      </c>
      <c r="V420" s="590" t="str" cm="1">
        <f t="array" ref="V420">RIGHT(L420,1)</f>
        <v>F</v>
      </c>
      <c r="W420" s="590" t="str" cm="1">
        <f t="array" ref="W420">RIGHT(M420,1)</f>
        <v>L</v>
      </c>
      <c r="X420" s="590" t="str" cm="1">
        <f t="array" ref="X420">RIGHT(N420,1)</f>
        <v>I</v>
      </c>
      <c r="Y420" s="708" cm="1">
        <f t="array" ref="Y420">COUNTIF($AA$2:$AA$9,Q420)+COUNTIF($AA$2:$AA$9,R420)+COUNTIF($AA$2:$AA$9,S420)+COUNTIF($AA$2:$AA$9,T420)+COUNTIF($AA$2:$AA$9,U420)+COUNTIF($AA$2:$AA$9,V420)+COUNTIF($AA$2:$AA$9,W420)+COUNTIF($AA$2:$AA$9,X420)</f>
        <v>6</v>
      </c>
      <c r="Z420" s="589"/>
      <c r="AA420" s="589"/>
      <c r="AB420" s="589"/>
      <c r="AC420" s="589"/>
      <c r="AD420" s="589"/>
      <c r="AE420" s="589"/>
      <c r="AF420" s="589"/>
      <c r="AG420" s="589"/>
      <c r="AH420" s="589"/>
      <c r="AI420" s="589"/>
      <c r="AJ420" s="589"/>
      <c r="AK420" s="589"/>
      <c r="AL420" s="589"/>
      <c r="AM420" s="589"/>
      <c r="AN420" s="589"/>
      <c r="AO420" s="589"/>
      <c r="AP420" s="589"/>
      <c r="AQ420" s="589"/>
      <c r="AR420" s="589"/>
      <c r="AS420" s="589"/>
      <c r="AT420" s="589"/>
      <c r="AU420" s="589"/>
      <c r="AV420" s="589"/>
      <c r="AW420" s="589"/>
      <c r="AX420" s="589"/>
      <c r="AY420" s="589"/>
      <c r="AZ420" s="589"/>
      <c r="BA420" s="589"/>
      <c r="BB420" s="589"/>
      <c r="BC420" s="589"/>
      <c r="BD420" s="589"/>
      <c r="BE420" s="589"/>
      <c r="BF420" s="589"/>
      <c r="BG420" s="589"/>
      <c r="BH420" s="589"/>
      <c r="BI420" s="589"/>
      <c r="BJ420" s="589"/>
      <c r="BK420" s="589"/>
      <c r="BL420" s="589"/>
    </row>
    <row r="421" spans="1:64" ht="14.25" customHeight="1">
      <c r="A421" s="691" t="s">
        <v>758</v>
      </c>
      <c r="B421" s="589"/>
      <c r="C421" s="589"/>
      <c r="D421" s="589"/>
      <c r="E421" s="589"/>
      <c r="F421" s="591">
        <v>420</v>
      </c>
      <c r="G421" s="691" t="s">
        <v>167</v>
      </c>
      <c r="H421" s="691" t="s">
        <v>187</v>
      </c>
      <c r="I421" s="691" t="s">
        <v>137</v>
      </c>
      <c r="J421" s="691" t="s">
        <v>147</v>
      </c>
      <c r="K421" s="691" t="s">
        <v>125</v>
      </c>
      <c r="L421" s="691" t="s">
        <v>177</v>
      </c>
      <c r="M421" s="691" t="s">
        <v>207</v>
      </c>
      <c r="N421" s="691" t="s">
        <v>227</v>
      </c>
      <c r="O421" s="589"/>
      <c r="P421" s="717" cm="1">
        <f t="array" ref="P421">F421</f>
        <v>420</v>
      </c>
      <c r="Q421" s="620" t="str" cm="1">
        <f t="array" ref="Q421">RIGHT(G421,1)</f>
        <v>E</v>
      </c>
      <c r="R421" s="590" t="str" cm="1">
        <f t="array" ref="R421">RIGHT(H421,1)</f>
        <v>G</v>
      </c>
      <c r="S421" s="590" t="str" cm="1">
        <f t="array" ref="S421">RIGHT(I421,1)</f>
        <v>B</v>
      </c>
      <c r="T421" s="590" t="str" cm="1">
        <f t="array" ref="T421">RIGHT(J421,1)</f>
        <v>C</v>
      </c>
      <c r="U421" s="590" t="str" cm="1">
        <f t="array" ref="U421">RIGHT(K421,1)</f>
        <v>A</v>
      </c>
      <c r="V421" s="590" t="str" cm="1">
        <f t="array" ref="V421">RIGHT(L421,1)</f>
        <v>F</v>
      </c>
      <c r="W421" s="590" t="str" cm="1">
        <f t="array" ref="W421">RIGHT(M421,1)</f>
        <v>I</v>
      </c>
      <c r="X421" s="590" t="str" cm="1">
        <f t="array" ref="X421">RIGHT(N421,1)</f>
        <v>K</v>
      </c>
      <c r="Y421" s="708" cm="1">
        <f t="array" ref="Y421">COUNTIF($AA$2:$AA$9,Q421)+COUNTIF($AA$2:$AA$9,R421)+COUNTIF($AA$2:$AA$9,S421)+COUNTIF($AA$2:$AA$9,T421)+COUNTIF($AA$2:$AA$9,U421)+COUNTIF($AA$2:$AA$9,V421)+COUNTIF($AA$2:$AA$9,W421)+COUNTIF($AA$2:$AA$9,X421)</f>
        <v>5</v>
      </c>
      <c r="Z421" s="589"/>
      <c r="AA421" s="589"/>
      <c r="AB421" s="589"/>
      <c r="AC421" s="589"/>
      <c r="AD421" s="589"/>
      <c r="AE421" s="589"/>
      <c r="AF421" s="589"/>
      <c r="AG421" s="589"/>
      <c r="AH421" s="589"/>
      <c r="AI421" s="589"/>
      <c r="AJ421" s="589"/>
      <c r="AK421" s="589"/>
      <c r="AL421" s="589"/>
      <c r="AM421" s="589"/>
      <c r="AN421" s="589"/>
      <c r="AO421" s="589"/>
      <c r="AP421" s="589"/>
      <c r="AQ421" s="589"/>
      <c r="AR421" s="589"/>
      <c r="AS421" s="589"/>
      <c r="AT421" s="589"/>
      <c r="AU421" s="589"/>
      <c r="AV421" s="589"/>
      <c r="AW421" s="589"/>
      <c r="AX421" s="589"/>
      <c r="AY421" s="589"/>
      <c r="AZ421" s="589"/>
      <c r="BA421" s="589"/>
      <c r="BB421" s="589"/>
      <c r="BC421" s="589"/>
      <c r="BD421" s="589"/>
      <c r="BE421" s="589"/>
      <c r="BF421" s="589"/>
      <c r="BG421" s="589"/>
      <c r="BH421" s="589"/>
      <c r="BI421" s="589"/>
      <c r="BJ421" s="589"/>
      <c r="BK421" s="589"/>
      <c r="BL421" s="589"/>
    </row>
    <row r="422" spans="1:64" ht="14.25" customHeight="1">
      <c r="A422" s="691" t="s">
        <v>759</v>
      </c>
      <c r="B422" s="589"/>
      <c r="C422" s="589"/>
      <c r="D422" s="589"/>
      <c r="E422" s="589"/>
      <c r="F422" s="591">
        <v>421</v>
      </c>
      <c r="G422" s="691" t="s">
        <v>167</v>
      </c>
      <c r="H422" s="691" t="s">
        <v>187</v>
      </c>
      <c r="I422" s="691" t="s">
        <v>137</v>
      </c>
      <c r="J422" s="691" t="s">
        <v>147</v>
      </c>
      <c r="K422" s="691" t="s">
        <v>125</v>
      </c>
      <c r="L422" s="691" t="s">
        <v>177</v>
      </c>
      <c r="M422" s="691" t="s">
        <v>207</v>
      </c>
      <c r="N422" s="691" t="s">
        <v>217</v>
      </c>
      <c r="O422" s="589"/>
      <c r="P422" s="717" cm="1">
        <f t="array" ref="P422">F422</f>
        <v>421</v>
      </c>
      <c r="Q422" s="620" t="str" cm="1">
        <f t="array" ref="Q422">RIGHT(G422,1)</f>
        <v>E</v>
      </c>
      <c r="R422" s="590" t="str" cm="1">
        <f t="array" ref="R422">RIGHT(H422,1)</f>
        <v>G</v>
      </c>
      <c r="S422" s="590" t="str" cm="1">
        <f t="array" ref="S422">RIGHT(I422,1)</f>
        <v>B</v>
      </c>
      <c r="T422" s="590" t="str" cm="1">
        <f t="array" ref="T422">RIGHT(J422,1)</f>
        <v>C</v>
      </c>
      <c r="U422" s="590" t="str" cm="1">
        <f t="array" ref="U422">RIGHT(K422,1)</f>
        <v>A</v>
      </c>
      <c r="V422" s="590" t="str" cm="1">
        <f t="array" ref="V422">RIGHT(L422,1)</f>
        <v>F</v>
      </c>
      <c r="W422" s="590" t="str" cm="1">
        <f t="array" ref="W422">RIGHT(M422,1)</f>
        <v>I</v>
      </c>
      <c r="X422" s="590" t="str" cm="1">
        <f t="array" ref="X422">RIGHT(N422,1)</f>
        <v>J</v>
      </c>
      <c r="Y422" s="708" cm="1">
        <f t="array" ref="Y422">COUNTIF($AA$2:$AA$9,Q422)+COUNTIF($AA$2:$AA$9,R422)+COUNTIF($AA$2:$AA$9,S422)+COUNTIF($AA$2:$AA$9,T422)+COUNTIF($AA$2:$AA$9,U422)+COUNTIF($AA$2:$AA$9,V422)+COUNTIF($AA$2:$AA$9,W422)+COUNTIF($AA$2:$AA$9,X422)</f>
        <v>6</v>
      </c>
      <c r="Z422" s="589"/>
      <c r="AA422" s="589"/>
      <c r="AB422" s="589"/>
      <c r="AC422" s="589"/>
      <c r="AD422" s="589"/>
      <c r="AE422" s="589"/>
      <c r="AF422" s="589"/>
      <c r="AG422" s="589"/>
      <c r="AH422" s="589"/>
      <c r="AI422" s="589"/>
      <c r="AJ422" s="589"/>
      <c r="AK422" s="589"/>
      <c r="AL422" s="589"/>
      <c r="AM422" s="589"/>
      <c r="AN422" s="589"/>
      <c r="AO422" s="589"/>
      <c r="AP422" s="589"/>
      <c r="AQ422" s="589"/>
      <c r="AR422" s="589"/>
      <c r="AS422" s="589"/>
      <c r="AT422" s="589"/>
      <c r="AU422" s="589"/>
      <c r="AV422" s="589"/>
      <c r="AW422" s="589"/>
      <c r="AX422" s="589"/>
      <c r="AY422" s="589"/>
      <c r="AZ422" s="589"/>
      <c r="BA422" s="589"/>
      <c r="BB422" s="589"/>
      <c r="BC422" s="589"/>
      <c r="BD422" s="589"/>
      <c r="BE422" s="589"/>
      <c r="BF422" s="589"/>
      <c r="BG422" s="589"/>
      <c r="BH422" s="589"/>
      <c r="BI422" s="589"/>
      <c r="BJ422" s="589"/>
      <c r="BK422" s="589"/>
      <c r="BL422" s="589"/>
    </row>
    <row r="423" spans="1:64" ht="14.25" customHeight="1">
      <c r="A423" s="691" t="s">
        <v>760</v>
      </c>
      <c r="B423" s="589"/>
      <c r="C423" s="589"/>
      <c r="D423" s="589"/>
      <c r="E423" s="589"/>
      <c r="F423" s="591">
        <v>422</v>
      </c>
      <c r="G423" s="691" t="s">
        <v>197</v>
      </c>
      <c r="H423" s="691" t="s">
        <v>187</v>
      </c>
      <c r="I423" s="691" t="s">
        <v>137</v>
      </c>
      <c r="J423" s="691" t="s">
        <v>147</v>
      </c>
      <c r="K423" s="691" t="s">
        <v>125</v>
      </c>
      <c r="L423" s="691" t="s">
        <v>177</v>
      </c>
      <c r="M423" s="691" t="s">
        <v>237</v>
      </c>
      <c r="N423" s="691" t="s">
        <v>167</v>
      </c>
      <c r="O423" s="589"/>
      <c r="P423" s="717" cm="1">
        <f t="array" ref="P423">F423</f>
        <v>422</v>
      </c>
      <c r="Q423" s="620" t="str" cm="1">
        <f t="array" ref="Q423">RIGHT(G423,1)</f>
        <v>H</v>
      </c>
      <c r="R423" s="590" t="str" cm="1">
        <f t="array" ref="R423">RIGHT(H423,1)</f>
        <v>G</v>
      </c>
      <c r="S423" s="590" t="str" cm="1">
        <f t="array" ref="S423">RIGHT(I423,1)</f>
        <v>B</v>
      </c>
      <c r="T423" s="590" t="str" cm="1">
        <f t="array" ref="T423">RIGHT(J423,1)</f>
        <v>C</v>
      </c>
      <c r="U423" s="590" t="str" cm="1">
        <f t="array" ref="U423">RIGHT(K423,1)</f>
        <v>A</v>
      </c>
      <c r="V423" s="590" t="str" cm="1">
        <f t="array" ref="V423">RIGHT(L423,1)</f>
        <v>F</v>
      </c>
      <c r="W423" s="590" t="str" cm="1">
        <f t="array" ref="W423">RIGHT(M423,1)</f>
        <v>L</v>
      </c>
      <c r="X423" s="590" t="str" cm="1">
        <f t="array" ref="X423">RIGHT(N423,1)</f>
        <v>E</v>
      </c>
      <c r="Y423" s="708" cm="1">
        <f t="array" ref="Y423">COUNTIF($AA$2:$AA$9,Q423)+COUNTIF($AA$2:$AA$9,R423)+COUNTIF($AA$2:$AA$9,S423)+COUNTIF($AA$2:$AA$9,T423)+COUNTIF($AA$2:$AA$9,U423)+COUNTIF($AA$2:$AA$9,V423)+COUNTIF($AA$2:$AA$9,W423)+COUNTIF($AA$2:$AA$9,X423)</f>
        <v>5</v>
      </c>
      <c r="Z423" s="589"/>
      <c r="AA423" s="589"/>
      <c r="AB423" s="589"/>
      <c r="AC423" s="589"/>
      <c r="AD423" s="589"/>
      <c r="AE423" s="589"/>
      <c r="AF423" s="589"/>
      <c r="AG423" s="589"/>
      <c r="AH423" s="589"/>
      <c r="AI423" s="589"/>
      <c r="AJ423" s="589"/>
      <c r="AK423" s="589"/>
      <c r="AL423" s="589"/>
      <c r="AM423" s="589"/>
      <c r="AN423" s="589"/>
      <c r="AO423" s="589"/>
      <c r="AP423" s="589"/>
      <c r="AQ423" s="589"/>
      <c r="AR423" s="589"/>
      <c r="AS423" s="589"/>
      <c r="AT423" s="589"/>
      <c r="AU423" s="589"/>
      <c r="AV423" s="589"/>
      <c r="AW423" s="589"/>
      <c r="AX423" s="589"/>
      <c r="AY423" s="589"/>
      <c r="AZ423" s="589"/>
      <c r="BA423" s="589"/>
      <c r="BB423" s="589"/>
      <c r="BC423" s="589"/>
      <c r="BD423" s="589"/>
      <c r="BE423" s="589"/>
      <c r="BF423" s="589"/>
      <c r="BG423" s="589"/>
      <c r="BH423" s="589"/>
      <c r="BI423" s="589"/>
      <c r="BJ423" s="589"/>
      <c r="BK423" s="589"/>
      <c r="BL423" s="589"/>
    </row>
    <row r="424" spans="1:64" ht="14.25" customHeight="1">
      <c r="A424" s="691" t="s">
        <v>761</v>
      </c>
      <c r="B424" s="589"/>
      <c r="C424" s="589"/>
      <c r="D424" s="589"/>
      <c r="E424" s="589"/>
      <c r="F424" s="591">
        <v>423</v>
      </c>
      <c r="G424" s="691" t="s">
        <v>197</v>
      </c>
      <c r="H424" s="691" t="s">
        <v>187</v>
      </c>
      <c r="I424" s="691" t="s">
        <v>137</v>
      </c>
      <c r="J424" s="691" t="s">
        <v>147</v>
      </c>
      <c r="K424" s="691" t="s">
        <v>125</v>
      </c>
      <c r="L424" s="691" t="s">
        <v>177</v>
      </c>
      <c r="M424" s="691" t="s">
        <v>167</v>
      </c>
      <c r="N424" s="691" t="s">
        <v>227</v>
      </c>
      <c r="O424" s="589"/>
      <c r="P424" s="717" cm="1">
        <f t="array" ref="P424">F424</f>
        <v>423</v>
      </c>
      <c r="Q424" s="620" t="str" cm="1">
        <f t="array" ref="Q424">RIGHT(G424,1)</f>
        <v>H</v>
      </c>
      <c r="R424" s="590" t="str" cm="1">
        <f t="array" ref="R424">RIGHT(H424,1)</f>
        <v>G</v>
      </c>
      <c r="S424" s="590" t="str" cm="1">
        <f t="array" ref="S424">RIGHT(I424,1)</f>
        <v>B</v>
      </c>
      <c r="T424" s="590" t="str" cm="1">
        <f t="array" ref="T424">RIGHT(J424,1)</f>
        <v>C</v>
      </c>
      <c r="U424" s="590" t="str" cm="1">
        <f t="array" ref="U424">RIGHT(K424,1)</f>
        <v>A</v>
      </c>
      <c r="V424" s="590" t="str" cm="1">
        <f t="array" ref="V424">RIGHT(L424,1)</f>
        <v>F</v>
      </c>
      <c r="W424" s="590" t="str" cm="1">
        <f t="array" ref="W424">RIGHT(M424,1)</f>
        <v>E</v>
      </c>
      <c r="X424" s="590" t="str" cm="1">
        <f t="array" ref="X424">RIGHT(N424,1)</f>
        <v>K</v>
      </c>
      <c r="Y424" s="708" cm="1">
        <f t="array" ref="Y424">COUNTIF($AA$2:$AA$9,Q424)+COUNTIF($AA$2:$AA$9,R424)+COUNTIF($AA$2:$AA$9,S424)+COUNTIF($AA$2:$AA$9,T424)+COUNTIF($AA$2:$AA$9,U424)+COUNTIF($AA$2:$AA$9,V424)+COUNTIF($AA$2:$AA$9,W424)+COUNTIF($AA$2:$AA$9,X424)</f>
        <v>4</v>
      </c>
      <c r="Z424" s="589"/>
      <c r="AA424" s="589"/>
      <c r="AB424" s="589"/>
      <c r="AC424" s="589"/>
      <c r="AD424" s="589"/>
      <c r="AE424" s="589"/>
      <c r="AF424" s="589"/>
      <c r="AG424" s="589"/>
      <c r="AH424" s="589"/>
      <c r="AI424" s="589"/>
      <c r="AJ424" s="589"/>
      <c r="AK424" s="589"/>
      <c r="AL424" s="589"/>
      <c r="AM424" s="589"/>
      <c r="AN424" s="589"/>
      <c r="AO424" s="589"/>
      <c r="AP424" s="589"/>
      <c r="AQ424" s="589"/>
      <c r="AR424" s="589"/>
      <c r="AS424" s="589"/>
      <c r="AT424" s="589"/>
      <c r="AU424" s="589"/>
      <c r="AV424" s="589"/>
      <c r="AW424" s="589"/>
      <c r="AX424" s="589"/>
      <c r="AY424" s="589"/>
      <c r="AZ424" s="589"/>
      <c r="BA424" s="589"/>
      <c r="BB424" s="589"/>
      <c r="BC424" s="589"/>
      <c r="BD424" s="589"/>
      <c r="BE424" s="589"/>
      <c r="BF424" s="589"/>
      <c r="BG424" s="589"/>
      <c r="BH424" s="589"/>
      <c r="BI424" s="589"/>
      <c r="BJ424" s="589"/>
      <c r="BK424" s="589"/>
      <c r="BL424" s="589"/>
    </row>
    <row r="425" spans="1:64" ht="14.25" customHeight="1">
      <c r="A425" s="691" t="s">
        <v>762</v>
      </c>
      <c r="B425" s="589"/>
      <c r="C425" s="589"/>
      <c r="D425" s="589"/>
      <c r="E425" s="589"/>
      <c r="F425" s="591">
        <v>424</v>
      </c>
      <c r="G425" s="691" t="s">
        <v>197</v>
      </c>
      <c r="H425" s="691" t="s">
        <v>187</v>
      </c>
      <c r="I425" s="691" t="s">
        <v>137</v>
      </c>
      <c r="J425" s="691" t="s">
        <v>147</v>
      </c>
      <c r="K425" s="691" t="s">
        <v>125</v>
      </c>
      <c r="L425" s="691" t="s">
        <v>177</v>
      </c>
      <c r="M425" s="691" t="s">
        <v>167</v>
      </c>
      <c r="N425" s="691" t="s">
        <v>217</v>
      </c>
      <c r="O425" s="589"/>
      <c r="P425" s="717" cm="1">
        <f t="array" ref="P425">F425</f>
        <v>424</v>
      </c>
      <c r="Q425" s="620" t="str" cm="1">
        <f t="array" ref="Q425">RIGHT(G425,1)</f>
        <v>H</v>
      </c>
      <c r="R425" s="590" t="str" cm="1">
        <f t="array" ref="R425">RIGHT(H425,1)</f>
        <v>G</v>
      </c>
      <c r="S425" s="590" t="str" cm="1">
        <f t="array" ref="S425">RIGHT(I425,1)</f>
        <v>B</v>
      </c>
      <c r="T425" s="590" t="str" cm="1">
        <f t="array" ref="T425">RIGHT(J425,1)</f>
        <v>C</v>
      </c>
      <c r="U425" s="590" t="str" cm="1">
        <f t="array" ref="U425">RIGHT(K425,1)</f>
        <v>A</v>
      </c>
      <c r="V425" s="590" t="str" cm="1">
        <f t="array" ref="V425">RIGHT(L425,1)</f>
        <v>F</v>
      </c>
      <c r="W425" s="590" t="str" cm="1">
        <f t="array" ref="W425">RIGHT(M425,1)</f>
        <v>E</v>
      </c>
      <c r="X425" s="590" t="str" cm="1">
        <f t="array" ref="X425">RIGHT(N425,1)</f>
        <v>J</v>
      </c>
      <c r="Y425" s="708" cm="1">
        <f t="array" ref="Y425">COUNTIF($AA$2:$AA$9,Q425)+COUNTIF($AA$2:$AA$9,R425)+COUNTIF($AA$2:$AA$9,S425)+COUNTIF($AA$2:$AA$9,T425)+COUNTIF($AA$2:$AA$9,U425)+COUNTIF($AA$2:$AA$9,V425)+COUNTIF($AA$2:$AA$9,W425)+COUNTIF($AA$2:$AA$9,X425)</f>
        <v>5</v>
      </c>
      <c r="Z425" s="589"/>
      <c r="AA425" s="589"/>
      <c r="AB425" s="589"/>
      <c r="AC425" s="589"/>
      <c r="AD425" s="589"/>
      <c r="AE425" s="589"/>
      <c r="AF425" s="589"/>
      <c r="AG425" s="589"/>
      <c r="AH425" s="589"/>
      <c r="AI425" s="589"/>
      <c r="AJ425" s="589"/>
      <c r="AK425" s="589"/>
      <c r="AL425" s="589"/>
      <c r="AM425" s="589"/>
      <c r="AN425" s="589"/>
      <c r="AO425" s="589"/>
      <c r="AP425" s="589"/>
      <c r="AQ425" s="589"/>
      <c r="AR425" s="589"/>
      <c r="AS425" s="589"/>
      <c r="AT425" s="589"/>
      <c r="AU425" s="589"/>
      <c r="AV425" s="589"/>
      <c r="AW425" s="589"/>
      <c r="AX425" s="589"/>
      <c r="AY425" s="589"/>
      <c r="AZ425" s="589"/>
      <c r="BA425" s="589"/>
      <c r="BB425" s="589"/>
      <c r="BC425" s="589"/>
      <c r="BD425" s="589"/>
      <c r="BE425" s="589"/>
      <c r="BF425" s="589"/>
      <c r="BG425" s="589"/>
      <c r="BH425" s="589"/>
      <c r="BI425" s="589"/>
      <c r="BJ425" s="589"/>
      <c r="BK425" s="589"/>
      <c r="BL425" s="589"/>
    </row>
    <row r="426" spans="1:64" ht="14.25" customHeight="1">
      <c r="A426" s="691" t="s">
        <v>763</v>
      </c>
      <c r="B426" s="589"/>
      <c r="C426" s="589"/>
      <c r="D426" s="589"/>
      <c r="E426" s="589"/>
      <c r="F426" s="591">
        <v>425</v>
      </c>
      <c r="G426" s="691" t="s">
        <v>197</v>
      </c>
      <c r="H426" s="691" t="s">
        <v>187</v>
      </c>
      <c r="I426" s="691" t="s">
        <v>137</v>
      </c>
      <c r="J426" s="691" t="s">
        <v>147</v>
      </c>
      <c r="K426" s="691" t="s">
        <v>125</v>
      </c>
      <c r="L426" s="691" t="s">
        <v>177</v>
      </c>
      <c r="M426" s="691" t="s">
        <v>167</v>
      </c>
      <c r="N426" s="691" t="s">
        <v>207</v>
      </c>
      <c r="O426" s="589"/>
      <c r="P426" s="717" cm="1">
        <f t="array" ref="P426">F426</f>
        <v>425</v>
      </c>
      <c r="Q426" s="620" t="str" cm="1">
        <f t="array" ref="Q426">RIGHT(G426,1)</f>
        <v>H</v>
      </c>
      <c r="R426" s="590" t="str" cm="1">
        <f t="array" ref="R426">RIGHT(H426,1)</f>
        <v>G</v>
      </c>
      <c r="S426" s="590" t="str" cm="1">
        <f t="array" ref="S426">RIGHT(I426,1)</f>
        <v>B</v>
      </c>
      <c r="T426" s="590" t="str" cm="1">
        <f t="array" ref="T426">RIGHT(J426,1)</f>
        <v>C</v>
      </c>
      <c r="U426" s="590" t="str" cm="1">
        <f t="array" ref="U426">RIGHT(K426,1)</f>
        <v>A</v>
      </c>
      <c r="V426" s="590" t="str" cm="1">
        <f t="array" ref="V426">RIGHT(L426,1)</f>
        <v>F</v>
      </c>
      <c r="W426" s="590" t="str" cm="1">
        <f t="array" ref="W426">RIGHT(M426,1)</f>
        <v>E</v>
      </c>
      <c r="X426" s="590" t="str" cm="1">
        <f t="array" ref="X426">RIGHT(N426,1)</f>
        <v>I</v>
      </c>
      <c r="Y426" s="708" cm="1">
        <f t="array" ref="Y426">COUNTIF($AA$2:$AA$9,Q426)+COUNTIF($AA$2:$AA$9,R426)+COUNTIF($AA$2:$AA$9,S426)+COUNTIF($AA$2:$AA$9,T426)+COUNTIF($AA$2:$AA$9,U426)+COUNTIF($AA$2:$AA$9,V426)+COUNTIF($AA$2:$AA$9,W426)+COUNTIF($AA$2:$AA$9,X426)</f>
        <v>5</v>
      </c>
      <c r="Z426" s="589"/>
      <c r="AA426" s="589"/>
      <c r="AB426" s="589"/>
      <c r="AC426" s="589"/>
      <c r="AD426" s="589"/>
      <c r="AE426" s="589"/>
      <c r="AF426" s="589"/>
      <c r="AG426" s="589"/>
      <c r="AH426" s="589"/>
      <c r="AI426" s="589"/>
      <c r="AJ426" s="589"/>
      <c r="AK426" s="589"/>
      <c r="AL426" s="589"/>
      <c r="AM426" s="589"/>
      <c r="AN426" s="589"/>
      <c r="AO426" s="589"/>
      <c r="AP426" s="589"/>
      <c r="AQ426" s="589"/>
      <c r="AR426" s="589"/>
      <c r="AS426" s="589"/>
      <c r="AT426" s="589"/>
      <c r="AU426" s="589"/>
      <c r="AV426" s="589"/>
      <c r="AW426" s="589"/>
      <c r="AX426" s="589"/>
      <c r="AY426" s="589"/>
      <c r="AZ426" s="589"/>
      <c r="BA426" s="589"/>
      <c r="BB426" s="589"/>
      <c r="BC426" s="589"/>
      <c r="BD426" s="589"/>
      <c r="BE426" s="589"/>
      <c r="BF426" s="589"/>
      <c r="BG426" s="589"/>
      <c r="BH426" s="589"/>
      <c r="BI426" s="589"/>
      <c r="BJ426" s="589"/>
      <c r="BK426" s="589"/>
      <c r="BL426" s="589"/>
    </row>
    <row r="427" spans="1:64" ht="14.25" customHeight="1">
      <c r="A427" s="691" t="s">
        <v>764</v>
      </c>
      <c r="B427" s="589"/>
      <c r="C427" s="589"/>
      <c r="D427" s="589"/>
      <c r="E427" s="589"/>
      <c r="F427" s="591">
        <v>426</v>
      </c>
      <c r="G427" s="691" t="s">
        <v>207</v>
      </c>
      <c r="H427" s="691" t="s">
        <v>217</v>
      </c>
      <c r="I427" s="691" t="s">
        <v>137</v>
      </c>
      <c r="J427" s="691" t="s">
        <v>147</v>
      </c>
      <c r="K427" s="691" t="s">
        <v>125</v>
      </c>
      <c r="L427" s="691" t="s">
        <v>157</v>
      </c>
      <c r="M427" s="691" t="s">
        <v>237</v>
      </c>
      <c r="N427" s="691" t="s">
        <v>227</v>
      </c>
      <c r="O427" s="589"/>
      <c r="P427" s="717" cm="1">
        <f t="array" ref="P427">F427</f>
        <v>426</v>
      </c>
      <c r="Q427" s="620" t="str" cm="1">
        <f t="array" ref="Q427">RIGHT(G427,1)</f>
        <v>I</v>
      </c>
      <c r="R427" s="590" t="str" cm="1">
        <f t="array" ref="R427">RIGHT(H427,1)</f>
        <v>J</v>
      </c>
      <c r="S427" s="590" t="str" cm="1">
        <f t="array" ref="S427">RIGHT(I427,1)</f>
        <v>B</v>
      </c>
      <c r="T427" s="590" t="str" cm="1">
        <f t="array" ref="T427">RIGHT(J427,1)</f>
        <v>C</v>
      </c>
      <c r="U427" s="590" t="str" cm="1">
        <f t="array" ref="U427">RIGHT(K427,1)</f>
        <v>A</v>
      </c>
      <c r="V427" s="590" t="str" cm="1">
        <f t="array" ref="V427">RIGHT(L427,1)</f>
        <v>D</v>
      </c>
      <c r="W427" s="590" t="str" cm="1">
        <f t="array" ref="W427">RIGHT(M427,1)</f>
        <v>L</v>
      </c>
      <c r="X427" s="590" t="str" cm="1">
        <f t="array" ref="X427">RIGHT(N427,1)</f>
        <v>K</v>
      </c>
      <c r="Y427" s="708" cm="1">
        <f t="array" ref="Y427">COUNTIF($AA$2:$AA$9,Q427)+COUNTIF($AA$2:$AA$9,R427)+COUNTIF($AA$2:$AA$9,S427)+COUNTIF($AA$2:$AA$9,T427)+COUNTIF($AA$2:$AA$9,U427)+COUNTIF($AA$2:$AA$9,V427)+COUNTIF($AA$2:$AA$9,W427)+COUNTIF($AA$2:$AA$9,X427)</f>
        <v>6</v>
      </c>
      <c r="Z427" s="589"/>
      <c r="AA427" s="589"/>
      <c r="AB427" s="589"/>
      <c r="AC427" s="589"/>
      <c r="AD427" s="589"/>
      <c r="AE427" s="589"/>
      <c r="AF427" s="589"/>
      <c r="AG427" s="589"/>
      <c r="AH427" s="589"/>
      <c r="AI427" s="589"/>
      <c r="AJ427" s="589"/>
      <c r="AK427" s="589"/>
      <c r="AL427" s="589"/>
      <c r="AM427" s="589"/>
      <c r="AN427" s="589"/>
      <c r="AO427" s="589"/>
      <c r="AP427" s="589"/>
      <c r="AQ427" s="589"/>
      <c r="AR427" s="589"/>
      <c r="AS427" s="589"/>
      <c r="AT427" s="589"/>
      <c r="AU427" s="589"/>
      <c r="AV427" s="589"/>
      <c r="AW427" s="589"/>
      <c r="AX427" s="589"/>
      <c r="AY427" s="589"/>
      <c r="AZ427" s="589"/>
      <c r="BA427" s="589"/>
      <c r="BB427" s="589"/>
      <c r="BC427" s="589"/>
      <c r="BD427" s="589"/>
      <c r="BE427" s="589"/>
      <c r="BF427" s="589"/>
      <c r="BG427" s="589"/>
      <c r="BH427" s="589"/>
      <c r="BI427" s="589"/>
      <c r="BJ427" s="589"/>
      <c r="BK427" s="589"/>
      <c r="BL427" s="589"/>
    </row>
    <row r="428" spans="1:64" ht="14.25" customHeight="1">
      <c r="A428" s="691" t="s">
        <v>765</v>
      </c>
      <c r="B428" s="589"/>
      <c r="C428" s="589"/>
      <c r="D428" s="589"/>
      <c r="E428" s="589"/>
      <c r="F428" s="591">
        <v>427</v>
      </c>
      <c r="G428" s="691" t="s">
        <v>197</v>
      </c>
      <c r="H428" s="691" t="s">
        <v>217</v>
      </c>
      <c r="I428" s="691" t="s">
        <v>137</v>
      </c>
      <c r="J428" s="691" t="s">
        <v>147</v>
      </c>
      <c r="K428" s="691" t="s">
        <v>125</v>
      </c>
      <c r="L428" s="691" t="s">
        <v>157</v>
      </c>
      <c r="M428" s="691" t="s">
        <v>237</v>
      </c>
      <c r="N428" s="691" t="s">
        <v>227</v>
      </c>
      <c r="O428" s="589"/>
      <c r="P428" s="717" cm="1">
        <f t="array" ref="P428">F428</f>
        <v>427</v>
      </c>
      <c r="Q428" s="620" t="str" cm="1">
        <f t="array" ref="Q428">RIGHT(G428,1)</f>
        <v>H</v>
      </c>
      <c r="R428" s="590" t="str" cm="1">
        <f t="array" ref="R428">RIGHT(H428,1)</f>
        <v>J</v>
      </c>
      <c r="S428" s="590" t="str" cm="1">
        <f t="array" ref="S428">RIGHT(I428,1)</f>
        <v>B</v>
      </c>
      <c r="T428" s="590" t="str" cm="1">
        <f t="array" ref="T428">RIGHT(J428,1)</f>
        <v>C</v>
      </c>
      <c r="U428" s="590" t="str" cm="1">
        <f t="array" ref="U428">RIGHT(K428,1)</f>
        <v>A</v>
      </c>
      <c r="V428" s="590" t="str" cm="1">
        <f t="array" ref="V428">RIGHT(L428,1)</f>
        <v>D</v>
      </c>
      <c r="W428" s="590" t="str" cm="1">
        <f t="array" ref="W428">RIGHT(M428,1)</f>
        <v>L</v>
      </c>
      <c r="X428" s="590" t="str" cm="1">
        <f t="array" ref="X428">RIGHT(N428,1)</f>
        <v>K</v>
      </c>
      <c r="Y428" s="708" cm="1">
        <f t="array" ref="Y428">COUNTIF($AA$2:$AA$9,Q428)+COUNTIF($AA$2:$AA$9,R428)+COUNTIF($AA$2:$AA$9,S428)+COUNTIF($AA$2:$AA$9,T428)+COUNTIF($AA$2:$AA$9,U428)+COUNTIF($AA$2:$AA$9,V428)+COUNTIF($AA$2:$AA$9,W428)+COUNTIF($AA$2:$AA$9,X428)</f>
        <v>5</v>
      </c>
      <c r="Z428" s="589"/>
      <c r="AA428" s="589"/>
      <c r="AB428" s="589"/>
      <c r="AC428" s="589"/>
      <c r="AD428" s="589"/>
      <c r="AE428" s="589"/>
      <c r="AF428" s="589"/>
      <c r="AG428" s="589"/>
      <c r="AH428" s="589"/>
      <c r="AI428" s="589"/>
      <c r="AJ428" s="589"/>
      <c r="AK428" s="589"/>
      <c r="AL428" s="589"/>
      <c r="AM428" s="589"/>
      <c r="AN428" s="589"/>
      <c r="AO428" s="589"/>
      <c r="AP428" s="589"/>
      <c r="AQ428" s="589"/>
      <c r="AR428" s="589"/>
      <c r="AS428" s="589"/>
      <c r="AT428" s="589"/>
      <c r="AU428" s="589"/>
      <c r="AV428" s="589"/>
      <c r="AW428" s="589"/>
      <c r="AX428" s="589"/>
      <c r="AY428" s="589"/>
      <c r="AZ428" s="589"/>
      <c r="BA428" s="589"/>
      <c r="BB428" s="589"/>
      <c r="BC428" s="589"/>
      <c r="BD428" s="589"/>
      <c r="BE428" s="589"/>
      <c r="BF428" s="589"/>
      <c r="BG428" s="589"/>
      <c r="BH428" s="589"/>
      <c r="BI428" s="589"/>
      <c r="BJ428" s="589"/>
      <c r="BK428" s="589"/>
      <c r="BL428" s="589"/>
    </row>
    <row r="429" spans="1:64" ht="14.25" customHeight="1">
      <c r="A429" s="691" t="s">
        <v>766</v>
      </c>
      <c r="B429" s="589"/>
      <c r="C429" s="589"/>
      <c r="D429" s="589"/>
      <c r="E429" s="589"/>
      <c r="F429" s="591">
        <v>428</v>
      </c>
      <c r="G429" s="691" t="s">
        <v>197</v>
      </c>
      <c r="H429" s="691" t="s">
        <v>207</v>
      </c>
      <c r="I429" s="691" t="s">
        <v>137</v>
      </c>
      <c r="J429" s="691" t="s">
        <v>147</v>
      </c>
      <c r="K429" s="691" t="s">
        <v>125</v>
      </c>
      <c r="L429" s="691" t="s">
        <v>157</v>
      </c>
      <c r="M429" s="691" t="s">
        <v>237</v>
      </c>
      <c r="N429" s="691" t="s">
        <v>227</v>
      </c>
      <c r="O429" s="589"/>
      <c r="P429" s="717" cm="1">
        <f t="array" ref="P429">F429</f>
        <v>428</v>
      </c>
      <c r="Q429" s="620" t="str" cm="1">
        <f t="array" ref="Q429">RIGHT(G429,1)</f>
        <v>H</v>
      </c>
      <c r="R429" s="590" t="str" cm="1">
        <f t="array" ref="R429">RIGHT(H429,1)</f>
        <v>I</v>
      </c>
      <c r="S429" s="590" t="str" cm="1">
        <f t="array" ref="S429">RIGHT(I429,1)</f>
        <v>B</v>
      </c>
      <c r="T429" s="590" t="str" cm="1">
        <f t="array" ref="T429">RIGHT(J429,1)</f>
        <v>C</v>
      </c>
      <c r="U429" s="590" t="str" cm="1">
        <f t="array" ref="U429">RIGHT(K429,1)</f>
        <v>A</v>
      </c>
      <c r="V429" s="590" t="str" cm="1">
        <f t="array" ref="V429">RIGHT(L429,1)</f>
        <v>D</v>
      </c>
      <c r="W429" s="590" t="str" cm="1">
        <f t="array" ref="W429">RIGHT(M429,1)</f>
        <v>L</v>
      </c>
      <c r="X429" s="590" t="str" cm="1">
        <f t="array" ref="X429">RIGHT(N429,1)</f>
        <v>K</v>
      </c>
      <c r="Y429" s="708" cm="1">
        <f t="array" ref="Y429">COUNTIF($AA$2:$AA$9,Q429)+COUNTIF($AA$2:$AA$9,R429)+COUNTIF($AA$2:$AA$9,S429)+COUNTIF($AA$2:$AA$9,T429)+COUNTIF($AA$2:$AA$9,U429)+COUNTIF($AA$2:$AA$9,V429)+COUNTIF($AA$2:$AA$9,W429)+COUNTIF($AA$2:$AA$9,X429)</f>
        <v>5</v>
      </c>
      <c r="Z429" s="589"/>
      <c r="AA429" s="589"/>
      <c r="AB429" s="589"/>
      <c r="AC429" s="589"/>
      <c r="AD429" s="589"/>
      <c r="AE429" s="589"/>
      <c r="AF429" s="589"/>
      <c r="AG429" s="589"/>
      <c r="AH429" s="589"/>
      <c r="AI429" s="589"/>
      <c r="AJ429" s="589"/>
      <c r="AK429" s="589"/>
      <c r="AL429" s="589"/>
      <c r="AM429" s="589"/>
      <c r="AN429" s="589"/>
      <c r="AO429" s="589"/>
      <c r="AP429" s="589"/>
      <c r="AQ429" s="589"/>
      <c r="AR429" s="589"/>
      <c r="AS429" s="589"/>
      <c r="AT429" s="589"/>
      <c r="AU429" s="589"/>
      <c r="AV429" s="589"/>
      <c r="AW429" s="589"/>
      <c r="AX429" s="589"/>
      <c r="AY429" s="589"/>
      <c r="AZ429" s="589"/>
      <c r="BA429" s="589"/>
      <c r="BB429" s="589"/>
      <c r="BC429" s="589"/>
      <c r="BD429" s="589"/>
      <c r="BE429" s="589"/>
      <c r="BF429" s="589"/>
      <c r="BG429" s="589"/>
      <c r="BH429" s="589"/>
      <c r="BI429" s="589"/>
      <c r="BJ429" s="589"/>
      <c r="BK429" s="589"/>
      <c r="BL429" s="589"/>
    </row>
    <row r="430" spans="1:64" ht="14.25" customHeight="1">
      <c r="A430" s="691" t="s">
        <v>767</v>
      </c>
      <c r="B430" s="589"/>
      <c r="C430" s="589"/>
      <c r="D430" s="589"/>
      <c r="E430" s="589"/>
      <c r="F430" s="591">
        <v>429</v>
      </c>
      <c r="G430" s="691" t="s">
        <v>197</v>
      </c>
      <c r="H430" s="691" t="s">
        <v>217</v>
      </c>
      <c r="I430" s="691" t="s">
        <v>137</v>
      </c>
      <c r="J430" s="691" t="s">
        <v>147</v>
      </c>
      <c r="K430" s="691" t="s">
        <v>125</v>
      </c>
      <c r="L430" s="691" t="s">
        <v>157</v>
      </c>
      <c r="M430" s="691" t="s">
        <v>237</v>
      </c>
      <c r="N430" s="691" t="s">
        <v>207</v>
      </c>
      <c r="O430" s="589"/>
      <c r="P430" s="717" cm="1">
        <f t="array" ref="P430">F430</f>
        <v>429</v>
      </c>
      <c r="Q430" s="620" t="str" cm="1">
        <f t="array" ref="Q430">RIGHT(G430,1)</f>
        <v>H</v>
      </c>
      <c r="R430" s="590" t="str" cm="1">
        <f t="array" ref="R430">RIGHT(H430,1)</f>
        <v>J</v>
      </c>
      <c r="S430" s="590" t="str" cm="1">
        <f t="array" ref="S430">RIGHT(I430,1)</f>
        <v>B</v>
      </c>
      <c r="T430" s="590" t="str" cm="1">
        <f t="array" ref="T430">RIGHT(J430,1)</f>
        <v>C</v>
      </c>
      <c r="U430" s="590" t="str" cm="1">
        <f t="array" ref="U430">RIGHT(K430,1)</f>
        <v>A</v>
      </c>
      <c r="V430" s="590" t="str" cm="1">
        <f t="array" ref="V430">RIGHT(L430,1)</f>
        <v>D</v>
      </c>
      <c r="W430" s="590" t="str" cm="1">
        <f t="array" ref="W430">RIGHT(M430,1)</f>
        <v>L</v>
      </c>
      <c r="X430" s="590" t="str" cm="1">
        <f t="array" ref="X430">RIGHT(N430,1)</f>
        <v>I</v>
      </c>
      <c r="Y430" s="708" cm="1">
        <f t="array" ref="Y430">COUNTIF($AA$2:$AA$9,Q430)+COUNTIF($AA$2:$AA$9,R430)+COUNTIF($AA$2:$AA$9,S430)+COUNTIF($AA$2:$AA$9,T430)+COUNTIF($AA$2:$AA$9,U430)+COUNTIF($AA$2:$AA$9,V430)+COUNTIF($AA$2:$AA$9,W430)+COUNTIF($AA$2:$AA$9,X430)</f>
        <v>6</v>
      </c>
      <c r="Z430" s="589"/>
      <c r="AA430" s="589"/>
      <c r="AB430" s="589"/>
      <c r="AC430" s="589"/>
      <c r="AD430" s="589"/>
      <c r="AE430" s="589"/>
      <c r="AF430" s="589"/>
      <c r="AG430" s="589"/>
      <c r="AH430" s="589"/>
      <c r="AI430" s="589"/>
      <c r="AJ430" s="589"/>
      <c r="AK430" s="589"/>
      <c r="AL430" s="589"/>
      <c r="AM430" s="589"/>
      <c r="AN430" s="589"/>
      <c r="AO430" s="589"/>
      <c r="AP430" s="589"/>
      <c r="AQ430" s="589"/>
      <c r="AR430" s="589"/>
      <c r="AS430" s="589"/>
      <c r="AT430" s="589"/>
      <c r="AU430" s="589"/>
      <c r="AV430" s="589"/>
      <c r="AW430" s="589"/>
      <c r="AX430" s="589"/>
      <c r="AY430" s="589"/>
      <c r="AZ430" s="589"/>
      <c r="BA430" s="589"/>
      <c r="BB430" s="589"/>
      <c r="BC430" s="589"/>
      <c r="BD430" s="589"/>
      <c r="BE430" s="589"/>
      <c r="BF430" s="589"/>
      <c r="BG430" s="589"/>
      <c r="BH430" s="589"/>
      <c r="BI430" s="589"/>
      <c r="BJ430" s="589"/>
      <c r="BK430" s="589"/>
      <c r="BL430" s="589"/>
    </row>
    <row r="431" spans="1:64" ht="14.25" customHeight="1">
      <c r="A431" s="691" t="s">
        <v>768</v>
      </c>
      <c r="B431" s="589"/>
      <c r="C431" s="589"/>
      <c r="D431" s="589"/>
      <c r="E431" s="589"/>
      <c r="F431" s="591">
        <v>430</v>
      </c>
      <c r="G431" s="691" t="s">
        <v>197</v>
      </c>
      <c r="H431" s="691" t="s">
        <v>217</v>
      </c>
      <c r="I431" s="691" t="s">
        <v>137</v>
      </c>
      <c r="J431" s="691" t="s">
        <v>147</v>
      </c>
      <c r="K431" s="691" t="s">
        <v>125</v>
      </c>
      <c r="L431" s="691" t="s">
        <v>157</v>
      </c>
      <c r="M431" s="691" t="s">
        <v>207</v>
      </c>
      <c r="N431" s="691" t="s">
        <v>227</v>
      </c>
      <c r="O431" s="589"/>
      <c r="P431" s="717" cm="1">
        <f t="array" ref="P431">F431</f>
        <v>430</v>
      </c>
      <c r="Q431" s="620" t="str" cm="1">
        <f t="array" ref="Q431">RIGHT(G431,1)</f>
        <v>H</v>
      </c>
      <c r="R431" s="590" t="str" cm="1">
        <f t="array" ref="R431">RIGHT(H431,1)</f>
        <v>J</v>
      </c>
      <c r="S431" s="590" t="str" cm="1">
        <f t="array" ref="S431">RIGHT(I431,1)</f>
        <v>B</v>
      </c>
      <c r="T431" s="590" t="str" cm="1">
        <f t="array" ref="T431">RIGHT(J431,1)</f>
        <v>C</v>
      </c>
      <c r="U431" s="590" t="str" cm="1">
        <f t="array" ref="U431">RIGHT(K431,1)</f>
        <v>A</v>
      </c>
      <c r="V431" s="590" t="str" cm="1">
        <f t="array" ref="V431">RIGHT(L431,1)</f>
        <v>D</v>
      </c>
      <c r="W431" s="590" t="str" cm="1">
        <f t="array" ref="W431">RIGHT(M431,1)</f>
        <v>I</v>
      </c>
      <c r="X431" s="590" t="str" cm="1">
        <f t="array" ref="X431">RIGHT(N431,1)</f>
        <v>K</v>
      </c>
      <c r="Y431" s="708" cm="1">
        <f t="array" ref="Y431">COUNTIF($AA$2:$AA$9,Q431)+COUNTIF($AA$2:$AA$9,R431)+COUNTIF($AA$2:$AA$9,S431)+COUNTIF($AA$2:$AA$9,T431)+COUNTIF($AA$2:$AA$9,U431)+COUNTIF($AA$2:$AA$9,V431)+COUNTIF($AA$2:$AA$9,W431)+COUNTIF($AA$2:$AA$9,X431)</f>
        <v>5</v>
      </c>
      <c r="Z431" s="589"/>
      <c r="AA431" s="589"/>
      <c r="AB431" s="589"/>
      <c r="AC431" s="589"/>
      <c r="AD431" s="589"/>
      <c r="AE431" s="589"/>
      <c r="AF431" s="589"/>
      <c r="AG431" s="589"/>
      <c r="AH431" s="589"/>
      <c r="AI431" s="589"/>
      <c r="AJ431" s="589"/>
      <c r="AK431" s="589"/>
      <c r="AL431" s="589"/>
      <c r="AM431" s="589"/>
      <c r="AN431" s="589"/>
      <c r="AO431" s="589"/>
      <c r="AP431" s="589"/>
      <c r="AQ431" s="589"/>
      <c r="AR431" s="589"/>
      <c r="AS431" s="589"/>
      <c r="AT431" s="589"/>
      <c r="AU431" s="589"/>
      <c r="AV431" s="589"/>
      <c r="AW431" s="589"/>
      <c r="AX431" s="589"/>
      <c r="AY431" s="589"/>
      <c r="AZ431" s="589"/>
      <c r="BA431" s="589"/>
      <c r="BB431" s="589"/>
      <c r="BC431" s="589"/>
      <c r="BD431" s="589"/>
      <c r="BE431" s="589"/>
      <c r="BF431" s="589"/>
      <c r="BG431" s="589"/>
      <c r="BH431" s="589"/>
      <c r="BI431" s="589"/>
      <c r="BJ431" s="589"/>
      <c r="BK431" s="589"/>
      <c r="BL431" s="589"/>
    </row>
    <row r="432" spans="1:64" ht="14.25" customHeight="1">
      <c r="A432" s="691" t="s">
        <v>769</v>
      </c>
      <c r="B432" s="589"/>
      <c r="C432" s="589"/>
      <c r="D432" s="589"/>
      <c r="E432" s="589"/>
      <c r="F432" s="591">
        <v>431</v>
      </c>
      <c r="G432" s="691" t="s">
        <v>147</v>
      </c>
      <c r="H432" s="691" t="s">
        <v>217</v>
      </c>
      <c r="I432" s="691" t="s">
        <v>137</v>
      </c>
      <c r="J432" s="691" t="s">
        <v>157</v>
      </c>
      <c r="K432" s="691" t="s">
        <v>125</v>
      </c>
      <c r="L432" s="691" t="s">
        <v>187</v>
      </c>
      <c r="M432" s="691" t="s">
        <v>237</v>
      </c>
      <c r="N432" s="691" t="s">
        <v>227</v>
      </c>
      <c r="O432" s="589"/>
      <c r="P432" s="717" cm="1">
        <f t="array" ref="P432">F432</f>
        <v>431</v>
      </c>
      <c r="Q432" s="620" t="str" cm="1">
        <f t="array" ref="Q432">RIGHT(G432,1)</f>
        <v>C</v>
      </c>
      <c r="R432" s="590" t="str" cm="1">
        <f t="array" ref="R432">RIGHT(H432,1)</f>
        <v>J</v>
      </c>
      <c r="S432" s="590" t="str" cm="1">
        <f t="array" ref="S432">RIGHT(I432,1)</f>
        <v>B</v>
      </c>
      <c r="T432" s="590" t="str" cm="1">
        <f t="array" ref="T432">RIGHT(J432,1)</f>
        <v>D</v>
      </c>
      <c r="U432" s="590" t="str" cm="1">
        <f t="array" ref="U432">RIGHT(K432,1)</f>
        <v>A</v>
      </c>
      <c r="V432" s="590" t="str" cm="1">
        <f t="array" ref="V432">RIGHT(L432,1)</f>
        <v>G</v>
      </c>
      <c r="W432" s="590" t="str" cm="1">
        <f t="array" ref="W432">RIGHT(M432,1)</f>
        <v>L</v>
      </c>
      <c r="X432" s="590" t="str" cm="1">
        <f t="array" ref="X432">RIGHT(N432,1)</f>
        <v>K</v>
      </c>
      <c r="Y432" s="708" cm="1">
        <f t="array" ref="Y432">COUNTIF($AA$2:$AA$9,Q432)+COUNTIF($AA$2:$AA$9,R432)+COUNTIF($AA$2:$AA$9,S432)+COUNTIF($AA$2:$AA$9,T432)+COUNTIF($AA$2:$AA$9,U432)+COUNTIF($AA$2:$AA$9,V432)+COUNTIF($AA$2:$AA$9,W432)+COUNTIF($AA$2:$AA$9,X432)</f>
        <v>5</v>
      </c>
      <c r="Z432" s="589"/>
      <c r="AA432" s="589"/>
      <c r="AB432" s="589"/>
      <c r="AC432" s="589"/>
      <c r="AD432" s="589"/>
      <c r="AE432" s="589"/>
      <c r="AF432" s="589"/>
      <c r="AG432" s="589"/>
      <c r="AH432" s="589"/>
      <c r="AI432" s="589"/>
      <c r="AJ432" s="589"/>
      <c r="AK432" s="589"/>
      <c r="AL432" s="589"/>
      <c r="AM432" s="589"/>
      <c r="AN432" s="589"/>
      <c r="AO432" s="589"/>
      <c r="AP432" s="589"/>
      <c r="AQ432" s="589"/>
      <c r="AR432" s="589"/>
      <c r="AS432" s="589"/>
      <c r="AT432" s="589"/>
      <c r="AU432" s="589"/>
      <c r="AV432" s="589"/>
      <c r="AW432" s="589"/>
      <c r="AX432" s="589"/>
      <c r="AY432" s="589"/>
      <c r="AZ432" s="589"/>
      <c r="BA432" s="589"/>
      <c r="BB432" s="589"/>
      <c r="BC432" s="589"/>
      <c r="BD432" s="589"/>
      <c r="BE432" s="589"/>
      <c r="BF432" s="589"/>
      <c r="BG432" s="589"/>
      <c r="BH432" s="589"/>
      <c r="BI432" s="589"/>
      <c r="BJ432" s="589"/>
      <c r="BK432" s="589"/>
      <c r="BL432" s="589"/>
    </row>
    <row r="433" spans="1:64" ht="14.25" customHeight="1">
      <c r="A433" s="691" t="s">
        <v>770</v>
      </c>
      <c r="B433" s="589"/>
      <c r="C433" s="589"/>
      <c r="D433" s="589"/>
      <c r="E433" s="589"/>
      <c r="F433" s="591">
        <v>432</v>
      </c>
      <c r="G433" s="691" t="s">
        <v>207</v>
      </c>
      <c r="H433" s="691" t="s">
        <v>187</v>
      </c>
      <c r="I433" s="691" t="s">
        <v>137</v>
      </c>
      <c r="J433" s="691" t="s">
        <v>147</v>
      </c>
      <c r="K433" s="691" t="s">
        <v>125</v>
      </c>
      <c r="L433" s="691" t="s">
        <v>157</v>
      </c>
      <c r="M433" s="691" t="s">
        <v>237</v>
      </c>
      <c r="N433" s="691" t="s">
        <v>227</v>
      </c>
      <c r="O433" s="589"/>
      <c r="P433" s="717" cm="1">
        <f t="array" ref="P433">F433</f>
        <v>432</v>
      </c>
      <c r="Q433" s="620" t="str" cm="1">
        <f t="array" ref="Q433">RIGHT(G433,1)</f>
        <v>I</v>
      </c>
      <c r="R433" s="590" t="str" cm="1">
        <f t="array" ref="R433">RIGHT(H433,1)</f>
        <v>G</v>
      </c>
      <c r="S433" s="590" t="str" cm="1">
        <f t="array" ref="S433">RIGHT(I433,1)</f>
        <v>B</v>
      </c>
      <c r="T433" s="590" t="str" cm="1">
        <f t="array" ref="T433">RIGHT(J433,1)</f>
        <v>C</v>
      </c>
      <c r="U433" s="590" t="str" cm="1">
        <f t="array" ref="U433">RIGHT(K433,1)</f>
        <v>A</v>
      </c>
      <c r="V433" s="590" t="str" cm="1">
        <f t="array" ref="V433">RIGHT(L433,1)</f>
        <v>D</v>
      </c>
      <c r="W433" s="590" t="str" cm="1">
        <f t="array" ref="W433">RIGHT(M433,1)</f>
        <v>L</v>
      </c>
      <c r="X433" s="590" t="str" cm="1">
        <f t="array" ref="X433">RIGHT(N433,1)</f>
        <v>K</v>
      </c>
      <c r="Y433" s="708" cm="1">
        <f t="array" ref="Y433">COUNTIF($AA$2:$AA$9,Q433)+COUNTIF($AA$2:$AA$9,R433)+COUNTIF($AA$2:$AA$9,S433)+COUNTIF($AA$2:$AA$9,T433)+COUNTIF($AA$2:$AA$9,U433)+COUNTIF($AA$2:$AA$9,V433)+COUNTIF($AA$2:$AA$9,W433)+COUNTIF($AA$2:$AA$9,X433)</f>
        <v>5</v>
      </c>
      <c r="Z433" s="589"/>
      <c r="AA433" s="589"/>
      <c r="AB433" s="589"/>
      <c r="AC433" s="589"/>
      <c r="AD433" s="589"/>
      <c r="AE433" s="589"/>
      <c r="AF433" s="589"/>
      <c r="AG433" s="589"/>
      <c r="AH433" s="589"/>
      <c r="AI433" s="589"/>
      <c r="AJ433" s="589"/>
      <c r="AK433" s="589"/>
      <c r="AL433" s="589"/>
      <c r="AM433" s="589"/>
      <c r="AN433" s="589"/>
      <c r="AO433" s="589"/>
      <c r="AP433" s="589"/>
      <c r="AQ433" s="589"/>
      <c r="AR433" s="589"/>
      <c r="AS433" s="589"/>
      <c r="AT433" s="589"/>
      <c r="AU433" s="589"/>
      <c r="AV433" s="589"/>
      <c r="AW433" s="589"/>
      <c r="AX433" s="589"/>
      <c r="AY433" s="589"/>
      <c r="AZ433" s="589"/>
      <c r="BA433" s="589"/>
      <c r="BB433" s="589"/>
      <c r="BC433" s="589"/>
      <c r="BD433" s="589"/>
      <c r="BE433" s="589"/>
      <c r="BF433" s="589"/>
      <c r="BG433" s="589"/>
      <c r="BH433" s="589"/>
      <c r="BI433" s="589"/>
      <c r="BJ433" s="589"/>
      <c r="BK433" s="589"/>
      <c r="BL433" s="589"/>
    </row>
    <row r="434" spans="1:64" ht="14.25" customHeight="1">
      <c r="A434" s="691" t="s">
        <v>771</v>
      </c>
      <c r="B434" s="589"/>
      <c r="C434" s="589"/>
      <c r="D434" s="589"/>
      <c r="E434" s="589"/>
      <c r="F434" s="591">
        <v>433</v>
      </c>
      <c r="G434" s="691" t="s">
        <v>147</v>
      </c>
      <c r="H434" s="691" t="s">
        <v>217</v>
      </c>
      <c r="I434" s="691" t="s">
        <v>137</v>
      </c>
      <c r="J434" s="691" t="s">
        <v>157</v>
      </c>
      <c r="K434" s="691" t="s">
        <v>125</v>
      </c>
      <c r="L434" s="691" t="s">
        <v>187</v>
      </c>
      <c r="M434" s="691" t="s">
        <v>237</v>
      </c>
      <c r="N434" s="691" t="s">
        <v>207</v>
      </c>
      <c r="O434" s="589"/>
      <c r="P434" s="717" cm="1">
        <f t="array" ref="P434">F434</f>
        <v>433</v>
      </c>
      <c r="Q434" s="620" t="str" cm="1">
        <f t="array" ref="Q434">RIGHT(G434,1)</f>
        <v>C</v>
      </c>
      <c r="R434" s="590" t="str" cm="1">
        <f t="array" ref="R434">RIGHT(H434,1)</f>
        <v>J</v>
      </c>
      <c r="S434" s="590" t="str" cm="1">
        <f t="array" ref="S434">RIGHT(I434,1)</f>
        <v>B</v>
      </c>
      <c r="T434" s="590" t="str" cm="1">
        <f t="array" ref="T434">RIGHT(J434,1)</f>
        <v>D</v>
      </c>
      <c r="U434" s="590" t="str" cm="1">
        <f t="array" ref="U434">RIGHT(K434,1)</f>
        <v>A</v>
      </c>
      <c r="V434" s="590" t="str" cm="1">
        <f t="array" ref="V434">RIGHT(L434,1)</f>
        <v>G</v>
      </c>
      <c r="W434" s="590" t="str" cm="1">
        <f t="array" ref="W434">RIGHT(M434,1)</f>
        <v>L</v>
      </c>
      <c r="X434" s="590" t="str" cm="1">
        <f t="array" ref="X434">RIGHT(N434,1)</f>
        <v>I</v>
      </c>
      <c r="Y434" s="708" cm="1">
        <f t="array" ref="Y434">COUNTIF($AA$2:$AA$9,Q434)+COUNTIF($AA$2:$AA$9,R434)+COUNTIF($AA$2:$AA$9,S434)+COUNTIF($AA$2:$AA$9,T434)+COUNTIF($AA$2:$AA$9,U434)+COUNTIF($AA$2:$AA$9,V434)+COUNTIF($AA$2:$AA$9,W434)+COUNTIF($AA$2:$AA$9,X434)</f>
        <v>6</v>
      </c>
      <c r="Z434" s="589"/>
      <c r="AA434" s="589"/>
      <c r="AB434" s="589"/>
      <c r="AC434" s="589"/>
      <c r="AD434" s="589"/>
      <c r="AE434" s="589"/>
      <c r="AF434" s="589"/>
      <c r="AG434" s="589"/>
      <c r="AH434" s="589"/>
      <c r="AI434" s="589"/>
      <c r="AJ434" s="589"/>
      <c r="AK434" s="589"/>
      <c r="AL434" s="589"/>
      <c r="AM434" s="589"/>
      <c r="AN434" s="589"/>
      <c r="AO434" s="589"/>
      <c r="AP434" s="589"/>
      <c r="AQ434" s="589"/>
      <c r="AR434" s="589"/>
      <c r="AS434" s="589"/>
      <c r="AT434" s="589"/>
      <c r="AU434" s="589"/>
      <c r="AV434" s="589"/>
      <c r="AW434" s="589"/>
      <c r="AX434" s="589"/>
      <c r="AY434" s="589"/>
      <c r="AZ434" s="589"/>
      <c r="BA434" s="589"/>
      <c r="BB434" s="589"/>
      <c r="BC434" s="589"/>
      <c r="BD434" s="589"/>
      <c r="BE434" s="589"/>
      <c r="BF434" s="589"/>
      <c r="BG434" s="589"/>
      <c r="BH434" s="589"/>
      <c r="BI434" s="589"/>
      <c r="BJ434" s="589"/>
      <c r="BK434" s="589"/>
      <c r="BL434" s="589"/>
    </row>
    <row r="435" spans="1:64" ht="14.25" customHeight="1">
      <c r="A435" s="691" t="s">
        <v>772</v>
      </c>
      <c r="B435" s="589"/>
      <c r="C435" s="589"/>
      <c r="D435" s="589"/>
      <c r="E435" s="589"/>
      <c r="F435" s="591">
        <v>434</v>
      </c>
      <c r="G435" s="691" t="s">
        <v>147</v>
      </c>
      <c r="H435" s="691" t="s">
        <v>217</v>
      </c>
      <c r="I435" s="691" t="s">
        <v>137</v>
      </c>
      <c r="J435" s="691" t="s">
        <v>157</v>
      </c>
      <c r="K435" s="691" t="s">
        <v>125</v>
      </c>
      <c r="L435" s="691" t="s">
        <v>187</v>
      </c>
      <c r="M435" s="691" t="s">
        <v>207</v>
      </c>
      <c r="N435" s="691" t="s">
        <v>227</v>
      </c>
      <c r="O435" s="589"/>
      <c r="P435" s="717" cm="1">
        <f t="array" ref="P435">F435</f>
        <v>434</v>
      </c>
      <c r="Q435" s="620" t="str" cm="1">
        <f t="array" ref="Q435">RIGHT(G435,1)</f>
        <v>C</v>
      </c>
      <c r="R435" s="590" t="str" cm="1">
        <f t="array" ref="R435">RIGHT(H435,1)</f>
        <v>J</v>
      </c>
      <c r="S435" s="590" t="str" cm="1">
        <f t="array" ref="S435">RIGHT(I435,1)</f>
        <v>B</v>
      </c>
      <c r="T435" s="590" t="str" cm="1">
        <f t="array" ref="T435">RIGHT(J435,1)</f>
        <v>D</v>
      </c>
      <c r="U435" s="590" t="str" cm="1">
        <f t="array" ref="U435">RIGHT(K435,1)</f>
        <v>A</v>
      </c>
      <c r="V435" s="590" t="str" cm="1">
        <f t="array" ref="V435">RIGHT(L435,1)</f>
        <v>G</v>
      </c>
      <c r="W435" s="590" t="str" cm="1">
        <f t="array" ref="W435">RIGHT(M435,1)</f>
        <v>I</v>
      </c>
      <c r="X435" s="590" t="str" cm="1">
        <f t="array" ref="X435">RIGHT(N435,1)</f>
        <v>K</v>
      </c>
      <c r="Y435" s="708" cm="1">
        <f t="array" ref="Y435">COUNTIF($AA$2:$AA$9,Q435)+COUNTIF($AA$2:$AA$9,R435)+COUNTIF($AA$2:$AA$9,S435)+COUNTIF($AA$2:$AA$9,T435)+COUNTIF($AA$2:$AA$9,U435)+COUNTIF($AA$2:$AA$9,V435)+COUNTIF($AA$2:$AA$9,W435)+COUNTIF($AA$2:$AA$9,X435)</f>
        <v>5</v>
      </c>
      <c r="Z435" s="589"/>
      <c r="AA435" s="589"/>
      <c r="AB435" s="589"/>
      <c r="AC435" s="589"/>
      <c r="AD435" s="589"/>
      <c r="AE435" s="589"/>
      <c r="AF435" s="589"/>
      <c r="AG435" s="589"/>
      <c r="AH435" s="589"/>
      <c r="AI435" s="589"/>
      <c r="AJ435" s="589"/>
      <c r="AK435" s="589"/>
      <c r="AL435" s="589"/>
      <c r="AM435" s="589"/>
      <c r="AN435" s="589"/>
      <c r="AO435" s="589"/>
      <c r="AP435" s="589"/>
      <c r="AQ435" s="589"/>
      <c r="AR435" s="589"/>
      <c r="AS435" s="589"/>
      <c r="AT435" s="589"/>
      <c r="AU435" s="589"/>
      <c r="AV435" s="589"/>
      <c r="AW435" s="589"/>
      <c r="AX435" s="589"/>
      <c r="AY435" s="589"/>
      <c r="AZ435" s="589"/>
      <c r="BA435" s="589"/>
      <c r="BB435" s="589"/>
      <c r="BC435" s="589"/>
      <c r="BD435" s="589"/>
      <c r="BE435" s="589"/>
      <c r="BF435" s="589"/>
      <c r="BG435" s="589"/>
      <c r="BH435" s="589"/>
      <c r="BI435" s="589"/>
      <c r="BJ435" s="589"/>
      <c r="BK435" s="589"/>
      <c r="BL435" s="589"/>
    </row>
    <row r="436" spans="1:64" ht="14.25" customHeight="1">
      <c r="A436" s="691" t="s">
        <v>773</v>
      </c>
      <c r="B436" s="589"/>
      <c r="C436" s="589"/>
      <c r="D436" s="589"/>
      <c r="E436" s="589"/>
      <c r="F436" s="591">
        <v>435</v>
      </c>
      <c r="G436" s="691" t="s">
        <v>197</v>
      </c>
      <c r="H436" s="691" t="s">
        <v>187</v>
      </c>
      <c r="I436" s="691" t="s">
        <v>137</v>
      </c>
      <c r="J436" s="691" t="s">
        <v>147</v>
      </c>
      <c r="K436" s="691" t="s">
        <v>125</v>
      </c>
      <c r="L436" s="691" t="s">
        <v>157</v>
      </c>
      <c r="M436" s="691" t="s">
        <v>237</v>
      </c>
      <c r="N436" s="691" t="s">
        <v>227</v>
      </c>
      <c r="O436" s="589"/>
      <c r="P436" s="717" cm="1">
        <f t="array" ref="P436">F436</f>
        <v>435</v>
      </c>
      <c r="Q436" s="620" t="str" cm="1">
        <f t="array" ref="Q436">RIGHT(G436,1)</f>
        <v>H</v>
      </c>
      <c r="R436" s="590" t="str" cm="1">
        <f t="array" ref="R436">RIGHT(H436,1)</f>
        <v>G</v>
      </c>
      <c r="S436" s="590" t="str" cm="1">
        <f t="array" ref="S436">RIGHT(I436,1)</f>
        <v>B</v>
      </c>
      <c r="T436" s="590" t="str" cm="1">
        <f t="array" ref="T436">RIGHT(J436,1)</f>
        <v>C</v>
      </c>
      <c r="U436" s="590" t="str" cm="1">
        <f t="array" ref="U436">RIGHT(K436,1)</f>
        <v>A</v>
      </c>
      <c r="V436" s="590" t="str" cm="1">
        <f t="array" ref="V436">RIGHT(L436,1)</f>
        <v>D</v>
      </c>
      <c r="W436" s="590" t="str" cm="1">
        <f t="array" ref="W436">RIGHT(M436,1)</f>
        <v>L</v>
      </c>
      <c r="X436" s="590" t="str" cm="1">
        <f t="array" ref="X436">RIGHT(N436,1)</f>
        <v>K</v>
      </c>
      <c r="Y436" s="708" cm="1">
        <f t="array" ref="Y436">COUNTIF($AA$2:$AA$9,Q436)+COUNTIF($AA$2:$AA$9,R436)+COUNTIF($AA$2:$AA$9,S436)+COUNTIF($AA$2:$AA$9,T436)+COUNTIF($AA$2:$AA$9,U436)+COUNTIF($AA$2:$AA$9,V436)+COUNTIF($AA$2:$AA$9,W436)+COUNTIF($AA$2:$AA$9,X436)</f>
        <v>4</v>
      </c>
      <c r="Z436" s="589"/>
      <c r="AA436" s="589"/>
      <c r="AB436" s="589"/>
      <c r="AC436" s="589"/>
      <c r="AD436" s="589"/>
      <c r="AE436" s="589"/>
      <c r="AF436" s="589"/>
      <c r="AG436" s="589"/>
      <c r="AH436" s="589"/>
      <c r="AI436" s="589"/>
      <c r="AJ436" s="589"/>
      <c r="AK436" s="589"/>
      <c r="AL436" s="589"/>
      <c r="AM436" s="589"/>
      <c r="AN436" s="589"/>
      <c r="AO436" s="589"/>
      <c r="AP436" s="589"/>
      <c r="AQ436" s="589"/>
      <c r="AR436" s="589"/>
      <c r="AS436" s="589"/>
      <c r="AT436" s="589"/>
      <c r="AU436" s="589"/>
      <c r="AV436" s="589"/>
      <c r="AW436" s="589"/>
      <c r="AX436" s="589"/>
      <c r="AY436" s="589"/>
      <c r="AZ436" s="589"/>
      <c r="BA436" s="589"/>
      <c r="BB436" s="589"/>
      <c r="BC436" s="589"/>
      <c r="BD436" s="589"/>
      <c r="BE436" s="589"/>
      <c r="BF436" s="589"/>
      <c r="BG436" s="589"/>
      <c r="BH436" s="589"/>
      <c r="BI436" s="589"/>
      <c r="BJ436" s="589"/>
      <c r="BK436" s="589"/>
      <c r="BL436" s="589"/>
    </row>
    <row r="437" spans="1:64" ht="14.25" customHeight="1">
      <c r="A437" s="691" t="s">
        <v>774</v>
      </c>
      <c r="B437" s="589"/>
      <c r="C437" s="589"/>
      <c r="D437" s="589"/>
      <c r="E437" s="589"/>
      <c r="F437" s="591">
        <v>436</v>
      </c>
      <c r="G437" s="691" t="s">
        <v>197</v>
      </c>
      <c r="H437" s="691" t="s">
        <v>187</v>
      </c>
      <c r="I437" s="691" t="s">
        <v>137</v>
      </c>
      <c r="J437" s="691" t="s">
        <v>147</v>
      </c>
      <c r="K437" s="691" t="s">
        <v>125</v>
      </c>
      <c r="L437" s="691" t="s">
        <v>157</v>
      </c>
      <c r="M437" s="691" t="s">
        <v>237</v>
      </c>
      <c r="N437" s="691" t="s">
        <v>217</v>
      </c>
      <c r="O437" s="589"/>
      <c r="P437" s="717" cm="1">
        <f t="array" ref="P437">F437</f>
        <v>436</v>
      </c>
      <c r="Q437" s="620" t="str" cm="1">
        <f t="array" ref="Q437">RIGHT(G437,1)</f>
        <v>H</v>
      </c>
      <c r="R437" s="590" t="str" cm="1">
        <f t="array" ref="R437">RIGHT(H437,1)</f>
        <v>G</v>
      </c>
      <c r="S437" s="590" t="str" cm="1">
        <f t="array" ref="S437">RIGHT(I437,1)</f>
        <v>B</v>
      </c>
      <c r="T437" s="590" t="str" cm="1">
        <f t="array" ref="T437">RIGHT(J437,1)</f>
        <v>C</v>
      </c>
      <c r="U437" s="590" t="str" cm="1">
        <f t="array" ref="U437">RIGHT(K437,1)</f>
        <v>A</v>
      </c>
      <c r="V437" s="590" t="str" cm="1">
        <f t="array" ref="V437">RIGHT(L437,1)</f>
        <v>D</v>
      </c>
      <c r="W437" s="590" t="str" cm="1">
        <f t="array" ref="W437">RIGHT(M437,1)</f>
        <v>L</v>
      </c>
      <c r="X437" s="590" t="str" cm="1">
        <f t="array" ref="X437">RIGHT(N437,1)</f>
        <v>J</v>
      </c>
      <c r="Y437" s="708" cm="1">
        <f t="array" ref="Y437">COUNTIF($AA$2:$AA$9,Q437)+COUNTIF($AA$2:$AA$9,R437)+COUNTIF($AA$2:$AA$9,S437)+COUNTIF($AA$2:$AA$9,T437)+COUNTIF($AA$2:$AA$9,U437)+COUNTIF($AA$2:$AA$9,V437)+COUNTIF($AA$2:$AA$9,W437)+COUNTIF($AA$2:$AA$9,X437)</f>
        <v>5</v>
      </c>
      <c r="Z437" s="589"/>
      <c r="AA437" s="589"/>
      <c r="AB437" s="589"/>
      <c r="AC437" s="589"/>
      <c r="AD437" s="589"/>
      <c r="AE437" s="589"/>
      <c r="AF437" s="589"/>
      <c r="AG437" s="589"/>
      <c r="AH437" s="589"/>
      <c r="AI437" s="589"/>
      <c r="AJ437" s="589"/>
      <c r="AK437" s="589"/>
      <c r="AL437" s="589"/>
      <c r="AM437" s="589"/>
      <c r="AN437" s="589"/>
      <c r="AO437" s="589"/>
      <c r="AP437" s="589"/>
      <c r="AQ437" s="589"/>
      <c r="AR437" s="589"/>
      <c r="AS437" s="589"/>
      <c r="AT437" s="589"/>
      <c r="AU437" s="589"/>
      <c r="AV437" s="589"/>
      <c r="AW437" s="589"/>
      <c r="AX437" s="589"/>
      <c r="AY437" s="589"/>
      <c r="AZ437" s="589"/>
      <c r="BA437" s="589"/>
      <c r="BB437" s="589"/>
      <c r="BC437" s="589"/>
      <c r="BD437" s="589"/>
      <c r="BE437" s="589"/>
      <c r="BF437" s="589"/>
      <c r="BG437" s="589"/>
      <c r="BH437" s="589"/>
      <c r="BI437" s="589"/>
      <c r="BJ437" s="589"/>
      <c r="BK437" s="589"/>
      <c r="BL437" s="589"/>
    </row>
    <row r="438" spans="1:64" ht="14.25" customHeight="1">
      <c r="A438" s="691" t="s">
        <v>775</v>
      </c>
      <c r="B438" s="589"/>
      <c r="C438" s="589"/>
      <c r="D438" s="589"/>
      <c r="E438" s="589"/>
      <c r="F438" s="591">
        <v>437</v>
      </c>
      <c r="G438" s="691" t="s">
        <v>197</v>
      </c>
      <c r="H438" s="691" t="s">
        <v>187</v>
      </c>
      <c r="I438" s="691" t="s">
        <v>137</v>
      </c>
      <c r="J438" s="691" t="s">
        <v>147</v>
      </c>
      <c r="K438" s="691" t="s">
        <v>125</v>
      </c>
      <c r="L438" s="691" t="s">
        <v>157</v>
      </c>
      <c r="M438" s="691" t="s">
        <v>217</v>
      </c>
      <c r="N438" s="691" t="s">
        <v>227</v>
      </c>
      <c r="O438" s="589"/>
      <c r="P438" s="717" cm="1">
        <f t="array" ref="P438">F438</f>
        <v>437</v>
      </c>
      <c r="Q438" s="620" t="str" cm="1">
        <f t="array" ref="Q438">RIGHT(G438,1)</f>
        <v>H</v>
      </c>
      <c r="R438" s="590" t="str" cm="1">
        <f t="array" ref="R438">RIGHT(H438,1)</f>
        <v>G</v>
      </c>
      <c r="S438" s="590" t="str" cm="1">
        <f t="array" ref="S438">RIGHT(I438,1)</f>
        <v>B</v>
      </c>
      <c r="T438" s="590" t="str" cm="1">
        <f t="array" ref="T438">RIGHT(J438,1)</f>
        <v>C</v>
      </c>
      <c r="U438" s="590" t="str" cm="1">
        <f t="array" ref="U438">RIGHT(K438,1)</f>
        <v>A</v>
      </c>
      <c r="V438" s="590" t="str" cm="1">
        <f t="array" ref="V438">RIGHT(L438,1)</f>
        <v>D</v>
      </c>
      <c r="W438" s="590" t="str" cm="1">
        <f t="array" ref="W438">RIGHT(M438,1)</f>
        <v>J</v>
      </c>
      <c r="X438" s="590" t="str" cm="1">
        <f t="array" ref="X438">RIGHT(N438,1)</f>
        <v>K</v>
      </c>
      <c r="Y438" s="708" cm="1">
        <f t="array" ref="Y438">COUNTIF($AA$2:$AA$9,Q438)+COUNTIF($AA$2:$AA$9,R438)+COUNTIF($AA$2:$AA$9,S438)+COUNTIF($AA$2:$AA$9,T438)+COUNTIF($AA$2:$AA$9,U438)+COUNTIF($AA$2:$AA$9,V438)+COUNTIF($AA$2:$AA$9,W438)+COUNTIF($AA$2:$AA$9,X438)</f>
        <v>4</v>
      </c>
      <c r="Z438" s="589"/>
      <c r="AA438" s="589"/>
      <c r="AB438" s="589"/>
      <c r="AC438" s="589"/>
      <c r="AD438" s="589"/>
      <c r="AE438" s="589"/>
      <c r="AF438" s="589"/>
      <c r="AG438" s="589"/>
      <c r="AH438" s="589"/>
      <c r="AI438" s="589"/>
      <c r="AJ438" s="589"/>
      <c r="AK438" s="589"/>
      <c r="AL438" s="589"/>
      <c r="AM438" s="589"/>
      <c r="AN438" s="589"/>
      <c r="AO438" s="589"/>
      <c r="AP438" s="589"/>
      <c r="AQ438" s="589"/>
      <c r="AR438" s="589"/>
      <c r="AS438" s="589"/>
      <c r="AT438" s="589"/>
      <c r="AU438" s="589"/>
      <c r="AV438" s="589"/>
      <c r="AW438" s="589"/>
      <c r="AX438" s="589"/>
      <c r="AY438" s="589"/>
      <c r="AZ438" s="589"/>
      <c r="BA438" s="589"/>
      <c r="BB438" s="589"/>
      <c r="BC438" s="589"/>
      <c r="BD438" s="589"/>
      <c r="BE438" s="589"/>
      <c r="BF438" s="589"/>
      <c r="BG438" s="589"/>
      <c r="BH438" s="589"/>
      <c r="BI438" s="589"/>
      <c r="BJ438" s="589"/>
      <c r="BK438" s="589"/>
      <c r="BL438" s="589"/>
    </row>
    <row r="439" spans="1:64" ht="14.25" customHeight="1">
      <c r="A439" s="691" t="s">
        <v>776</v>
      </c>
      <c r="B439" s="589"/>
      <c r="C439" s="589"/>
      <c r="D439" s="589"/>
      <c r="E439" s="589"/>
      <c r="F439" s="591">
        <v>438</v>
      </c>
      <c r="G439" s="691" t="s">
        <v>197</v>
      </c>
      <c r="H439" s="691" t="s">
        <v>187</v>
      </c>
      <c r="I439" s="691" t="s">
        <v>137</v>
      </c>
      <c r="J439" s="691" t="s">
        <v>147</v>
      </c>
      <c r="K439" s="691" t="s">
        <v>125</v>
      </c>
      <c r="L439" s="691" t="s">
        <v>157</v>
      </c>
      <c r="M439" s="691" t="s">
        <v>237</v>
      </c>
      <c r="N439" s="691" t="s">
        <v>207</v>
      </c>
      <c r="O439" s="589"/>
      <c r="P439" s="717" cm="1">
        <f t="array" ref="P439">F439</f>
        <v>438</v>
      </c>
      <c r="Q439" s="620" t="str" cm="1">
        <f t="array" ref="Q439">RIGHT(G439,1)</f>
        <v>H</v>
      </c>
      <c r="R439" s="590" t="str" cm="1">
        <f t="array" ref="R439">RIGHT(H439,1)</f>
        <v>G</v>
      </c>
      <c r="S439" s="590" t="str" cm="1">
        <f t="array" ref="S439">RIGHT(I439,1)</f>
        <v>B</v>
      </c>
      <c r="T439" s="590" t="str" cm="1">
        <f t="array" ref="T439">RIGHT(J439,1)</f>
        <v>C</v>
      </c>
      <c r="U439" s="590" t="str" cm="1">
        <f t="array" ref="U439">RIGHT(K439,1)</f>
        <v>A</v>
      </c>
      <c r="V439" s="590" t="str" cm="1">
        <f t="array" ref="V439">RIGHT(L439,1)</f>
        <v>D</v>
      </c>
      <c r="W439" s="590" t="str" cm="1">
        <f t="array" ref="W439">RIGHT(M439,1)</f>
        <v>L</v>
      </c>
      <c r="X439" s="590" t="str" cm="1">
        <f t="array" ref="X439">RIGHT(N439,1)</f>
        <v>I</v>
      </c>
      <c r="Y439" s="708" cm="1">
        <f t="array" ref="Y439">COUNTIF($AA$2:$AA$9,Q439)+COUNTIF($AA$2:$AA$9,R439)+COUNTIF($AA$2:$AA$9,S439)+COUNTIF($AA$2:$AA$9,T439)+COUNTIF($AA$2:$AA$9,U439)+COUNTIF($AA$2:$AA$9,V439)+COUNTIF($AA$2:$AA$9,W439)+COUNTIF($AA$2:$AA$9,X439)</f>
        <v>5</v>
      </c>
      <c r="Z439" s="589"/>
      <c r="AA439" s="589"/>
      <c r="AB439" s="589"/>
      <c r="AC439" s="589"/>
      <c r="AD439" s="589"/>
      <c r="AE439" s="589"/>
      <c r="AF439" s="589"/>
      <c r="AG439" s="589"/>
      <c r="AH439" s="589"/>
      <c r="AI439" s="589"/>
      <c r="AJ439" s="589"/>
      <c r="AK439" s="589"/>
      <c r="AL439" s="589"/>
      <c r="AM439" s="589"/>
      <c r="AN439" s="589"/>
      <c r="AO439" s="589"/>
      <c r="AP439" s="589"/>
      <c r="AQ439" s="589"/>
      <c r="AR439" s="589"/>
      <c r="AS439" s="589"/>
      <c r="AT439" s="589"/>
      <c r="AU439" s="589"/>
      <c r="AV439" s="589"/>
      <c r="AW439" s="589"/>
      <c r="AX439" s="589"/>
      <c r="AY439" s="589"/>
      <c r="AZ439" s="589"/>
      <c r="BA439" s="589"/>
      <c r="BB439" s="589"/>
      <c r="BC439" s="589"/>
      <c r="BD439" s="589"/>
      <c r="BE439" s="589"/>
      <c r="BF439" s="589"/>
      <c r="BG439" s="589"/>
      <c r="BH439" s="589"/>
      <c r="BI439" s="589"/>
      <c r="BJ439" s="589"/>
      <c r="BK439" s="589"/>
      <c r="BL439" s="589"/>
    </row>
    <row r="440" spans="1:64" ht="14.25" customHeight="1">
      <c r="A440" s="691" t="s">
        <v>777</v>
      </c>
      <c r="B440" s="589"/>
      <c r="C440" s="589"/>
      <c r="D440" s="589"/>
      <c r="E440" s="589"/>
      <c r="F440" s="591">
        <v>439</v>
      </c>
      <c r="G440" s="691" t="s">
        <v>197</v>
      </c>
      <c r="H440" s="691" t="s">
        <v>187</v>
      </c>
      <c r="I440" s="691" t="s">
        <v>137</v>
      </c>
      <c r="J440" s="691" t="s">
        <v>147</v>
      </c>
      <c r="K440" s="691" t="s">
        <v>125</v>
      </c>
      <c r="L440" s="691" t="s">
        <v>157</v>
      </c>
      <c r="M440" s="691" t="s">
        <v>207</v>
      </c>
      <c r="N440" s="691" t="s">
        <v>227</v>
      </c>
      <c r="O440" s="589"/>
      <c r="P440" s="717" cm="1">
        <f t="array" ref="P440">F440</f>
        <v>439</v>
      </c>
      <c r="Q440" s="620" t="str" cm="1">
        <f t="array" ref="Q440">RIGHT(G440,1)</f>
        <v>H</v>
      </c>
      <c r="R440" s="590" t="str" cm="1">
        <f t="array" ref="R440">RIGHT(H440,1)</f>
        <v>G</v>
      </c>
      <c r="S440" s="590" t="str" cm="1">
        <f t="array" ref="S440">RIGHT(I440,1)</f>
        <v>B</v>
      </c>
      <c r="T440" s="590" t="str" cm="1">
        <f t="array" ref="T440">RIGHT(J440,1)</f>
        <v>C</v>
      </c>
      <c r="U440" s="590" t="str" cm="1">
        <f t="array" ref="U440">RIGHT(K440,1)</f>
        <v>A</v>
      </c>
      <c r="V440" s="590" t="str" cm="1">
        <f t="array" ref="V440">RIGHT(L440,1)</f>
        <v>D</v>
      </c>
      <c r="W440" s="590" t="str" cm="1">
        <f t="array" ref="W440">RIGHT(M440,1)</f>
        <v>I</v>
      </c>
      <c r="X440" s="590" t="str" cm="1">
        <f t="array" ref="X440">RIGHT(N440,1)</f>
        <v>K</v>
      </c>
      <c r="Y440" s="708" cm="1">
        <f t="array" ref="Y440">COUNTIF($AA$2:$AA$9,Q440)+COUNTIF($AA$2:$AA$9,R440)+COUNTIF($AA$2:$AA$9,S440)+COUNTIF($AA$2:$AA$9,T440)+COUNTIF($AA$2:$AA$9,U440)+COUNTIF($AA$2:$AA$9,V440)+COUNTIF($AA$2:$AA$9,W440)+COUNTIF($AA$2:$AA$9,X440)</f>
        <v>4</v>
      </c>
      <c r="Z440" s="589"/>
      <c r="AA440" s="589"/>
      <c r="AB440" s="589"/>
      <c r="AC440" s="589"/>
      <c r="AD440" s="589"/>
      <c r="AE440" s="589"/>
      <c r="AF440" s="589"/>
      <c r="AG440" s="589"/>
      <c r="AH440" s="589"/>
      <c r="AI440" s="589"/>
      <c r="AJ440" s="589"/>
      <c r="AK440" s="589"/>
      <c r="AL440" s="589"/>
      <c r="AM440" s="589"/>
      <c r="AN440" s="589"/>
      <c r="AO440" s="589"/>
      <c r="AP440" s="589"/>
      <c r="AQ440" s="589"/>
      <c r="AR440" s="589"/>
      <c r="AS440" s="589"/>
      <c r="AT440" s="589"/>
      <c r="AU440" s="589"/>
      <c r="AV440" s="589"/>
      <c r="AW440" s="589"/>
      <c r="AX440" s="589"/>
      <c r="AY440" s="589"/>
      <c r="AZ440" s="589"/>
      <c r="BA440" s="589"/>
      <c r="BB440" s="589"/>
      <c r="BC440" s="589"/>
      <c r="BD440" s="589"/>
      <c r="BE440" s="589"/>
      <c r="BF440" s="589"/>
      <c r="BG440" s="589"/>
      <c r="BH440" s="589"/>
      <c r="BI440" s="589"/>
      <c r="BJ440" s="589"/>
      <c r="BK440" s="589"/>
      <c r="BL440" s="589"/>
    </row>
    <row r="441" spans="1:64" ht="14.25" customHeight="1">
      <c r="A441" s="691" t="s">
        <v>778</v>
      </c>
      <c r="B441" s="589"/>
      <c r="C441" s="589"/>
      <c r="D441" s="589"/>
      <c r="E441" s="589"/>
      <c r="F441" s="591">
        <v>440</v>
      </c>
      <c r="G441" s="691" t="s">
        <v>197</v>
      </c>
      <c r="H441" s="691" t="s">
        <v>187</v>
      </c>
      <c r="I441" s="691" t="s">
        <v>137</v>
      </c>
      <c r="J441" s="691" t="s">
        <v>147</v>
      </c>
      <c r="K441" s="691" t="s">
        <v>125</v>
      </c>
      <c r="L441" s="691" t="s">
        <v>157</v>
      </c>
      <c r="M441" s="691" t="s">
        <v>207</v>
      </c>
      <c r="N441" s="691" t="s">
        <v>217</v>
      </c>
      <c r="O441" s="589"/>
      <c r="P441" s="717" cm="1">
        <f t="array" ref="P441">F441</f>
        <v>440</v>
      </c>
      <c r="Q441" s="620" t="str" cm="1">
        <f t="array" ref="Q441">RIGHT(G441,1)</f>
        <v>H</v>
      </c>
      <c r="R441" s="590" t="str" cm="1">
        <f t="array" ref="R441">RIGHT(H441,1)</f>
        <v>G</v>
      </c>
      <c r="S441" s="590" t="str" cm="1">
        <f t="array" ref="S441">RIGHT(I441,1)</f>
        <v>B</v>
      </c>
      <c r="T441" s="590" t="str" cm="1">
        <f t="array" ref="T441">RIGHT(J441,1)</f>
        <v>C</v>
      </c>
      <c r="U441" s="590" t="str" cm="1">
        <f t="array" ref="U441">RIGHT(K441,1)</f>
        <v>A</v>
      </c>
      <c r="V441" s="590" t="str" cm="1">
        <f t="array" ref="V441">RIGHT(L441,1)</f>
        <v>D</v>
      </c>
      <c r="W441" s="590" t="str" cm="1">
        <f t="array" ref="W441">RIGHT(M441,1)</f>
        <v>I</v>
      </c>
      <c r="X441" s="590" t="str" cm="1">
        <f t="array" ref="X441">RIGHT(N441,1)</f>
        <v>J</v>
      </c>
      <c r="Y441" s="708" cm="1">
        <f t="array" ref="Y441">COUNTIF($AA$2:$AA$9,Q441)+COUNTIF($AA$2:$AA$9,R441)+COUNTIF($AA$2:$AA$9,S441)+COUNTIF($AA$2:$AA$9,T441)+COUNTIF($AA$2:$AA$9,U441)+COUNTIF($AA$2:$AA$9,V441)+COUNTIF($AA$2:$AA$9,W441)+COUNTIF($AA$2:$AA$9,X441)</f>
        <v>5</v>
      </c>
      <c r="Z441" s="589"/>
      <c r="AA441" s="589"/>
      <c r="AB441" s="589"/>
      <c r="AC441" s="589"/>
      <c r="AD441" s="589"/>
      <c r="AE441" s="589"/>
      <c r="AF441" s="589"/>
      <c r="AG441" s="589"/>
      <c r="AH441" s="589"/>
      <c r="AI441" s="589"/>
      <c r="AJ441" s="589"/>
      <c r="AK441" s="589"/>
      <c r="AL441" s="589"/>
      <c r="AM441" s="589"/>
      <c r="AN441" s="589"/>
      <c r="AO441" s="589"/>
      <c r="AP441" s="589"/>
      <c r="AQ441" s="589"/>
      <c r="AR441" s="589"/>
      <c r="AS441" s="589"/>
      <c r="AT441" s="589"/>
      <c r="AU441" s="589"/>
      <c r="AV441" s="589"/>
      <c r="AW441" s="589"/>
      <c r="AX441" s="589"/>
      <c r="AY441" s="589"/>
      <c r="AZ441" s="589"/>
      <c r="BA441" s="589"/>
      <c r="BB441" s="589"/>
      <c r="BC441" s="589"/>
      <c r="BD441" s="589"/>
      <c r="BE441" s="589"/>
      <c r="BF441" s="589"/>
      <c r="BG441" s="589"/>
      <c r="BH441" s="589"/>
      <c r="BI441" s="589"/>
      <c r="BJ441" s="589"/>
      <c r="BK441" s="589"/>
      <c r="BL441" s="589"/>
    </row>
    <row r="442" spans="1:64" ht="14.25" customHeight="1">
      <c r="A442" s="691" t="s">
        <v>779</v>
      </c>
      <c r="B442" s="589"/>
      <c r="C442" s="589"/>
      <c r="D442" s="589"/>
      <c r="E442" s="589"/>
      <c r="F442" s="591">
        <v>441</v>
      </c>
      <c r="G442" s="691" t="s">
        <v>147</v>
      </c>
      <c r="H442" s="691" t="s">
        <v>217</v>
      </c>
      <c r="I442" s="691" t="s">
        <v>137</v>
      </c>
      <c r="J442" s="691" t="s">
        <v>157</v>
      </c>
      <c r="K442" s="691" t="s">
        <v>125</v>
      </c>
      <c r="L442" s="691" t="s">
        <v>177</v>
      </c>
      <c r="M442" s="691" t="s">
        <v>237</v>
      </c>
      <c r="N442" s="691" t="s">
        <v>227</v>
      </c>
      <c r="O442" s="589"/>
      <c r="P442" s="717" cm="1">
        <f t="array" ref="P442">F442</f>
        <v>441</v>
      </c>
      <c r="Q442" s="620" t="str" cm="1">
        <f t="array" ref="Q442">RIGHT(G442,1)</f>
        <v>C</v>
      </c>
      <c r="R442" s="590" t="str" cm="1">
        <f t="array" ref="R442">RIGHT(H442,1)</f>
        <v>J</v>
      </c>
      <c r="S442" s="590" t="str" cm="1">
        <f t="array" ref="S442">RIGHT(I442,1)</f>
        <v>B</v>
      </c>
      <c r="T442" s="590" t="str" cm="1">
        <f t="array" ref="T442">RIGHT(J442,1)</f>
        <v>D</v>
      </c>
      <c r="U442" s="590" t="str" cm="1">
        <f t="array" ref="U442">RIGHT(K442,1)</f>
        <v>A</v>
      </c>
      <c r="V442" s="590" t="str" cm="1">
        <f t="array" ref="V442">RIGHT(L442,1)</f>
        <v>F</v>
      </c>
      <c r="W442" s="590" t="str" cm="1">
        <f t="array" ref="W442">RIGHT(M442,1)</f>
        <v>L</v>
      </c>
      <c r="X442" s="590" t="str" cm="1">
        <f t="array" ref="X442">RIGHT(N442,1)</f>
        <v>K</v>
      </c>
      <c r="Y442" s="708" cm="1">
        <f t="array" ref="Y442">COUNTIF($AA$2:$AA$9,Q442)+COUNTIF($AA$2:$AA$9,R442)+COUNTIF($AA$2:$AA$9,S442)+COUNTIF($AA$2:$AA$9,T442)+COUNTIF($AA$2:$AA$9,U442)+COUNTIF($AA$2:$AA$9,V442)+COUNTIF($AA$2:$AA$9,W442)+COUNTIF($AA$2:$AA$9,X442)</f>
        <v>6</v>
      </c>
      <c r="Z442" s="589"/>
      <c r="AA442" s="589"/>
      <c r="AB442" s="589"/>
      <c r="AC442" s="589"/>
      <c r="AD442" s="589"/>
      <c r="AE442" s="589"/>
      <c r="AF442" s="589"/>
      <c r="AG442" s="589"/>
      <c r="AH442" s="589"/>
      <c r="AI442" s="589"/>
      <c r="AJ442" s="589"/>
      <c r="AK442" s="589"/>
      <c r="AL442" s="589"/>
      <c r="AM442" s="589"/>
      <c r="AN442" s="589"/>
      <c r="AO442" s="589"/>
      <c r="AP442" s="589"/>
      <c r="AQ442" s="589"/>
      <c r="AR442" s="589"/>
      <c r="AS442" s="589"/>
      <c r="AT442" s="589"/>
      <c r="AU442" s="589"/>
      <c r="AV442" s="589"/>
      <c r="AW442" s="589"/>
      <c r="AX442" s="589"/>
      <c r="AY442" s="589"/>
      <c r="AZ442" s="589"/>
      <c r="BA442" s="589"/>
      <c r="BB442" s="589"/>
      <c r="BC442" s="589"/>
      <c r="BD442" s="589"/>
      <c r="BE442" s="589"/>
      <c r="BF442" s="589"/>
      <c r="BG442" s="589"/>
      <c r="BH442" s="589"/>
      <c r="BI442" s="589"/>
      <c r="BJ442" s="589"/>
      <c r="BK442" s="589"/>
      <c r="BL442" s="589"/>
    </row>
    <row r="443" spans="1:64" ht="14.25" customHeight="1">
      <c r="A443" s="691" t="s">
        <v>780</v>
      </c>
      <c r="B443" s="589"/>
      <c r="C443" s="589"/>
      <c r="D443" s="589"/>
      <c r="E443" s="589"/>
      <c r="F443" s="591">
        <v>442</v>
      </c>
      <c r="G443" s="691" t="s">
        <v>147</v>
      </c>
      <c r="H443" s="691" t="s">
        <v>207</v>
      </c>
      <c r="I443" s="691" t="s">
        <v>137</v>
      </c>
      <c r="J443" s="691" t="s">
        <v>157</v>
      </c>
      <c r="K443" s="691" t="s">
        <v>125</v>
      </c>
      <c r="L443" s="691" t="s">
        <v>177</v>
      </c>
      <c r="M443" s="691" t="s">
        <v>237</v>
      </c>
      <c r="N443" s="691" t="s">
        <v>227</v>
      </c>
      <c r="O443" s="589"/>
      <c r="P443" s="717" cm="1">
        <f t="array" ref="P443">F443</f>
        <v>442</v>
      </c>
      <c r="Q443" s="620" t="str" cm="1">
        <f t="array" ref="Q443">RIGHT(G443,1)</f>
        <v>C</v>
      </c>
      <c r="R443" s="590" t="str" cm="1">
        <f t="array" ref="R443">RIGHT(H443,1)</f>
        <v>I</v>
      </c>
      <c r="S443" s="590" t="str" cm="1">
        <f t="array" ref="S443">RIGHT(I443,1)</f>
        <v>B</v>
      </c>
      <c r="T443" s="590" t="str" cm="1">
        <f t="array" ref="T443">RIGHT(J443,1)</f>
        <v>D</v>
      </c>
      <c r="U443" s="590" t="str" cm="1">
        <f t="array" ref="U443">RIGHT(K443,1)</f>
        <v>A</v>
      </c>
      <c r="V443" s="590" t="str" cm="1">
        <f t="array" ref="V443">RIGHT(L443,1)</f>
        <v>F</v>
      </c>
      <c r="W443" s="590" t="str" cm="1">
        <f t="array" ref="W443">RIGHT(M443,1)</f>
        <v>L</v>
      </c>
      <c r="X443" s="590" t="str" cm="1">
        <f t="array" ref="X443">RIGHT(N443,1)</f>
        <v>K</v>
      </c>
      <c r="Y443" s="708" cm="1">
        <f t="array" ref="Y443">COUNTIF($AA$2:$AA$9,Q443)+COUNTIF($AA$2:$AA$9,R443)+COUNTIF($AA$2:$AA$9,S443)+COUNTIF($AA$2:$AA$9,T443)+COUNTIF($AA$2:$AA$9,U443)+COUNTIF($AA$2:$AA$9,V443)+COUNTIF($AA$2:$AA$9,W443)+COUNTIF($AA$2:$AA$9,X443)</f>
        <v>6</v>
      </c>
      <c r="Z443" s="589"/>
      <c r="AA443" s="589"/>
      <c r="AB443" s="589"/>
      <c r="AC443" s="589"/>
      <c r="AD443" s="589"/>
      <c r="AE443" s="589"/>
      <c r="AF443" s="589"/>
      <c r="AG443" s="589"/>
      <c r="AH443" s="589"/>
      <c r="AI443" s="589"/>
      <c r="AJ443" s="589"/>
      <c r="AK443" s="589"/>
      <c r="AL443" s="589"/>
      <c r="AM443" s="589"/>
      <c r="AN443" s="589"/>
      <c r="AO443" s="589"/>
      <c r="AP443" s="589"/>
      <c r="AQ443" s="589"/>
      <c r="AR443" s="589"/>
      <c r="AS443" s="589"/>
      <c r="AT443" s="589"/>
      <c r="AU443" s="589"/>
      <c r="AV443" s="589"/>
      <c r="AW443" s="589"/>
      <c r="AX443" s="589"/>
      <c r="AY443" s="589"/>
      <c r="AZ443" s="589"/>
      <c r="BA443" s="589"/>
      <c r="BB443" s="589"/>
      <c r="BC443" s="589"/>
      <c r="BD443" s="589"/>
      <c r="BE443" s="589"/>
      <c r="BF443" s="589"/>
      <c r="BG443" s="589"/>
      <c r="BH443" s="589"/>
      <c r="BI443" s="589"/>
      <c r="BJ443" s="589"/>
      <c r="BK443" s="589"/>
      <c r="BL443" s="589"/>
    </row>
    <row r="444" spans="1:64" ht="14.25" customHeight="1">
      <c r="A444" s="691" t="s">
        <v>781</v>
      </c>
      <c r="B444" s="589"/>
      <c r="C444" s="589"/>
      <c r="D444" s="589"/>
      <c r="E444" s="589"/>
      <c r="F444" s="591">
        <v>443</v>
      </c>
      <c r="G444" s="691" t="s">
        <v>147</v>
      </c>
      <c r="H444" s="691" t="s">
        <v>217</v>
      </c>
      <c r="I444" s="691" t="s">
        <v>137</v>
      </c>
      <c r="J444" s="691" t="s">
        <v>157</v>
      </c>
      <c r="K444" s="691" t="s">
        <v>125</v>
      </c>
      <c r="L444" s="691" t="s">
        <v>177</v>
      </c>
      <c r="M444" s="691" t="s">
        <v>237</v>
      </c>
      <c r="N444" s="691" t="s">
        <v>207</v>
      </c>
      <c r="O444" s="589"/>
      <c r="P444" s="717" cm="1">
        <f t="array" ref="P444">F444</f>
        <v>443</v>
      </c>
      <c r="Q444" s="620" t="str" cm="1">
        <f t="array" ref="Q444">RIGHT(G444,1)</f>
        <v>C</v>
      </c>
      <c r="R444" s="590" t="str" cm="1">
        <f t="array" ref="R444">RIGHT(H444,1)</f>
        <v>J</v>
      </c>
      <c r="S444" s="590" t="str" cm="1">
        <f t="array" ref="S444">RIGHT(I444,1)</f>
        <v>B</v>
      </c>
      <c r="T444" s="590" t="str" cm="1">
        <f t="array" ref="T444">RIGHT(J444,1)</f>
        <v>D</v>
      </c>
      <c r="U444" s="590" t="str" cm="1">
        <f t="array" ref="U444">RIGHT(K444,1)</f>
        <v>A</v>
      </c>
      <c r="V444" s="590" t="str" cm="1">
        <f t="array" ref="V444">RIGHT(L444,1)</f>
        <v>F</v>
      </c>
      <c r="W444" s="590" t="str" cm="1">
        <f t="array" ref="W444">RIGHT(M444,1)</f>
        <v>L</v>
      </c>
      <c r="X444" s="590" t="str" cm="1">
        <f t="array" ref="X444">RIGHT(N444,1)</f>
        <v>I</v>
      </c>
      <c r="Y444" s="708" cm="1">
        <f t="array" ref="Y444">COUNTIF($AA$2:$AA$9,Q444)+COUNTIF($AA$2:$AA$9,R444)+COUNTIF($AA$2:$AA$9,S444)+COUNTIF($AA$2:$AA$9,T444)+COUNTIF($AA$2:$AA$9,U444)+COUNTIF($AA$2:$AA$9,V444)+COUNTIF($AA$2:$AA$9,W444)+COUNTIF($AA$2:$AA$9,X444)</f>
        <v>7</v>
      </c>
      <c r="Z444" s="589"/>
      <c r="AA444" s="589"/>
      <c r="AB444" s="589"/>
      <c r="AC444" s="589"/>
      <c r="AD444" s="589"/>
      <c r="AE444" s="589"/>
      <c r="AF444" s="589"/>
      <c r="AG444" s="589"/>
      <c r="AH444" s="589"/>
      <c r="AI444" s="589"/>
      <c r="AJ444" s="589"/>
      <c r="AK444" s="589"/>
      <c r="AL444" s="589"/>
      <c r="AM444" s="589"/>
      <c r="AN444" s="589"/>
      <c r="AO444" s="589"/>
      <c r="AP444" s="589"/>
      <c r="AQ444" s="589"/>
      <c r="AR444" s="589"/>
      <c r="AS444" s="589"/>
      <c r="AT444" s="589"/>
      <c r="AU444" s="589"/>
      <c r="AV444" s="589"/>
      <c r="AW444" s="589"/>
      <c r="AX444" s="589"/>
      <c r="AY444" s="589"/>
      <c r="AZ444" s="589"/>
      <c r="BA444" s="589"/>
      <c r="BB444" s="589"/>
      <c r="BC444" s="589"/>
      <c r="BD444" s="589"/>
      <c r="BE444" s="589"/>
      <c r="BF444" s="589"/>
      <c r="BG444" s="589"/>
      <c r="BH444" s="589"/>
      <c r="BI444" s="589"/>
      <c r="BJ444" s="589"/>
      <c r="BK444" s="589"/>
      <c r="BL444" s="589"/>
    </row>
    <row r="445" spans="1:64" ht="14.25" customHeight="1">
      <c r="A445" s="691" t="s">
        <v>782</v>
      </c>
      <c r="B445" s="589"/>
      <c r="C445" s="589"/>
      <c r="D445" s="589"/>
      <c r="E445" s="589"/>
      <c r="F445" s="591">
        <v>444</v>
      </c>
      <c r="G445" s="691" t="s">
        <v>147</v>
      </c>
      <c r="H445" s="691" t="s">
        <v>217</v>
      </c>
      <c r="I445" s="691" t="s">
        <v>137</v>
      </c>
      <c r="J445" s="691" t="s">
        <v>157</v>
      </c>
      <c r="K445" s="691" t="s">
        <v>125</v>
      </c>
      <c r="L445" s="691" t="s">
        <v>177</v>
      </c>
      <c r="M445" s="691" t="s">
        <v>207</v>
      </c>
      <c r="N445" s="691" t="s">
        <v>227</v>
      </c>
      <c r="O445" s="589"/>
      <c r="P445" s="717" cm="1">
        <f t="array" ref="P445">F445</f>
        <v>444</v>
      </c>
      <c r="Q445" s="620" t="str" cm="1">
        <f t="array" ref="Q445">RIGHT(G445,1)</f>
        <v>C</v>
      </c>
      <c r="R445" s="590" t="str" cm="1">
        <f t="array" ref="R445">RIGHT(H445,1)</f>
        <v>J</v>
      </c>
      <c r="S445" s="590" t="str" cm="1">
        <f t="array" ref="S445">RIGHT(I445,1)</f>
        <v>B</v>
      </c>
      <c r="T445" s="590" t="str" cm="1">
        <f t="array" ref="T445">RIGHT(J445,1)</f>
        <v>D</v>
      </c>
      <c r="U445" s="590" t="str" cm="1">
        <f t="array" ref="U445">RIGHT(K445,1)</f>
        <v>A</v>
      </c>
      <c r="V445" s="590" t="str" cm="1">
        <f t="array" ref="V445">RIGHT(L445,1)</f>
        <v>F</v>
      </c>
      <c r="W445" s="590" t="str" cm="1">
        <f t="array" ref="W445">RIGHT(M445,1)</f>
        <v>I</v>
      </c>
      <c r="X445" s="590" t="str" cm="1">
        <f t="array" ref="X445">RIGHT(N445,1)</f>
        <v>K</v>
      </c>
      <c r="Y445" s="708" cm="1">
        <f t="array" ref="Y445">COUNTIF($AA$2:$AA$9,Q445)+COUNTIF($AA$2:$AA$9,R445)+COUNTIF($AA$2:$AA$9,S445)+COUNTIF($AA$2:$AA$9,T445)+COUNTIF($AA$2:$AA$9,U445)+COUNTIF($AA$2:$AA$9,V445)+COUNTIF($AA$2:$AA$9,W445)+COUNTIF($AA$2:$AA$9,X445)</f>
        <v>6</v>
      </c>
      <c r="Z445" s="589"/>
      <c r="AA445" s="589"/>
      <c r="AB445" s="589"/>
      <c r="AC445" s="589"/>
      <c r="AD445" s="589"/>
      <c r="AE445" s="589"/>
      <c r="AF445" s="589"/>
      <c r="AG445" s="589"/>
      <c r="AH445" s="589"/>
      <c r="AI445" s="589"/>
      <c r="AJ445" s="589"/>
      <c r="AK445" s="589"/>
      <c r="AL445" s="589"/>
      <c r="AM445" s="589"/>
      <c r="AN445" s="589"/>
      <c r="AO445" s="589"/>
      <c r="AP445" s="589"/>
      <c r="AQ445" s="589"/>
      <c r="AR445" s="589"/>
      <c r="AS445" s="589"/>
      <c r="AT445" s="589"/>
      <c r="AU445" s="589"/>
      <c r="AV445" s="589"/>
      <c r="AW445" s="589"/>
      <c r="AX445" s="589"/>
      <c r="AY445" s="589"/>
      <c r="AZ445" s="589"/>
      <c r="BA445" s="589"/>
      <c r="BB445" s="589"/>
      <c r="BC445" s="589"/>
      <c r="BD445" s="589"/>
      <c r="BE445" s="589"/>
      <c r="BF445" s="589"/>
      <c r="BG445" s="589"/>
      <c r="BH445" s="589"/>
      <c r="BI445" s="589"/>
      <c r="BJ445" s="589"/>
      <c r="BK445" s="589"/>
      <c r="BL445" s="589"/>
    </row>
    <row r="446" spans="1:64" ht="14.25" customHeight="1">
      <c r="A446" s="691" t="s">
        <v>783</v>
      </c>
      <c r="B446" s="589"/>
      <c r="C446" s="589"/>
      <c r="D446" s="589"/>
      <c r="E446" s="589"/>
      <c r="F446" s="591">
        <v>445</v>
      </c>
      <c r="G446" s="691" t="s">
        <v>197</v>
      </c>
      <c r="H446" s="691" t="s">
        <v>177</v>
      </c>
      <c r="I446" s="691" t="s">
        <v>137</v>
      </c>
      <c r="J446" s="691" t="s">
        <v>147</v>
      </c>
      <c r="K446" s="691" t="s">
        <v>125</v>
      </c>
      <c r="L446" s="691" t="s">
        <v>157</v>
      </c>
      <c r="M446" s="691" t="s">
        <v>237</v>
      </c>
      <c r="N446" s="691" t="s">
        <v>227</v>
      </c>
      <c r="O446" s="589"/>
      <c r="P446" s="717" cm="1">
        <f t="array" ref="P446">F446</f>
        <v>445</v>
      </c>
      <c r="Q446" s="620" t="str" cm="1">
        <f t="array" ref="Q446">RIGHT(G446,1)</f>
        <v>H</v>
      </c>
      <c r="R446" s="590" t="str" cm="1">
        <f t="array" ref="R446">RIGHT(H446,1)</f>
        <v>F</v>
      </c>
      <c r="S446" s="590" t="str" cm="1">
        <f t="array" ref="S446">RIGHT(I446,1)</f>
        <v>B</v>
      </c>
      <c r="T446" s="590" t="str" cm="1">
        <f t="array" ref="T446">RIGHT(J446,1)</f>
        <v>C</v>
      </c>
      <c r="U446" s="590" t="str" cm="1">
        <f t="array" ref="U446">RIGHT(K446,1)</f>
        <v>A</v>
      </c>
      <c r="V446" s="590" t="str" cm="1">
        <f t="array" ref="V446">RIGHT(L446,1)</f>
        <v>D</v>
      </c>
      <c r="W446" s="590" t="str" cm="1">
        <f t="array" ref="W446">RIGHT(M446,1)</f>
        <v>L</v>
      </c>
      <c r="X446" s="590" t="str" cm="1">
        <f t="array" ref="X446">RIGHT(N446,1)</f>
        <v>K</v>
      </c>
      <c r="Y446" s="708" cm="1">
        <f t="array" ref="Y446">COUNTIF($AA$2:$AA$9,Q446)+COUNTIF($AA$2:$AA$9,R446)+COUNTIF($AA$2:$AA$9,S446)+COUNTIF($AA$2:$AA$9,T446)+COUNTIF($AA$2:$AA$9,U446)+COUNTIF($AA$2:$AA$9,V446)+COUNTIF($AA$2:$AA$9,W446)+COUNTIF($AA$2:$AA$9,X446)</f>
        <v>5</v>
      </c>
      <c r="Z446" s="589"/>
      <c r="AA446" s="589"/>
      <c r="AB446" s="589"/>
      <c r="AC446" s="589"/>
      <c r="AD446" s="589"/>
      <c r="AE446" s="589"/>
      <c r="AF446" s="589"/>
      <c r="AG446" s="589"/>
      <c r="AH446" s="589"/>
      <c r="AI446" s="589"/>
      <c r="AJ446" s="589"/>
      <c r="AK446" s="589"/>
      <c r="AL446" s="589"/>
      <c r="AM446" s="589"/>
      <c r="AN446" s="589"/>
      <c r="AO446" s="589"/>
      <c r="AP446" s="589"/>
      <c r="AQ446" s="589"/>
      <c r="AR446" s="589"/>
      <c r="AS446" s="589"/>
      <c r="AT446" s="589"/>
      <c r="AU446" s="589"/>
      <c r="AV446" s="589"/>
      <c r="AW446" s="589"/>
      <c r="AX446" s="589"/>
      <c r="AY446" s="589"/>
      <c r="AZ446" s="589"/>
      <c r="BA446" s="589"/>
      <c r="BB446" s="589"/>
      <c r="BC446" s="589"/>
      <c r="BD446" s="589"/>
      <c r="BE446" s="589"/>
      <c r="BF446" s="589"/>
      <c r="BG446" s="589"/>
      <c r="BH446" s="589"/>
      <c r="BI446" s="589"/>
      <c r="BJ446" s="589"/>
      <c r="BK446" s="589"/>
      <c r="BL446" s="589"/>
    </row>
    <row r="447" spans="1:64" ht="14.25" customHeight="1">
      <c r="A447" s="691" t="s">
        <v>784</v>
      </c>
      <c r="B447" s="589"/>
      <c r="C447" s="589"/>
      <c r="D447" s="589"/>
      <c r="E447" s="589"/>
      <c r="F447" s="591">
        <v>446</v>
      </c>
      <c r="G447" s="691" t="s">
        <v>147</v>
      </c>
      <c r="H447" s="691" t="s">
        <v>217</v>
      </c>
      <c r="I447" s="691" t="s">
        <v>137</v>
      </c>
      <c r="J447" s="691" t="s">
        <v>157</v>
      </c>
      <c r="K447" s="691" t="s">
        <v>125</v>
      </c>
      <c r="L447" s="691" t="s">
        <v>177</v>
      </c>
      <c r="M447" s="691" t="s">
        <v>237</v>
      </c>
      <c r="N447" s="691" t="s">
        <v>197</v>
      </c>
      <c r="O447" s="589"/>
      <c r="P447" s="717" cm="1">
        <f t="array" ref="P447">F447</f>
        <v>446</v>
      </c>
      <c r="Q447" s="620" t="str" cm="1">
        <f t="array" ref="Q447">RIGHT(G447,1)</f>
        <v>C</v>
      </c>
      <c r="R447" s="590" t="str" cm="1">
        <f t="array" ref="R447">RIGHT(H447,1)</f>
        <v>J</v>
      </c>
      <c r="S447" s="590" t="str" cm="1">
        <f t="array" ref="S447">RIGHT(I447,1)</f>
        <v>B</v>
      </c>
      <c r="T447" s="590" t="str" cm="1">
        <f t="array" ref="T447">RIGHT(J447,1)</f>
        <v>D</v>
      </c>
      <c r="U447" s="590" t="str" cm="1">
        <f t="array" ref="U447">RIGHT(K447,1)</f>
        <v>A</v>
      </c>
      <c r="V447" s="590" t="str" cm="1">
        <f t="array" ref="V447">RIGHT(L447,1)</f>
        <v>F</v>
      </c>
      <c r="W447" s="590" t="str" cm="1">
        <f t="array" ref="W447">RIGHT(M447,1)</f>
        <v>L</v>
      </c>
      <c r="X447" s="590" t="str" cm="1">
        <f t="array" ref="X447">RIGHT(N447,1)</f>
        <v>H</v>
      </c>
      <c r="Y447" s="708" cm="1">
        <f t="array" ref="Y447">COUNTIF($AA$2:$AA$9,Q447)+COUNTIF($AA$2:$AA$9,R447)+COUNTIF($AA$2:$AA$9,S447)+COUNTIF($AA$2:$AA$9,T447)+COUNTIF($AA$2:$AA$9,U447)+COUNTIF($AA$2:$AA$9,V447)+COUNTIF($AA$2:$AA$9,W447)+COUNTIF($AA$2:$AA$9,X447)</f>
        <v>6</v>
      </c>
      <c r="Z447" s="589"/>
      <c r="AA447" s="589"/>
      <c r="AB447" s="589"/>
      <c r="AC447" s="589"/>
      <c r="AD447" s="589"/>
      <c r="AE447" s="589"/>
      <c r="AF447" s="589"/>
      <c r="AG447" s="589"/>
      <c r="AH447" s="589"/>
      <c r="AI447" s="589"/>
      <c r="AJ447" s="589"/>
      <c r="AK447" s="589"/>
      <c r="AL447" s="589"/>
      <c r="AM447" s="589"/>
      <c r="AN447" s="589"/>
      <c r="AO447" s="589"/>
      <c r="AP447" s="589"/>
      <c r="AQ447" s="589"/>
      <c r="AR447" s="589"/>
      <c r="AS447" s="589"/>
      <c r="AT447" s="589"/>
      <c r="AU447" s="589"/>
      <c r="AV447" s="589"/>
      <c r="AW447" s="589"/>
      <c r="AX447" s="589"/>
      <c r="AY447" s="589"/>
      <c r="AZ447" s="589"/>
      <c r="BA447" s="589"/>
      <c r="BB447" s="589"/>
      <c r="BC447" s="589"/>
      <c r="BD447" s="589"/>
      <c r="BE447" s="589"/>
      <c r="BF447" s="589"/>
      <c r="BG447" s="589"/>
      <c r="BH447" s="589"/>
      <c r="BI447" s="589"/>
      <c r="BJ447" s="589"/>
      <c r="BK447" s="589"/>
      <c r="BL447" s="589"/>
    </row>
    <row r="448" spans="1:64" ht="14.25" customHeight="1">
      <c r="A448" s="691" t="s">
        <v>785</v>
      </c>
      <c r="B448" s="589"/>
      <c r="C448" s="589"/>
      <c r="D448" s="589"/>
      <c r="E448" s="589"/>
      <c r="F448" s="591">
        <v>447</v>
      </c>
      <c r="G448" s="691" t="s">
        <v>197</v>
      </c>
      <c r="H448" s="691" t="s">
        <v>217</v>
      </c>
      <c r="I448" s="691" t="s">
        <v>137</v>
      </c>
      <c r="J448" s="691" t="s">
        <v>147</v>
      </c>
      <c r="K448" s="691" t="s">
        <v>125</v>
      </c>
      <c r="L448" s="691" t="s">
        <v>177</v>
      </c>
      <c r="M448" s="691" t="s">
        <v>157</v>
      </c>
      <c r="N448" s="691" t="s">
        <v>227</v>
      </c>
      <c r="O448" s="589"/>
      <c r="P448" s="717" cm="1">
        <f t="array" ref="P448">F448</f>
        <v>447</v>
      </c>
      <c r="Q448" s="620" t="str" cm="1">
        <f t="array" ref="Q448">RIGHT(G448,1)</f>
        <v>H</v>
      </c>
      <c r="R448" s="590" t="str" cm="1">
        <f t="array" ref="R448">RIGHT(H448,1)</f>
        <v>J</v>
      </c>
      <c r="S448" s="590" t="str" cm="1">
        <f t="array" ref="S448">RIGHT(I448,1)</f>
        <v>B</v>
      </c>
      <c r="T448" s="590" t="str" cm="1">
        <f t="array" ref="T448">RIGHT(J448,1)</f>
        <v>C</v>
      </c>
      <c r="U448" s="590" t="str" cm="1">
        <f t="array" ref="U448">RIGHT(K448,1)</f>
        <v>A</v>
      </c>
      <c r="V448" s="590" t="str" cm="1">
        <f t="array" ref="V448">RIGHT(L448,1)</f>
        <v>F</v>
      </c>
      <c r="W448" s="590" t="str" cm="1">
        <f t="array" ref="W448">RIGHT(M448,1)</f>
        <v>D</v>
      </c>
      <c r="X448" s="590" t="str" cm="1">
        <f t="array" ref="X448">RIGHT(N448,1)</f>
        <v>K</v>
      </c>
      <c r="Y448" s="708" cm="1">
        <f t="array" ref="Y448">COUNTIF($AA$2:$AA$9,Q448)+COUNTIF($AA$2:$AA$9,R448)+COUNTIF($AA$2:$AA$9,S448)+COUNTIF($AA$2:$AA$9,T448)+COUNTIF($AA$2:$AA$9,U448)+COUNTIF($AA$2:$AA$9,V448)+COUNTIF($AA$2:$AA$9,W448)+COUNTIF($AA$2:$AA$9,X448)</f>
        <v>5</v>
      </c>
      <c r="Z448" s="589"/>
      <c r="AA448" s="589"/>
      <c r="AB448" s="589"/>
      <c r="AC448" s="589"/>
      <c r="AD448" s="589"/>
      <c r="AE448" s="589"/>
      <c r="AF448" s="589"/>
      <c r="AG448" s="589"/>
      <c r="AH448" s="589"/>
      <c r="AI448" s="589"/>
      <c r="AJ448" s="589"/>
      <c r="AK448" s="589"/>
      <c r="AL448" s="589"/>
      <c r="AM448" s="589"/>
      <c r="AN448" s="589"/>
      <c r="AO448" s="589"/>
      <c r="AP448" s="589"/>
      <c r="AQ448" s="589"/>
      <c r="AR448" s="589"/>
      <c r="AS448" s="589"/>
      <c r="AT448" s="589"/>
      <c r="AU448" s="589"/>
      <c r="AV448" s="589"/>
      <c r="AW448" s="589"/>
      <c r="AX448" s="589"/>
      <c r="AY448" s="589"/>
      <c r="AZ448" s="589"/>
      <c r="BA448" s="589"/>
      <c r="BB448" s="589"/>
      <c r="BC448" s="589"/>
      <c r="BD448" s="589"/>
      <c r="BE448" s="589"/>
      <c r="BF448" s="589"/>
      <c r="BG448" s="589"/>
      <c r="BH448" s="589"/>
      <c r="BI448" s="589"/>
      <c r="BJ448" s="589"/>
      <c r="BK448" s="589"/>
      <c r="BL448" s="589"/>
    </row>
    <row r="449" spans="1:64" ht="14.25" customHeight="1">
      <c r="A449" s="691" t="s">
        <v>786</v>
      </c>
      <c r="B449" s="589"/>
      <c r="C449" s="589"/>
      <c r="D449" s="589"/>
      <c r="E449" s="589"/>
      <c r="F449" s="591">
        <v>448</v>
      </c>
      <c r="G449" s="691" t="s">
        <v>197</v>
      </c>
      <c r="H449" s="691" t="s">
        <v>177</v>
      </c>
      <c r="I449" s="691" t="s">
        <v>137</v>
      </c>
      <c r="J449" s="691" t="s">
        <v>147</v>
      </c>
      <c r="K449" s="691" t="s">
        <v>125</v>
      </c>
      <c r="L449" s="691" t="s">
        <v>157</v>
      </c>
      <c r="M449" s="691" t="s">
        <v>237</v>
      </c>
      <c r="N449" s="691" t="s">
        <v>207</v>
      </c>
      <c r="O449" s="589"/>
      <c r="P449" s="717" cm="1">
        <f t="array" ref="P449">F449</f>
        <v>448</v>
      </c>
      <c r="Q449" s="620" t="str" cm="1">
        <f t="array" ref="Q449">RIGHT(G449,1)</f>
        <v>H</v>
      </c>
      <c r="R449" s="590" t="str" cm="1">
        <f t="array" ref="R449">RIGHT(H449,1)</f>
        <v>F</v>
      </c>
      <c r="S449" s="590" t="str" cm="1">
        <f t="array" ref="S449">RIGHT(I449,1)</f>
        <v>B</v>
      </c>
      <c r="T449" s="590" t="str" cm="1">
        <f t="array" ref="T449">RIGHT(J449,1)</f>
        <v>C</v>
      </c>
      <c r="U449" s="590" t="str" cm="1">
        <f t="array" ref="U449">RIGHT(K449,1)</f>
        <v>A</v>
      </c>
      <c r="V449" s="590" t="str" cm="1">
        <f t="array" ref="V449">RIGHT(L449,1)</f>
        <v>D</v>
      </c>
      <c r="W449" s="590" t="str" cm="1">
        <f t="array" ref="W449">RIGHT(M449,1)</f>
        <v>L</v>
      </c>
      <c r="X449" s="590" t="str" cm="1">
        <f t="array" ref="X449">RIGHT(N449,1)</f>
        <v>I</v>
      </c>
      <c r="Y449" s="708" cm="1">
        <f t="array" ref="Y449">COUNTIF($AA$2:$AA$9,Q449)+COUNTIF($AA$2:$AA$9,R449)+COUNTIF($AA$2:$AA$9,S449)+COUNTIF($AA$2:$AA$9,T449)+COUNTIF($AA$2:$AA$9,U449)+COUNTIF($AA$2:$AA$9,V449)+COUNTIF($AA$2:$AA$9,W449)+COUNTIF($AA$2:$AA$9,X449)</f>
        <v>6</v>
      </c>
      <c r="Z449" s="589"/>
      <c r="AA449" s="589"/>
      <c r="AB449" s="589"/>
      <c r="AC449" s="589"/>
      <c r="AD449" s="589"/>
      <c r="AE449" s="589"/>
      <c r="AF449" s="589"/>
      <c r="AG449" s="589"/>
      <c r="AH449" s="589"/>
      <c r="AI449" s="589"/>
      <c r="AJ449" s="589"/>
      <c r="AK449" s="589"/>
      <c r="AL449" s="589"/>
      <c r="AM449" s="589"/>
      <c r="AN449" s="589"/>
      <c r="AO449" s="589"/>
      <c r="AP449" s="589"/>
      <c r="AQ449" s="589"/>
      <c r="AR449" s="589"/>
      <c r="AS449" s="589"/>
      <c r="AT449" s="589"/>
      <c r="AU449" s="589"/>
      <c r="AV449" s="589"/>
      <c r="AW449" s="589"/>
      <c r="AX449" s="589"/>
      <c r="AY449" s="589"/>
      <c r="AZ449" s="589"/>
      <c r="BA449" s="589"/>
      <c r="BB449" s="589"/>
      <c r="BC449" s="589"/>
      <c r="BD449" s="589"/>
      <c r="BE449" s="589"/>
      <c r="BF449" s="589"/>
      <c r="BG449" s="589"/>
      <c r="BH449" s="589"/>
      <c r="BI449" s="589"/>
      <c r="BJ449" s="589"/>
      <c r="BK449" s="589"/>
      <c r="BL449" s="589"/>
    </row>
    <row r="450" spans="1:64" ht="14.25" customHeight="1">
      <c r="A450" s="691" t="s">
        <v>787</v>
      </c>
      <c r="B450" s="589"/>
      <c r="C450" s="589"/>
      <c r="D450" s="589"/>
      <c r="E450" s="589"/>
      <c r="F450" s="591">
        <v>449</v>
      </c>
      <c r="G450" s="691" t="s">
        <v>197</v>
      </c>
      <c r="H450" s="691" t="s">
        <v>177</v>
      </c>
      <c r="I450" s="691" t="s">
        <v>137</v>
      </c>
      <c r="J450" s="691" t="s">
        <v>147</v>
      </c>
      <c r="K450" s="691" t="s">
        <v>125</v>
      </c>
      <c r="L450" s="691" t="s">
        <v>157</v>
      </c>
      <c r="M450" s="691" t="s">
        <v>207</v>
      </c>
      <c r="N450" s="691" t="s">
        <v>227</v>
      </c>
      <c r="O450" s="589"/>
      <c r="P450" s="717" cm="1">
        <f t="array" ref="P450">F450</f>
        <v>449</v>
      </c>
      <c r="Q450" s="620" t="str" cm="1">
        <f t="array" ref="Q450">RIGHT(G450,1)</f>
        <v>H</v>
      </c>
      <c r="R450" s="590" t="str" cm="1">
        <f t="array" ref="R450">RIGHT(H450,1)</f>
        <v>F</v>
      </c>
      <c r="S450" s="590" t="str" cm="1">
        <f t="array" ref="S450">RIGHT(I450,1)</f>
        <v>B</v>
      </c>
      <c r="T450" s="590" t="str" cm="1">
        <f t="array" ref="T450">RIGHT(J450,1)</f>
        <v>C</v>
      </c>
      <c r="U450" s="590" t="str" cm="1">
        <f t="array" ref="U450">RIGHT(K450,1)</f>
        <v>A</v>
      </c>
      <c r="V450" s="590" t="str" cm="1">
        <f t="array" ref="V450">RIGHT(L450,1)</f>
        <v>D</v>
      </c>
      <c r="W450" s="590" t="str" cm="1">
        <f t="array" ref="W450">RIGHT(M450,1)</f>
        <v>I</v>
      </c>
      <c r="X450" s="590" t="str" cm="1">
        <f t="array" ref="X450">RIGHT(N450,1)</f>
        <v>K</v>
      </c>
      <c r="Y450" s="708" cm="1">
        <f t="array" ref="Y450">COUNTIF($AA$2:$AA$9,Q450)+COUNTIF($AA$2:$AA$9,R450)+COUNTIF($AA$2:$AA$9,S450)+COUNTIF($AA$2:$AA$9,T450)+COUNTIF($AA$2:$AA$9,U450)+COUNTIF($AA$2:$AA$9,V450)+COUNTIF($AA$2:$AA$9,W450)+COUNTIF($AA$2:$AA$9,X450)</f>
        <v>5</v>
      </c>
      <c r="Z450" s="589"/>
      <c r="AA450" s="589"/>
      <c r="AB450" s="589"/>
      <c r="AC450" s="589"/>
      <c r="AD450" s="589"/>
      <c r="AE450" s="589"/>
      <c r="AF450" s="589"/>
      <c r="AG450" s="589"/>
      <c r="AH450" s="589"/>
      <c r="AI450" s="589"/>
      <c r="AJ450" s="589"/>
      <c r="AK450" s="589"/>
      <c r="AL450" s="589"/>
      <c r="AM450" s="589"/>
      <c r="AN450" s="589"/>
      <c r="AO450" s="589"/>
      <c r="AP450" s="589"/>
      <c r="AQ450" s="589"/>
      <c r="AR450" s="589"/>
      <c r="AS450" s="589"/>
      <c r="AT450" s="589"/>
      <c r="AU450" s="589"/>
      <c r="AV450" s="589"/>
      <c r="AW450" s="589"/>
      <c r="AX450" s="589"/>
      <c r="AY450" s="589"/>
      <c r="AZ450" s="589"/>
      <c r="BA450" s="589"/>
      <c r="BB450" s="589"/>
      <c r="BC450" s="589"/>
      <c r="BD450" s="589"/>
      <c r="BE450" s="589"/>
      <c r="BF450" s="589"/>
      <c r="BG450" s="589"/>
      <c r="BH450" s="589"/>
      <c r="BI450" s="589"/>
      <c r="BJ450" s="589"/>
      <c r="BK450" s="589"/>
      <c r="BL450" s="589"/>
    </row>
    <row r="451" spans="1:64" ht="14.25" customHeight="1">
      <c r="A451" s="691" t="s">
        <v>788</v>
      </c>
      <c r="B451" s="589"/>
      <c r="C451" s="589"/>
      <c r="D451" s="589"/>
      <c r="E451" s="589"/>
      <c r="F451" s="591">
        <v>450</v>
      </c>
      <c r="G451" s="691" t="s">
        <v>197</v>
      </c>
      <c r="H451" s="691" t="s">
        <v>217</v>
      </c>
      <c r="I451" s="691" t="s">
        <v>137</v>
      </c>
      <c r="J451" s="691" t="s">
        <v>147</v>
      </c>
      <c r="K451" s="691" t="s">
        <v>125</v>
      </c>
      <c r="L451" s="691" t="s">
        <v>177</v>
      </c>
      <c r="M451" s="691" t="s">
        <v>157</v>
      </c>
      <c r="N451" s="691" t="s">
        <v>207</v>
      </c>
      <c r="O451" s="589"/>
      <c r="P451" s="717" cm="1">
        <f t="array" ref="P451">F451</f>
        <v>450</v>
      </c>
      <c r="Q451" s="620" t="str" cm="1">
        <f t="array" ref="Q451">RIGHT(G451,1)</f>
        <v>H</v>
      </c>
      <c r="R451" s="590" t="str" cm="1">
        <f t="array" ref="R451">RIGHT(H451,1)</f>
        <v>J</v>
      </c>
      <c r="S451" s="590" t="str" cm="1">
        <f t="array" ref="S451">RIGHT(I451,1)</f>
        <v>B</v>
      </c>
      <c r="T451" s="590" t="str" cm="1">
        <f t="array" ref="T451">RIGHT(J451,1)</f>
        <v>C</v>
      </c>
      <c r="U451" s="590" t="str" cm="1">
        <f t="array" ref="U451">RIGHT(K451,1)</f>
        <v>A</v>
      </c>
      <c r="V451" s="590" t="str" cm="1">
        <f t="array" ref="V451">RIGHT(L451,1)</f>
        <v>F</v>
      </c>
      <c r="W451" s="590" t="str" cm="1">
        <f t="array" ref="W451">RIGHT(M451,1)</f>
        <v>D</v>
      </c>
      <c r="X451" s="590" t="str" cm="1">
        <f t="array" ref="X451">RIGHT(N451,1)</f>
        <v>I</v>
      </c>
      <c r="Y451" s="708" cm="1">
        <f t="array" ref="Y451">COUNTIF($AA$2:$AA$9,Q451)+COUNTIF($AA$2:$AA$9,R451)+COUNTIF($AA$2:$AA$9,S451)+COUNTIF($AA$2:$AA$9,T451)+COUNTIF($AA$2:$AA$9,U451)+COUNTIF($AA$2:$AA$9,V451)+COUNTIF($AA$2:$AA$9,W451)+COUNTIF($AA$2:$AA$9,X451)</f>
        <v>6</v>
      </c>
      <c r="Z451" s="589"/>
      <c r="AA451" s="589"/>
      <c r="AB451" s="589"/>
      <c r="AC451" s="589"/>
      <c r="AD451" s="589"/>
      <c r="AE451" s="589"/>
      <c r="AF451" s="589"/>
      <c r="AG451" s="589"/>
      <c r="AH451" s="589"/>
      <c r="AI451" s="589"/>
      <c r="AJ451" s="589"/>
      <c r="AK451" s="589"/>
      <c r="AL451" s="589"/>
      <c r="AM451" s="589"/>
      <c r="AN451" s="589"/>
      <c r="AO451" s="589"/>
      <c r="AP451" s="589"/>
      <c r="AQ451" s="589"/>
      <c r="AR451" s="589"/>
      <c r="AS451" s="589"/>
      <c r="AT451" s="589"/>
      <c r="AU451" s="589"/>
      <c r="AV451" s="589"/>
      <c r="AW451" s="589"/>
      <c r="AX451" s="589"/>
      <c r="AY451" s="589"/>
      <c r="AZ451" s="589"/>
      <c r="BA451" s="589"/>
      <c r="BB451" s="589"/>
      <c r="BC451" s="589"/>
      <c r="BD451" s="589"/>
      <c r="BE451" s="589"/>
      <c r="BF451" s="589"/>
      <c r="BG451" s="589"/>
      <c r="BH451" s="589"/>
      <c r="BI451" s="589"/>
      <c r="BJ451" s="589"/>
      <c r="BK451" s="589"/>
      <c r="BL451" s="589"/>
    </row>
    <row r="452" spans="1:64" ht="14.25" customHeight="1">
      <c r="A452" s="691" t="s">
        <v>789</v>
      </c>
      <c r="B452" s="589"/>
      <c r="C452" s="589"/>
      <c r="D452" s="589"/>
      <c r="E452" s="589"/>
      <c r="F452" s="591">
        <v>451</v>
      </c>
      <c r="G452" s="691" t="s">
        <v>147</v>
      </c>
      <c r="H452" s="691" t="s">
        <v>187</v>
      </c>
      <c r="I452" s="691" t="s">
        <v>137</v>
      </c>
      <c r="J452" s="691" t="s">
        <v>157</v>
      </c>
      <c r="K452" s="691" t="s">
        <v>125</v>
      </c>
      <c r="L452" s="691" t="s">
        <v>177</v>
      </c>
      <c r="M452" s="691" t="s">
        <v>237</v>
      </c>
      <c r="N452" s="691" t="s">
        <v>227</v>
      </c>
      <c r="O452" s="589"/>
      <c r="P452" s="717" cm="1">
        <f t="array" ref="P452">F452</f>
        <v>451</v>
      </c>
      <c r="Q452" s="620" t="str" cm="1">
        <f t="array" ref="Q452">RIGHT(G452,1)</f>
        <v>C</v>
      </c>
      <c r="R452" s="590" t="str" cm="1">
        <f t="array" ref="R452">RIGHT(H452,1)</f>
        <v>G</v>
      </c>
      <c r="S452" s="590" t="str" cm="1">
        <f t="array" ref="S452">RIGHT(I452,1)</f>
        <v>B</v>
      </c>
      <c r="T452" s="590" t="str" cm="1">
        <f t="array" ref="T452">RIGHT(J452,1)</f>
        <v>D</v>
      </c>
      <c r="U452" s="590" t="str" cm="1">
        <f t="array" ref="U452">RIGHT(K452,1)</f>
        <v>A</v>
      </c>
      <c r="V452" s="590" t="str" cm="1">
        <f t="array" ref="V452">RIGHT(L452,1)</f>
        <v>F</v>
      </c>
      <c r="W452" s="590" t="str" cm="1">
        <f t="array" ref="W452">RIGHT(M452,1)</f>
        <v>L</v>
      </c>
      <c r="X452" s="590" t="str" cm="1">
        <f t="array" ref="X452">RIGHT(N452,1)</f>
        <v>K</v>
      </c>
      <c r="Y452" s="708" cm="1">
        <f t="array" ref="Y452">COUNTIF($AA$2:$AA$9,Q452)+COUNTIF($AA$2:$AA$9,R452)+COUNTIF($AA$2:$AA$9,S452)+COUNTIF($AA$2:$AA$9,T452)+COUNTIF($AA$2:$AA$9,U452)+COUNTIF($AA$2:$AA$9,V452)+COUNTIF($AA$2:$AA$9,W452)+COUNTIF($AA$2:$AA$9,X452)</f>
        <v>5</v>
      </c>
      <c r="Z452" s="589"/>
      <c r="AA452" s="589"/>
      <c r="AB452" s="589"/>
      <c r="AC452" s="589"/>
      <c r="AD452" s="589"/>
      <c r="AE452" s="589"/>
      <c r="AF452" s="589"/>
      <c r="AG452" s="589"/>
      <c r="AH452" s="589"/>
      <c r="AI452" s="589"/>
      <c r="AJ452" s="589"/>
      <c r="AK452" s="589"/>
      <c r="AL452" s="589"/>
      <c r="AM452" s="589"/>
      <c r="AN452" s="589"/>
      <c r="AO452" s="589"/>
      <c r="AP452" s="589"/>
      <c r="AQ452" s="589"/>
      <c r="AR452" s="589"/>
      <c r="AS452" s="589"/>
      <c r="AT452" s="589"/>
      <c r="AU452" s="589"/>
      <c r="AV452" s="589"/>
      <c r="AW452" s="589"/>
      <c r="AX452" s="589"/>
      <c r="AY452" s="589"/>
      <c r="AZ452" s="589"/>
      <c r="BA452" s="589"/>
      <c r="BB452" s="589"/>
      <c r="BC452" s="589"/>
      <c r="BD452" s="589"/>
      <c r="BE452" s="589"/>
      <c r="BF452" s="589"/>
      <c r="BG452" s="589"/>
      <c r="BH452" s="589"/>
      <c r="BI452" s="589"/>
      <c r="BJ452" s="589"/>
      <c r="BK452" s="589"/>
      <c r="BL452" s="589"/>
    </row>
    <row r="453" spans="1:64" ht="14.25" customHeight="1">
      <c r="A453" s="691" t="s">
        <v>790</v>
      </c>
      <c r="B453" s="589"/>
      <c r="C453" s="589"/>
      <c r="D453" s="589"/>
      <c r="E453" s="589"/>
      <c r="F453" s="591">
        <v>452</v>
      </c>
      <c r="G453" s="691" t="s">
        <v>147</v>
      </c>
      <c r="H453" s="691" t="s">
        <v>187</v>
      </c>
      <c r="I453" s="691" t="s">
        <v>137</v>
      </c>
      <c r="J453" s="691" t="s">
        <v>157</v>
      </c>
      <c r="K453" s="691" t="s">
        <v>125</v>
      </c>
      <c r="L453" s="691" t="s">
        <v>177</v>
      </c>
      <c r="M453" s="691" t="s">
        <v>237</v>
      </c>
      <c r="N453" s="691" t="s">
        <v>217</v>
      </c>
      <c r="O453" s="589"/>
      <c r="P453" s="717" cm="1">
        <f t="array" ref="P453">F453</f>
        <v>452</v>
      </c>
      <c r="Q453" s="620" t="str" cm="1">
        <f t="array" ref="Q453">RIGHT(G453,1)</f>
        <v>C</v>
      </c>
      <c r="R453" s="590" t="str" cm="1">
        <f t="array" ref="R453">RIGHT(H453,1)</f>
        <v>G</v>
      </c>
      <c r="S453" s="590" t="str" cm="1">
        <f t="array" ref="S453">RIGHT(I453,1)</f>
        <v>B</v>
      </c>
      <c r="T453" s="590" t="str" cm="1">
        <f t="array" ref="T453">RIGHT(J453,1)</f>
        <v>D</v>
      </c>
      <c r="U453" s="590" t="str" cm="1">
        <f t="array" ref="U453">RIGHT(K453,1)</f>
        <v>A</v>
      </c>
      <c r="V453" s="590" t="str" cm="1">
        <f t="array" ref="V453">RIGHT(L453,1)</f>
        <v>F</v>
      </c>
      <c r="W453" s="590" t="str" cm="1">
        <f t="array" ref="W453">RIGHT(M453,1)</f>
        <v>L</v>
      </c>
      <c r="X453" s="590" t="str" cm="1">
        <f t="array" ref="X453">RIGHT(N453,1)</f>
        <v>J</v>
      </c>
      <c r="Y453" s="708" cm="1">
        <f t="array" ref="Y453">COUNTIF($AA$2:$AA$9,Q453)+COUNTIF($AA$2:$AA$9,R453)+COUNTIF($AA$2:$AA$9,S453)+COUNTIF($AA$2:$AA$9,T453)+COUNTIF($AA$2:$AA$9,U453)+COUNTIF($AA$2:$AA$9,V453)+COUNTIF($AA$2:$AA$9,W453)+COUNTIF($AA$2:$AA$9,X453)</f>
        <v>6</v>
      </c>
      <c r="Z453" s="589"/>
      <c r="AA453" s="589"/>
      <c r="AB453" s="589"/>
      <c r="AC453" s="589"/>
      <c r="AD453" s="589"/>
      <c r="AE453" s="589"/>
      <c r="AF453" s="589"/>
      <c r="AG453" s="589"/>
      <c r="AH453" s="589"/>
      <c r="AI453" s="589"/>
      <c r="AJ453" s="589"/>
      <c r="AK453" s="589"/>
      <c r="AL453" s="589"/>
      <c r="AM453" s="589"/>
      <c r="AN453" s="589"/>
      <c r="AO453" s="589"/>
      <c r="AP453" s="589"/>
      <c r="AQ453" s="589"/>
      <c r="AR453" s="589"/>
      <c r="AS453" s="589"/>
      <c r="AT453" s="589"/>
      <c r="AU453" s="589"/>
      <c r="AV453" s="589"/>
      <c r="AW453" s="589"/>
      <c r="AX453" s="589"/>
      <c r="AY453" s="589"/>
      <c r="AZ453" s="589"/>
      <c r="BA453" s="589"/>
      <c r="BB453" s="589"/>
      <c r="BC453" s="589"/>
      <c r="BD453" s="589"/>
      <c r="BE453" s="589"/>
      <c r="BF453" s="589"/>
      <c r="BG453" s="589"/>
      <c r="BH453" s="589"/>
      <c r="BI453" s="589"/>
      <c r="BJ453" s="589"/>
      <c r="BK453" s="589"/>
      <c r="BL453" s="589"/>
    </row>
    <row r="454" spans="1:64" ht="14.25" customHeight="1">
      <c r="A454" s="691" t="s">
        <v>791</v>
      </c>
      <c r="B454" s="589"/>
      <c r="C454" s="589"/>
      <c r="D454" s="589"/>
      <c r="E454" s="589"/>
      <c r="F454" s="591">
        <v>453</v>
      </c>
      <c r="G454" s="691" t="s">
        <v>147</v>
      </c>
      <c r="H454" s="691" t="s">
        <v>187</v>
      </c>
      <c r="I454" s="691" t="s">
        <v>137</v>
      </c>
      <c r="J454" s="691" t="s">
        <v>157</v>
      </c>
      <c r="K454" s="691" t="s">
        <v>125</v>
      </c>
      <c r="L454" s="691" t="s">
        <v>177</v>
      </c>
      <c r="M454" s="691" t="s">
        <v>217</v>
      </c>
      <c r="N454" s="691" t="s">
        <v>227</v>
      </c>
      <c r="O454" s="589"/>
      <c r="P454" s="717" cm="1">
        <f t="array" ref="P454">F454</f>
        <v>453</v>
      </c>
      <c r="Q454" s="620" t="str" cm="1">
        <f t="array" ref="Q454">RIGHT(G454,1)</f>
        <v>C</v>
      </c>
      <c r="R454" s="590" t="str" cm="1">
        <f t="array" ref="R454">RIGHT(H454,1)</f>
        <v>G</v>
      </c>
      <c r="S454" s="590" t="str" cm="1">
        <f t="array" ref="S454">RIGHT(I454,1)</f>
        <v>B</v>
      </c>
      <c r="T454" s="590" t="str" cm="1">
        <f t="array" ref="T454">RIGHT(J454,1)</f>
        <v>D</v>
      </c>
      <c r="U454" s="590" t="str" cm="1">
        <f t="array" ref="U454">RIGHT(K454,1)</f>
        <v>A</v>
      </c>
      <c r="V454" s="590" t="str" cm="1">
        <f t="array" ref="V454">RIGHT(L454,1)</f>
        <v>F</v>
      </c>
      <c r="W454" s="590" t="str" cm="1">
        <f t="array" ref="W454">RIGHT(M454,1)</f>
        <v>J</v>
      </c>
      <c r="X454" s="590" t="str" cm="1">
        <f t="array" ref="X454">RIGHT(N454,1)</f>
        <v>K</v>
      </c>
      <c r="Y454" s="708" cm="1">
        <f t="array" ref="Y454">COUNTIF($AA$2:$AA$9,Q454)+COUNTIF($AA$2:$AA$9,R454)+COUNTIF($AA$2:$AA$9,S454)+COUNTIF($AA$2:$AA$9,T454)+COUNTIF($AA$2:$AA$9,U454)+COUNTIF($AA$2:$AA$9,V454)+COUNTIF($AA$2:$AA$9,W454)+COUNTIF($AA$2:$AA$9,X454)</f>
        <v>5</v>
      </c>
      <c r="Z454" s="589"/>
      <c r="AA454" s="589"/>
      <c r="AB454" s="589"/>
      <c r="AC454" s="589"/>
      <c r="AD454" s="589"/>
      <c r="AE454" s="589"/>
      <c r="AF454" s="589"/>
      <c r="AG454" s="589"/>
      <c r="AH454" s="589"/>
      <c r="AI454" s="589"/>
      <c r="AJ454" s="589"/>
      <c r="AK454" s="589"/>
      <c r="AL454" s="589"/>
      <c r="AM454" s="589"/>
      <c r="AN454" s="589"/>
      <c r="AO454" s="589"/>
      <c r="AP454" s="589"/>
      <c r="AQ454" s="589"/>
      <c r="AR454" s="589"/>
      <c r="AS454" s="589"/>
      <c r="AT454" s="589"/>
      <c r="AU454" s="589"/>
      <c r="AV454" s="589"/>
      <c r="AW454" s="589"/>
      <c r="AX454" s="589"/>
      <c r="AY454" s="589"/>
      <c r="AZ454" s="589"/>
      <c r="BA454" s="589"/>
      <c r="BB454" s="589"/>
      <c r="BC454" s="589"/>
      <c r="BD454" s="589"/>
      <c r="BE454" s="589"/>
      <c r="BF454" s="589"/>
      <c r="BG454" s="589"/>
      <c r="BH454" s="589"/>
      <c r="BI454" s="589"/>
      <c r="BJ454" s="589"/>
      <c r="BK454" s="589"/>
      <c r="BL454" s="589"/>
    </row>
    <row r="455" spans="1:64" ht="14.25" customHeight="1">
      <c r="A455" s="691" t="s">
        <v>792</v>
      </c>
      <c r="B455" s="589"/>
      <c r="C455" s="589"/>
      <c r="D455" s="589"/>
      <c r="E455" s="589"/>
      <c r="F455" s="591">
        <v>454</v>
      </c>
      <c r="G455" s="691" t="s">
        <v>147</v>
      </c>
      <c r="H455" s="691" t="s">
        <v>187</v>
      </c>
      <c r="I455" s="691" t="s">
        <v>137</v>
      </c>
      <c r="J455" s="691" t="s">
        <v>157</v>
      </c>
      <c r="K455" s="691" t="s">
        <v>125</v>
      </c>
      <c r="L455" s="691" t="s">
        <v>177</v>
      </c>
      <c r="M455" s="691" t="s">
        <v>237</v>
      </c>
      <c r="N455" s="691" t="s">
        <v>207</v>
      </c>
      <c r="O455" s="589"/>
      <c r="P455" s="717" cm="1">
        <f t="array" ref="P455">F455</f>
        <v>454</v>
      </c>
      <c r="Q455" s="620" t="str" cm="1">
        <f t="array" ref="Q455">RIGHT(G455,1)</f>
        <v>C</v>
      </c>
      <c r="R455" s="590" t="str" cm="1">
        <f t="array" ref="R455">RIGHT(H455,1)</f>
        <v>G</v>
      </c>
      <c r="S455" s="590" t="str" cm="1">
        <f t="array" ref="S455">RIGHT(I455,1)</f>
        <v>B</v>
      </c>
      <c r="T455" s="590" t="str" cm="1">
        <f t="array" ref="T455">RIGHT(J455,1)</f>
        <v>D</v>
      </c>
      <c r="U455" s="590" t="str" cm="1">
        <f t="array" ref="U455">RIGHT(K455,1)</f>
        <v>A</v>
      </c>
      <c r="V455" s="590" t="str" cm="1">
        <f t="array" ref="V455">RIGHT(L455,1)</f>
        <v>F</v>
      </c>
      <c r="W455" s="590" t="str" cm="1">
        <f t="array" ref="W455">RIGHT(M455,1)</f>
        <v>L</v>
      </c>
      <c r="X455" s="590" t="str" cm="1">
        <f t="array" ref="X455">RIGHT(N455,1)</f>
        <v>I</v>
      </c>
      <c r="Y455" s="708" cm="1">
        <f t="array" ref="Y455">COUNTIF($AA$2:$AA$9,Q455)+COUNTIF($AA$2:$AA$9,R455)+COUNTIF($AA$2:$AA$9,S455)+COUNTIF($AA$2:$AA$9,T455)+COUNTIF($AA$2:$AA$9,U455)+COUNTIF($AA$2:$AA$9,V455)+COUNTIF($AA$2:$AA$9,W455)+COUNTIF($AA$2:$AA$9,X455)</f>
        <v>6</v>
      </c>
      <c r="Z455" s="589"/>
      <c r="AA455" s="589"/>
      <c r="AB455" s="589"/>
      <c r="AC455" s="589"/>
      <c r="AD455" s="589"/>
      <c r="AE455" s="589"/>
      <c r="AF455" s="589"/>
      <c r="AG455" s="589"/>
      <c r="AH455" s="589"/>
      <c r="AI455" s="589"/>
      <c r="AJ455" s="589"/>
      <c r="AK455" s="589"/>
      <c r="AL455" s="589"/>
      <c r="AM455" s="589"/>
      <c r="AN455" s="589"/>
      <c r="AO455" s="589"/>
      <c r="AP455" s="589"/>
      <c r="AQ455" s="589"/>
      <c r="AR455" s="589"/>
      <c r="AS455" s="589"/>
      <c r="AT455" s="589"/>
      <c r="AU455" s="589"/>
      <c r="AV455" s="589"/>
      <c r="AW455" s="589"/>
      <c r="AX455" s="589"/>
      <c r="AY455" s="589"/>
      <c r="AZ455" s="589"/>
      <c r="BA455" s="589"/>
      <c r="BB455" s="589"/>
      <c r="BC455" s="589"/>
      <c r="BD455" s="589"/>
      <c r="BE455" s="589"/>
      <c r="BF455" s="589"/>
      <c r="BG455" s="589"/>
      <c r="BH455" s="589"/>
      <c r="BI455" s="589"/>
      <c r="BJ455" s="589"/>
      <c r="BK455" s="589"/>
      <c r="BL455" s="589"/>
    </row>
    <row r="456" spans="1:64" ht="14.25" customHeight="1">
      <c r="A456" s="691" t="s">
        <v>793</v>
      </c>
      <c r="B456" s="589"/>
      <c r="C456" s="589"/>
      <c r="D456" s="589"/>
      <c r="E456" s="589"/>
      <c r="F456" s="591">
        <v>455</v>
      </c>
      <c r="G456" s="691" t="s">
        <v>147</v>
      </c>
      <c r="H456" s="691" t="s">
        <v>187</v>
      </c>
      <c r="I456" s="691" t="s">
        <v>137</v>
      </c>
      <c r="J456" s="691" t="s">
        <v>157</v>
      </c>
      <c r="K456" s="691" t="s">
        <v>125</v>
      </c>
      <c r="L456" s="691" t="s">
        <v>177</v>
      </c>
      <c r="M456" s="691" t="s">
        <v>207</v>
      </c>
      <c r="N456" s="691" t="s">
        <v>227</v>
      </c>
      <c r="O456" s="589"/>
      <c r="P456" s="717" cm="1">
        <f t="array" ref="P456">F456</f>
        <v>455</v>
      </c>
      <c r="Q456" s="620" t="str" cm="1">
        <f t="array" ref="Q456">RIGHT(G456,1)</f>
        <v>C</v>
      </c>
      <c r="R456" s="590" t="str" cm="1">
        <f t="array" ref="R456">RIGHT(H456,1)</f>
        <v>G</v>
      </c>
      <c r="S456" s="590" t="str" cm="1">
        <f t="array" ref="S456">RIGHT(I456,1)</f>
        <v>B</v>
      </c>
      <c r="T456" s="590" t="str" cm="1">
        <f t="array" ref="T456">RIGHT(J456,1)</f>
        <v>D</v>
      </c>
      <c r="U456" s="590" t="str" cm="1">
        <f t="array" ref="U456">RIGHT(K456,1)</f>
        <v>A</v>
      </c>
      <c r="V456" s="590" t="str" cm="1">
        <f t="array" ref="V456">RIGHT(L456,1)</f>
        <v>F</v>
      </c>
      <c r="W456" s="590" t="str" cm="1">
        <f t="array" ref="W456">RIGHT(M456,1)</f>
        <v>I</v>
      </c>
      <c r="X456" s="590" t="str" cm="1">
        <f t="array" ref="X456">RIGHT(N456,1)</f>
        <v>K</v>
      </c>
      <c r="Y456" s="708" cm="1">
        <f t="array" ref="Y456">COUNTIF($AA$2:$AA$9,Q456)+COUNTIF($AA$2:$AA$9,R456)+COUNTIF($AA$2:$AA$9,S456)+COUNTIF($AA$2:$AA$9,T456)+COUNTIF($AA$2:$AA$9,U456)+COUNTIF($AA$2:$AA$9,V456)+COUNTIF($AA$2:$AA$9,W456)+COUNTIF($AA$2:$AA$9,X456)</f>
        <v>5</v>
      </c>
      <c r="Z456" s="589"/>
      <c r="AA456" s="589"/>
      <c r="AB456" s="589"/>
      <c r="AC456" s="589"/>
      <c r="AD456" s="589"/>
      <c r="AE456" s="589"/>
      <c r="AF456" s="589"/>
      <c r="AG456" s="589"/>
      <c r="AH456" s="589"/>
      <c r="AI456" s="589"/>
      <c r="AJ456" s="589"/>
      <c r="AK456" s="589"/>
      <c r="AL456" s="589"/>
      <c r="AM456" s="589"/>
      <c r="AN456" s="589"/>
      <c r="AO456" s="589"/>
      <c r="AP456" s="589"/>
      <c r="AQ456" s="589"/>
      <c r="AR456" s="589"/>
      <c r="AS456" s="589"/>
      <c r="AT456" s="589"/>
      <c r="AU456" s="589"/>
      <c r="AV456" s="589"/>
      <c r="AW456" s="589"/>
      <c r="AX456" s="589"/>
      <c r="AY456" s="589"/>
      <c r="AZ456" s="589"/>
      <c r="BA456" s="589"/>
      <c r="BB456" s="589"/>
      <c r="BC456" s="589"/>
      <c r="BD456" s="589"/>
      <c r="BE456" s="589"/>
      <c r="BF456" s="589"/>
      <c r="BG456" s="589"/>
      <c r="BH456" s="589"/>
      <c r="BI456" s="589"/>
      <c r="BJ456" s="589"/>
      <c r="BK456" s="589"/>
      <c r="BL456" s="589"/>
    </row>
    <row r="457" spans="1:64" ht="14.25" customHeight="1">
      <c r="A457" s="691" t="s">
        <v>794</v>
      </c>
      <c r="B457" s="589"/>
      <c r="C457" s="589"/>
      <c r="D457" s="589"/>
      <c r="E457" s="589"/>
      <c r="F457" s="591">
        <v>456</v>
      </c>
      <c r="G457" s="691" t="s">
        <v>147</v>
      </c>
      <c r="H457" s="691" t="s">
        <v>187</v>
      </c>
      <c r="I457" s="691" t="s">
        <v>137</v>
      </c>
      <c r="J457" s="691" t="s">
        <v>157</v>
      </c>
      <c r="K457" s="691" t="s">
        <v>125</v>
      </c>
      <c r="L457" s="691" t="s">
        <v>177</v>
      </c>
      <c r="M457" s="691" t="s">
        <v>207</v>
      </c>
      <c r="N457" s="691" t="s">
        <v>217</v>
      </c>
      <c r="O457" s="589"/>
      <c r="P457" s="717" cm="1">
        <f t="array" ref="P457">F457</f>
        <v>456</v>
      </c>
      <c r="Q457" s="620" t="str" cm="1">
        <f t="array" ref="Q457">RIGHT(G457,1)</f>
        <v>C</v>
      </c>
      <c r="R457" s="590" t="str" cm="1">
        <f t="array" ref="R457">RIGHT(H457,1)</f>
        <v>G</v>
      </c>
      <c r="S457" s="590" t="str" cm="1">
        <f t="array" ref="S457">RIGHT(I457,1)</f>
        <v>B</v>
      </c>
      <c r="T457" s="590" t="str" cm="1">
        <f t="array" ref="T457">RIGHT(J457,1)</f>
        <v>D</v>
      </c>
      <c r="U457" s="590" t="str" cm="1">
        <f t="array" ref="U457">RIGHT(K457,1)</f>
        <v>A</v>
      </c>
      <c r="V457" s="590" t="str" cm="1">
        <f t="array" ref="V457">RIGHT(L457,1)</f>
        <v>F</v>
      </c>
      <c r="W457" s="590" t="str" cm="1">
        <f t="array" ref="W457">RIGHT(M457,1)</f>
        <v>I</v>
      </c>
      <c r="X457" s="590" t="str" cm="1">
        <f t="array" ref="X457">RIGHT(N457,1)</f>
        <v>J</v>
      </c>
      <c r="Y457" s="708" cm="1">
        <f t="array" ref="Y457">COUNTIF($AA$2:$AA$9,Q457)+COUNTIF($AA$2:$AA$9,R457)+COUNTIF($AA$2:$AA$9,S457)+COUNTIF($AA$2:$AA$9,T457)+COUNTIF($AA$2:$AA$9,U457)+COUNTIF($AA$2:$AA$9,V457)+COUNTIF($AA$2:$AA$9,W457)+COUNTIF($AA$2:$AA$9,X457)</f>
        <v>6</v>
      </c>
      <c r="Z457" s="589"/>
      <c r="AA457" s="589"/>
      <c r="AB457" s="589"/>
      <c r="AC457" s="589"/>
      <c r="AD457" s="589"/>
      <c r="AE457" s="589"/>
      <c r="AF457" s="589"/>
      <c r="AG457" s="589"/>
      <c r="AH457" s="589"/>
      <c r="AI457" s="589"/>
      <c r="AJ457" s="589"/>
      <c r="AK457" s="589"/>
      <c r="AL457" s="589"/>
      <c r="AM457" s="589"/>
      <c r="AN457" s="589"/>
      <c r="AO457" s="589"/>
      <c r="AP457" s="589"/>
      <c r="AQ457" s="589"/>
      <c r="AR457" s="589"/>
      <c r="AS457" s="589"/>
      <c r="AT457" s="589"/>
      <c r="AU457" s="589"/>
      <c r="AV457" s="589"/>
      <c r="AW457" s="589"/>
      <c r="AX457" s="589"/>
      <c r="AY457" s="589"/>
      <c r="AZ457" s="589"/>
      <c r="BA457" s="589"/>
      <c r="BB457" s="589"/>
      <c r="BC457" s="589"/>
      <c r="BD457" s="589"/>
      <c r="BE457" s="589"/>
      <c r="BF457" s="589"/>
      <c r="BG457" s="589"/>
      <c r="BH457" s="589"/>
      <c r="BI457" s="589"/>
      <c r="BJ457" s="589"/>
      <c r="BK457" s="589"/>
      <c r="BL457" s="589"/>
    </row>
    <row r="458" spans="1:64" ht="14.25" customHeight="1">
      <c r="A458" s="691" t="s">
        <v>795</v>
      </c>
      <c r="B458" s="589"/>
      <c r="C458" s="589"/>
      <c r="D458" s="589"/>
      <c r="E458" s="589"/>
      <c r="F458" s="591">
        <v>457</v>
      </c>
      <c r="G458" s="691" t="s">
        <v>147</v>
      </c>
      <c r="H458" s="691" t="s">
        <v>187</v>
      </c>
      <c r="I458" s="691" t="s">
        <v>137</v>
      </c>
      <c r="J458" s="691" t="s">
        <v>157</v>
      </c>
      <c r="K458" s="691" t="s">
        <v>125</v>
      </c>
      <c r="L458" s="691" t="s">
        <v>177</v>
      </c>
      <c r="M458" s="691" t="s">
        <v>237</v>
      </c>
      <c r="N458" s="691" t="s">
        <v>197</v>
      </c>
      <c r="O458" s="589"/>
      <c r="P458" s="717" cm="1">
        <f t="array" ref="P458">F458</f>
        <v>457</v>
      </c>
      <c r="Q458" s="620" t="str" cm="1">
        <f t="array" ref="Q458">RIGHT(G458,1)</f>
        <v>C</v>
      </c>
      <c r="R458" s="590" t="str" cm="1">
        <f t="array" ref="R458">RIGHT(H458,1)</f>
        <v>G</v>
      </c>
      <c r="S458" s="590" t="str" cm="1">
        <f t="array" ref="S458">RIGHT(I458,1)</f>
        <v>B</v>
      </c>
      <c r="T458" s="590" t="str" cm="1">
        <f t="array" ref="T458">RIGHT(J458,1)</f>
        <v>D</v>
      </c>
      <c r="U458" s="590" t="str" cm="1">
        <f t="array" ref="U458">RIGHT(K458,1)</f>
        <v>A</v>
      </c>
      <c r="V458" s="590" t="str" cm="1">
        <f t="array" ref="V458">RIGHT(L458,1)</f>
        <v>F</v>
      </c>
      <c r="W458" s="590" t="str" cm="1">
        <f t="array" ref="W458">RIGHT(M458,1)</f>
        <v>L</v>
      </c>
      <c r="X458" s="590" t="str" cm="1">
        <f t="array" ref="X458">RIGHT(N458,1)</f>
        <v>H</v>
      </c>
      <c r="Y458" s="708" cm="1">
        <f t="array" ref="Y458">COUNTIF($AA$2:$AA$9,Q458)+COUNTIF($AA$2:$AA$9,R458)+COUNTIF($AA$2:$AA$9,S458)+COUNTIF($AA$2:$AA$9,T458)+COUNTIF($AA$2:$AA$9,U458)+COUNTIF($AA$2:$AA$9,V458)+COUNTIF($AA$2:$AA$9,W458)+COUNTIF($AA$2:$AA$9,X458)</f>
        <v>5</v>
      </c>
      <c r="Z458" s="589"/>
      <c r="AA458" s="589"/>
      <c r="AB458" s="589"/>
      <c r="AC458" s="589"/>
      <c r="AD458" s="589"/>
      <c r="AE458" s="589"/>
      <c r="AF458" s="589"/>
      <c r="AG458" s="589"/>
      <c r="AH458" s="589"/>
      <c r="AI458" s="589"/>
      <c r="AJ458" s="589"/>
      <c r="AK458" s="589"/>
      <c r="AL458" s="589"/>
      <c r="AM458" s="589"/>
      <c r="AN458" s="589"/>
      <c r="AO458" s="589"/>
      <c r="AP458" s="589"/>
      <c r="AQ458" s="589"/>
      <c r="AR458" s="589"/>
      <c r="AS458" s="589"/>
      <c r="AT458" s="589"/>
      <c r="AU458" s="589"/>
      <c r="AV458" s="589"/>
      <c r="AW458" s="589"/>
      <c r="AX458" s="589"/>
      <c r="AY458" s="589"/>
      <c r="AZ458" s="589"/>
      <c r="BA458" s="589"/>
      <c r="BB458" s="589"/>
      <c r="BC458" s="589"/>
      <c r="BD458" s="589"/>
      <c r="BE458" s="589"/>
      <c r="BF458" s="589"/>
      <c r="BG458" s="589"/>
      <c r="BH458" s="589"/>
      <c r="BI458" s="589"/>
      <c r="BJ458" s="589"/>
      <c r="BK458" s="589"/>
      <c r="BL458" s="589"/>
    </row>
    <row r="459" spans="1:64" ht="14.25" customHeight="1">
      <c r="A459" s="691" t="s">
        <v>796</v>
      </c>
      <c r="B459" s="589"/>
      <c r="C459" s="589"/>
      <c r="D459" s="589"/>
      <c r="E459" s="589"/>
      <c r="F459" s="591">
        <v>458</v>
      </c>
      <c r="G459" s="691" t="s">
        <v>197</v>
      </c>
      <c r="H459" s="691" t="s">
        <v>187</v>
      </c>
      <c r="I459" s="691" t="s">
        <v>137</v>
      </c>
      <c r="J459" s="691" t="s">
        <v>147</v>
      </c>
      <c r="K459" s="691" t="s">
        <v>125</v>
      </c>
      <c r="L459" s="691" t="s">
        <v>177</v>
      </c>
      <c r="M459" s="691" t="s">
        <v>157</v>
      </c>
      <c r="N459" s="691" t="s">
        <v>227</v>
      </c>
      <c r="O459" s="589"/>
      <c r="P459" s="717" cm="1">
        <f t="array" ref="P459">F459</f>
        <v>458</v>
      </c>
      <c r="Q459" s="620" t="str" cm="1">
        <f t="array" ref="Q459">RIGHT(G459,1)</f>
        <v>H</v>
      </c>
      <c r="R459" s="590" t="str" cm="1">
        <f t="array" ref="R459">RIGHT(H459,1)</f>
        <v>G</v>
      </c>
      <c r="S459" s="590" t="str" cm="1">
        <f t="array" ref="S459">RIGHT(I459,1)</f>
        <v>B</v>
      </c>
      <c r="T459" s="590" t="str" cm="1">
        <f t="array" ref="T459">RIGHT(J459,1)</f>
        <v>C</v>
      </c>
      <c r="U459" s="590" t="str" cm="1">
        <f t="array" ref="U459">RIGHT(K459,1)</f>
        <v>A</v>
      </c>
      <c r="V459" s="590" t="str" cm="1">
        <f t="array" ref="V459">RIGHT(L459,1)</f>
        <v>F</v>
      </c>
      <c r="W459" s="590" t="str" cm="1">
        <f t="array" ref="W459">RIGHT(M459,1)</f>
        <v>D</v>
      </c>
      <c r="X459" s="590" t="str" cm="1">
        <f t="array" ref="X459">RIGHT(N459,1)</f>
        <v>K</v>
      </c>
      <c r="Y459" s="708" cm="1">
        <f t="array" ref="Y459">COUNTIF($AA$2:$AA$9,Q459)+COUNTIF($AA$2:$AA$9,R459)+COUNTIF($AA$2:$AA$9,S459)+COUNTIF($AA$2:$AA$9,T459)+COUNTIF($AA$2:$AA$9,U459)+COUNTIF($AA$2:$AA$9,V459)+COUNTIF($AA$2:$AA$9,W459)+COUNTIF($AA$2:$AA$9,X459)</f>
        <v>4</v>
      </c>
      <c r="Z459" s="589"/>
      <c r="AA459" s="589"/>
      <c r="AB459" s="589"/>
      <c r="AC459" s="589"/>
      <c r="AD459" s="589"/>
      <c r="AE459" s="589"/>
      <c r="AF459" s="589"/>
      <c r="AG459" s="589"/>
      <c r="AH459" s="589"/>
      <c r="AI459" s="589"/>
      <c r="AJ459" s="589"/>
      <c r="AK459" s="589"/>
      <c r="AL459" s="589"/>
      <c r="AM459" s="589"/>
      <c r="AN459" s="589"/>
      <c r="AO459" s="589"/>
      <c r="AP459" s="589"/>
      <c r="AQ459" s="589"/>
      <c r="AR459" s="589"/>
      <c r="AS459" s="589"/>
      <c r="AT459" s="589"/>
      <c r="AU459" s="589"/>
      <c r="AV459" s="589"/>
      <c r="AW459" s="589"/>
      <c r="AX459" s="589"/>
      <c r="AY459" s="589"/>
      <c r="AZ459" s="589"/>
      <c r="BA459" s="589"/>
      <c r="BB459" s="589"/>
      <c r="BC459" s="589"/>
      <c r="BD459" s="589"/>
      <c r="BE459" s="589"/>
      <c r="BF459" s="589"/>
      <c r="BG459" s="589"/>
      <c r="BH459" s="589"/>
      <c r="BI459" s="589"/>
      <c r="BJ459" s="589"/>
      <c r="BK459" s="589"/>
      <c r="BL459" s="589"/>
    </row>
    <row r="460" spans="1:64" ht="14.25" customHeight="1">
      <c r="A460" s="691" t="s">
        <v>797</v>
      </c>
      <c r="B460" s="589"/>
      <c r="C460" s="589"/>
      <c r="D460" s="589"/>
      <c r="E460" s="589"/>
      <c r="F460" s="591">
        <v>459</v>
      </c>
      <c r="G460" s="691" t="s">
        <v>197</v>
      </c>
      <c r="H460" s="691" t="s">
        <v>187</v>
      </c>
      <c r="I460" s="691" t="s">
        <v>137</v>
      </c>
      <c r="J460" s="691" t="s">
        <v>147</v>
      </c>
      <c r="K460" s="691" t="s">
        <v>125</v>
      </c>
      <c r="L460" s="691" t="s">
        <v>177</v>
      </c>
      <c r="M460" s="691" t="s">
        <v>157</v>
      </c>
      <c r="N460" s="691" t="s">
        <v>217</v>
      </c>
      <c r="O460" s="589"/>
      <c r="P460" s="717" cm="1">
        <f t="array" ref="P460">F460</f>
        <v>459</v>
      </c>
      <c r="Q460" s="620" t="str" cm="1">
        <f t="array" ref="Q460">RIGHT(G460,1)</f>
        <v>H</v>
      </c>
      <c r="R460" s="590" t="str" cm="1">
        <f t="array" ref="R460">RIGHT(H460,1)</f>
        <v>G</v>
      </c>
      <c r="S460" s="590" t="str" cm="1">
        <f t="array" ref="S460">RIGHT(I460,1)</f>
        <v>B</v>
      </c>
      <c r="T460" s="590" t="str" cm="1">
        <f t="array" ref="T460">RIGHT(J460,1)</f>
        <v>C</v>
      </c>
      <c r="U460" s="590" t="str" cm="1">
        <f t="array" ref="U460">RIGHT(K460,1)</f>
        <v>A</v>
      </c>
      <c r="V460" s="590" t="str" cm="1">
        <f t="array" ref="V460">RIGHT(L460,1)</f>
        <v>F</v>
      </c>
      <c r="W460" s="590" t="str" cm="1">
        <f t="array" ref="W460">RIGHT(M460,1)</f>
        <v>D</v>
      </c>
      <c r="X460" s="590" t="str" cm="1">
        <f t="array" ref="X460">RIGHT(N460,1)</f>
        <v>J</v>
      </c>
      <c r="Y460" s="708" cm="1">
        <f t="array" ref="Y460">COUNTIF($AA$2:$AA$9,Q460)+COUNTIF($AA$2:$AA$9,R460)+COUNTIF($AA$2:$AA$9,S460)+COUNTIF($AA$2:$AA$9,T460)+COUNTIF($AA$2:$AA$9,U460)+COUNTIF($AA$2:$AA$9,V460)+COUNTIF($AA$2:$AA$9,W460)+COUNTIF($AA$2:$AA$9,X460)</f>
        <v>5</v>
      </c>
      <c r="Z460" s="589"/>
      <c r="AA460" s="589"/>
      <c r="AB460" s="589"/>
      <c r="AC460" s="589"/>
      <c r="AD460" s="589"/>
      <c r="AE460" s="589"/>
      <c r="AF460" s="589"/>
      <c r="AG460" s="589"/>
      <c r="AH460" s="589"/>
      <c r="AI460" s="589"/>
      <c r="AJ460" s="589"/>
      <c r="AK460" s="589"/>
      <c r="AL460" s="589"/>
      <c r="AM460" s="589"/>
      <c r="AN460" s="589"/>
      <c r="AO460" s="589"/>
      <c r="AP460" s="589"/>
      <c r="AQ460" s="589"/>
      <c r="AR460" s="589"/>
      <c r="AS460" s="589"/>
      <c r="AT460" s="589"/>
      <c r="AU460" s="589"/>
      <c r="AV460" s="589"/>
      <c r="AW460" s="589"/>
      <c r="AX460" s="589"/>
      <c r="AY460" s="589"/>
      <c r="AZ460" s="589"/>
      <c r="BA460" s="589"/>
      <c r="BB460" s="589"/>
      <c r="BC460" s="589"/>
      <c r="BD460" s="589"/>
      <c r="BE460" s="589"/>
      <c r="BF460" s="589"/>
      <c r="BG460" s="589"/>
      <c r="BH460" s="589"/>
      <c r="BI460" s="589"/>
      <c r="BJ460" s="589"/>
      <c r="BK460" s="589"/>
      <c r="BL460" s="589"/>
    </row>
    <row r="461" spans="1:64" ht="14.25" customHeight="1">
      <c r="A461" s="691" t="s">
        <v>798</v>
      </c>
      <c r="B461" s="589"/>
      <c r="C461" s="589"/>
      <c r="D461" s="589"/>
      <c r="E461" s="589"/>
      <c r="F461" s="591">
        <v>460</v>
      </c>
      <c r="G461" s="691" t="s">
        <v>197</v>
      </c>
      <c r="H461" s="691" t="s">
        <v>187</v>
      </c>
      <c r="I461" s="691" t="s">
        <v>137</v>
      </c>
      <c r="J461" s="691" t="s">
        <v>147</v>
      </c>
      <c r="K461" s="691" t="s">
        <v>125</v>
      </c>
      <c r="L461" s="691" t="s">
        <v>177</v>
      </c>
      <c r="M461" s="691" t="s">
        <v>157</v>
      </c>
      <c r="N461" s="691" t="s">
        <v>207</v>
      </c>
      <c r="O461" s="589"/>
      <c r="P461" s="717" cm="1">
        <f t="array" ref="P461">F461</f>
        <v>460</v>
      </c>
      <c r="Q461" s="620" t="str" cm="1">
        <f t="array" ref="Q461">RIGHT(G461,1)</f>
        <v>H</v>
      </c>
      <c r="R461" s="590" t="str" cm="1">
        <f t="array" ref="R461">RIGHT(H461,1)</f>
        <v>G</v>
      </c>
      <c r="S461" s="590" t="str" cm="1">
        <f t="array" ref="S461">RIGHT(I461,1)</f>
        <v>B</v>
      </c>
      <c r="T461" s="590" t="str" cm="1">
        <f t="array" ref="T461">RIGHT(J461,1)</f>
        <v>C</v>
      </c>
      <c r="U461" s="590" t="str" cm="1">
        <f t="array" ref="U461">RIGHT(K461,1)</f>
        <v>A</v>
      </c>
      <c r="V461" s="590" t="str" cm="1">
        <f t="array" ref="V461">RIGHT(L461,1)</f>
        <v>F</v>
      </c>
      <c r="W461" s="590" t="str" cm="1">
        <f t="array" ref="W461">RIGHT(M461,1)</f>
        <v>D</v>
      </c>
      <c r="X461" s="590" t="str" cm="1">
        <f t="array" ref="X461">RIGHT(N461,1)</f>
        <v>I</v>
      </c>
      <c r="Y461" s="708" cm="1">
        <f t="array" ref="Y461">COUNTIF($AA$2:$AA$9,Q461)+COUNTIF($AA$2:$AA$9,R461)+COUNTIF($AA$2:$AA$9,S461)+COUNTIF($AA$2:$AA$9,T461)+COUNTIF($AA$2:$AA$9,U461)+COUNTIF($AA$2:$AA$9,V461)+COUNTIF($AA$2:$AA$9,W461)+COUNTIF($AA$2:$AA$9,X461)</f>
        <v>5</v>
      </c>
      <c r="Z461" s="589"/>
      <c r="AA461" s="589"/>
      <c r="AB461" s="589"/>
      <c r="AC461" s="589"/>
      <c r="AD461" s="589"/>
      <c r="AE461" s="589"/>
      <c r="AF461" s="589"/>
      <c r="AG461" s="589"/>
      <c r="AH461" s="589"/>
      <c r="AI461" s="589"/>
      <c r="AJ461" s="589"/>
      <c r="AK461" s="589"/>
      <c r="AL461" s="589"/>
      <c r="AM461" s="589"/>
      <c r="AN461" s="589"/>
      <c r="AO461" s="589"/>
      <c r="AP461" s="589"/>
      <c r="AQ461" s="589"/>
      <c r="AR461" s="589"/>
      <c r="AS461" s="589"/>
      <c r="AT461" s="589"/>
      <c r="AU461" s="589"/>
      <c r="AV461" s="589"/>
      <c r="AW461" s="589"/>
      <c r="AX461" s="589"/>
      <c r="AY461" s="589"/>
      <c r="AZ461" s="589"/>
      <c r="BA461" s="589"/>
      <c r="BB461" s="589"/>
      <c r="BC461" s="589"/>
      <c r="BD461" s="589"/>
      <c r="BE461" s="589"/>
      <c r="BF461" s="589"/>
      <c r="BG461" s="589"/>
      <c r="BH461" s="589"/>
      <c r="BI461" s="589"/>
      <c r="BJ461" s="589"/>
      <c r="BK461" s="589"/>
      <c r="BL461" s="589"/>
    </row>
    <row r="462" spans="1:64" ht="14.25" customHeight="1">
      <c r="A462" s="691" t="s">
        <v>799</v>
      </c>
      <c r="B462" s="589"/>
      <c r="C462" s="589"/>
      <c r="D462" s="589"/>
      <c r="E462" s="589"/>
      <c r="F462" s="591">
        <v>461</v>
      </c>
      <c r="G462" s="691" t="s">
        <v>167</v>
      </c>
      <c r="H462" s="691" t="s">
        <v>217</v>
      </c>
      <c r="I462" s="691" t="s">
        <v>137</v>
      </c>
      <c r="J462" s="691" t="s">
        <v>147</v>
      </c>
      <c r="K462" s="691" t="s">
        <v>125</v>
      </c>
      <c r="L462" s="691" t="s">
        <v>157</v>
      </c>
      <c r="M462" s="691" t="s">
        <v>237</v>
      </c>
      <c r="N462" s="691" t="s">
        <v>227</v>
      </c>
      <c r="O462" s="589"/>
      <c r="P462" s="717" cm="1">
        <f t="array" ref="P462">F462</f>
        <v>461</v>
      </c>
      <c r="Q462" s="620" t="str" cm="1">
        <f t="array" ref="Q462">RIGHT(G462,1)</f>
        <v>E</v>
      </c>
      <c r="R462" s="590" t="str" cm="1">
        <f t="array" ref="R462">RIGHT(H462,1)</f>
        <v>J</v>
      </c>
      <c r="S462" s="590" t="str" cm="1">
        <f t="array" ref="S462">RIGHT(I462,1)</f>
        <v>B</v>
      </c>
      <c r="T462" s="590" t="str" cm="1">
        <f t="array" ref="T462">RIGHT(J462,1)</f>
        <v>C</v>
      </c>
      <c r="U462" s="590" t="str" cm="1">
        <f t="array" ref="U462">RIGHT(K462,1)</f>
        <v>A</v>
      </c>
      <c r="V462" s="590" t="str" cm="1">
        <f t="array" ref="V462">RIGHT(L462,1)</f>
        <v>D</v>
      </c>
      <c r="W462" s="590" t="str" cm="1">
        <f t="array" ref="W462">RIGHT(M462,1)</f>
        <v>L</v>
      </c>
      <c r="X462" s="590" t="str" cm="1">
        <f t="array" ref="X462">RIGHT(N462,1)</f>
        <v>K</v>
      </c>
      <c r="Y462" s="708" cm="1">
        <f t="array" ref="Y462">COUNTIF($AA$2:$AA$9,Q462)+COUNTIF($AA$2:$AA$9,R462)+COUNTIF($AA$2:$AA$9,S462)+COUNTIF($AA$2:$AA$9,T462)+COUNTIF($AA$2:$AA$9,U462)+COUNTIF($AA$2:$AA$9,V462)+COUNTIF($AA$2:$AA$9,W462)+COUNTIF($AA$2:$AA$9,X462)</f>
        <v>6</v>
      </c>
      <c r="Z462" s="589"/>
      <c r="AA462" s="589"/>
      <c r="AB462" s="589"/>
      <c r="AC462" s="589"/>
      <c r="AD462" s="589"/>
      <c r="AE462" s="589"/>
      <c r="AF462" s="589"/>
      <c r="AG462" s="589"/>
      <c r="AH462" s="589"/>
      <c r="AI462" s="589"/>
      <c r="AJ462" s="589"/>
      <c r="AK462" s="589"/>
      <c r="AL462" s="589"/>
      <c r="AM462" s="589"/>
      <c r="AN462" s="589"/>
      <c r="AO462" s="589"/>
      <c r="AP462" s="589"/>
      <c r="AQ462" s="589"/>
      <c r="AR462" s="589"/>
      <c r="AS462" s="589"/>
      <c r="AT462" s="589"/>
      <c r="AU462" s="589"/>
      <c r="AV462" s="589"/>
      <c r="AW462" s="589"/>
      <c r="AX462" s="589"/>
      <c r="AY462" s="589"/>
      <c r="AZ462" s="589"/>
      <c r="BA462" s="589"/>
      <c r="BB462" s="589"/>
      <c r="BC462" s="589"/>
      <c r="BD462" s="589"/>
      <c r="BE462" s="589"/>
      <c r="BF462" s="589"/>
      <c r="BG462" s="589"/>
      <c r="BH462" s="589"/>
      <c r="BI462" s="589"/>
      <c r="BJ462" s="589"/>
      <c r="BK462" s="589"/>
      <c r="BL462" s="589"/>
    </row>
    <row r="463" spans="1:64" ht="14.25" customHeight="1">
      <c r="A463" s="691" t="s">
        <v>800</v>
      </c>
      <c r="B463" s="589"/>
      <c r="C463" s="589"/>
      <c r="D463" s="589"/>
      <c r="E463" s="589"/>
      <c r="F463" s="591">
        <v>462</v>
      </c>
      <c r="G463" s="691" t="s">
        <v>167</v>
      </c>
      <c r="H463" s="691" t="s">
        <v>207</v>
      </c>
      <c r="I463" s="691" t="s">
        <v>137</v>
      </c>
      <c r="J463" s="691" t="s">
        <v>147</v>
      </c>
      <c r="K463" s="691" t="s">
        <v>125</v>
      </c>
      <c r="L463" s="691" t="s">
        <v>157</v>
      </c>
      <c r="M463" s="691" t="s">
        <v>237</v>
      </c>
      <c r="N463" s="691" t="s">
        <v>227</v>
      </c>
      <c r="O463" s="589"/>
      <c r="P463" s="717" cm="1">
        <f t="array" ref="P463">F463</f>
        <v>462</v>
      </c>
      <c r="Q463" s="620" t="str" cm="1">
        <f t="array" ref="Q463">RIGHT(G463,1)</f>
        <v>E</v>
      </c>
      <c r="R463" s="590" t="str" cm="1">
        <f t="array" ref="R463">RIGHT(H463,1)</f>
        <v>I</v>
      </c>
      <c r="S463" s="590" t="str" cm="1">
        <f t="array" ref="S463">RIGHT(I463,1)</f>
        <v>B</v>
      </c>
      <c r="T463" s="590" t="str" cm="1">
        <f t="array" ref="T463">RIGHT(J463,1)</f>
        <v>C</v>
      </c>
      <c r="U463" s="590" t="str" cm="1">
        <f t="array" ref="U463">RIGHT(K463,1)</f>
        <v>A</v>
      </c>
      <c r="V463" s="590" t="str" cm="1">
        <f t="array" ref="V463">RIGHT(L463,1)</f>
        <v>D</v>
      </c>
      <c r="W463" s="590" t="str" cm="1">
        <f t="array" ref="W463">RIGHT(M463,1)</f>
        <v>L</v>
      </c>
      <c r="X463" s="590" t="str" cm="1">
        <f t="array" ref="X463">RIGHT(N463,1)</f>
        <v>K</v>
      </c>
      <c r="Y463" s="708" cm="1">
        <f t="array" ref="Y463">COUNTIF($AA$2:$AA$9,Q463)+COUNTIF($AA$2:$AA$9,R463)+COUNTIF($AA$2:$AA$9,S463)+COUNTIF($AA$2:$AA$9,T463)+COUNTIF($AA$2:$AA$9,U463)+COUNTIF($AA$2:$AA$9,V463)+COUNTIF($AA$2:$AA$9,W463)+COUNTIF($AA$2:$AA$9,X463)</f>
        <v>6</v>
      </c>
      <c r="Z463" s="589"/>
      <c r="AA463" s="589"/>
      <c r="AB463" s="589"/>
      <c r="AC463" s="589"/>
      <c r="AD463" s="589"/>
      <c r="AE463" s="589"/>
      <c r="AF463" s="589"/>
      <c r="AG463" s="589"/>
      <c r="AH463" s="589"/>
      <c r="AI463" s="589"/>
      <c r="AJ463" s="589"/>
      <c r="AK463" s="589"/>
      <c r="AL463" s="589"/>
      <c r="AM463" s="589"/>
      <c r="AN463" s="589"/>
      <c r="AO463" s="589"/>
      <c r="AP463" s="589"/>
      <c r="AQ463" s="589"/>
      <c r="AR463" s="589"/>
      <c r="AS463" s="589"/>
      <c r="AT463" s="589"/>
      <c r="AU463" s="589"/>
      <c r="AV463" s="589"/>
      <c r="AW463" s="589"/>
      <c r="AX463" s="589"/>
      <c r="AY463" s="589"/>
      <c r="AZ463" s="589"/>
      <c r="BA463" s="589"/>
      <c r="BB463" s="589"/>
      <c r="BC463" s="589"/>
      <c r="BD463" s="589"/>
      <c r="BE463" s="589"/>
      <c r="BF463" s="589"/>
      <c r="BG463" s="589"/>
      <c r="BH463" s="589"/>
      <c r="BI463" s="589"/>
      <c r="BJ463" s="589"/>
      <c r="BK463" s="589"/>
      <c r="BL463" s="589"/>
    </row>
    <row r="464" spans="1:64" ht="14.25" customHeight="1">
      <c r="A464" s="691" t="s">
        <v>801</v>
      </c>
      <c r="B464" s="589"/>
      <c r="C464" s="589"/>
      <c r="D464" s="589"/>
      <c r="E464" s="589"/>
      <c r="F464" s="591">
        <v>463</v>
      </c>
      <c r="G464" s="691" t="s">
        <v>167</v>
      </c>
      <c r="H464" s="691" t="s">
        <v>217</v>
      </c>
      <c r="I464" s="691" t="s">
        <v>137</v>
      </c>
      <c r="J464" s="691" t="s">
        <v>147</v>
      </c>
      <c r="K464" s="691" t="s">
        <v>125</v>
      </c>
      <c r="L464" s="691" t="s">
        <v>157</v>
      </c>
      <c r="M464" s="691" t="s">
        <v>237</v>
      </c>
      <c r="N464" s="691" t="s">
        <v>207</v>
      </c>
      <c r="O464" s="589"/>
      <c r="P464" s="717" cm="1">
        <f t="array" ref="P464">F464</f>
        <v>463</v>
      </c>
      <c r="Q464" s="620" t="str" cm="1">
        <f t="array" ref="Q464">RIGHT(G464,1)</f>
        <v>E</v>
      </c>
      <c r="R464" s="590" t="str" cm="1">
        <f t="array" ref="R464">RIGHT(H464,1)</f>
        <v>J</v>
      </c>
      <c r="S464" s="590" t="str" cm="1">
        <f t="array" ref="S464">RIGHT(I464,1)</f>
        <v>B</v>
      </c>
      <c r="T464" s="590" t="str" cm="1">
        <f t="array" ref="T464">RIGHT(J464,1)</f>
        <v>C</v>
      </c>
      <c r="U464" s="590" t="str" cm="1">
        <f t="array" ref="U464">RIGHT(K464,1)</f>
        <v>A</v>
      </c>
      <c r="V464" s="590" t="str" cm="1">
        <f t="array" ref="V464">RIGHT(L464,1)</f>
        <v>D</v>
      </c>
      <c r="W464" s="590" t="str" cm="1">
        <f t="array" ref="W464">RIGHT(M464,1)</f>
        <v>L</v>
      </c>
      <c r="X464" s="590" t="str" cm="1">
        <f t="array" ref="X464">RIGHT(N464,1)</f>
        <v>I</v>
      </c>
      <c r="Y464" s="708" cm="1">
        <f t="array" ref="Y464">COUNTIF($AA$2:$AA$9,Q464)+COUNTIF($AA$2:$AA$9,R464)+COUNTIF($AA$2:$AA$9,S464)+COUNTIF($AA$2:$AA$9,T464)+COUNTIF($AA$2:$AA$9,U464)+COUNTIF($AA$2:$AA$9,V464)+COUNTIF($AA$2:$AA$9,W464)+COUNTIF($AA$2:$AA$9,X464)</f>
        <v>7</v>
      </c>
      <c r="Z464" s="589"/>
      <c r="AA464" s="589"/>
      <c r="AB464" s="589"/>
      <c r="AC464" s="589"/>
      <c r="AD464" s="589"/>
      <c r="AE464" s="589"/>
      <c r="AF464" s="589"/>
      <c r="AG464" s="589"/>
      <c r="AH464" s="589"/>
      <c r="AI464" s="589"/>
      <c r="AJ464" s="589"/>
      <c r="AK464" s="589"/>
      <c r="AL464" s="589"/>
      <c r="AM464" s="589"/>
      <c r="AN464" s="589"/>
      <c r="AO464" s="589"/>
      <c r="AP464" s="589"/>
      <c r="AQ464" s="589"/>
      <c r="AR464" s="589"/>
      <c r="AS464" s="589"/>
      <c r="AT464" s="589"/>
      <c r="AU464" s="589"/>
      <c r="AV464" s="589"/>
      <c r="AW464" s="589"/>
      <c r="AX464" s="589"/>
      <c r="AY464" s="589"/>
      <c r="AZ464" s="589"/>
      <c r="BA464" s="589"/>
      <c r="BB464" s="589"/>
      <c r="BC464" s="589"/>
      <c r="BD464" s="589"/>
      <c r="BE464" s="589"/>
      <c r="BF464" s="589"/>
      <c r="BG464" s="589"/>
      <c r="BH464" s="589"/>
      <c r="BI464" s="589"/>
      <c r="BJ464" s="589"/>
      <c r="BK464" s="589"/>
      <c r="BL464" s="589"/>
    </row>
    <row r="465" spans="1:64" ht="14.25" customHeight="1">
      <c r="A465" s="691" t="s">
        <v>802</v>
      </c>
      <c r="B465" s="589"/>
      <c r="C465" s="589"/>
      <c r="D465" s="589"/>
      <c r="E465" s="589"/>
      <c r="F465" s="591">
        <v>464</v>
      </c>
      <c r="G465" s="691" t="s">
        <v>167</v>
      </c>
      <c r="H465" s="691" t="s">
        <v>217</v>
      </c>
      <c r="I465" s="691" t="s">
        <v>137</v>
      </c>
      <c r="J465" s="691" t="s">
        <v>147</v>
      </c>
      <c r="K465" s="691" t="s">
        <v>125</v>
      </c>
      <c r="L465" s="691" t="s">
        <v>157</v>
      </c>
      <c r="M465" s="691" t="s">
        <v>207</v>
      </c>
      <c r="N465" s="691" t="s">
        <v>227</v>
      </c>
      <c r="O465" s="589"/>
      <c r="P465" s="717" cm="1">
        <f t="array" ref="P465">F465</f>
        <v>464</v>
      </c>
      <c r="Q465" s="620" t="str" cm="1">
        <f t="array" ref="Q465">RIGHT(G465,1)</f>
        <v>E</v>
      </c>
      <c r="R465" s="590" t="str" cm="1">
        <f t="array" ref="R465">RIGHT(H465,1)</f>
        <v>J</v>
      </c>
      <c r="S465" s="590" t="str" cm="1">
        <f t="array" ref="S465">RIGHT(I465,1)</f>
        <v>B</v>
      </c>
      <c r="T465" s="590" t="str" cm="1">
        <f t="array" ref="T465">RIGHT(J465,1)</f>
        <v>C</v>
      </c>
      <c r="U465" s="590" t="str" cm="1">
        <f t="array" ref="U465">RIGHT(K465,1)</f>
        <v>A</v>
      </c>
      <c r="V465" s="590" t="str" cm="1">
        <f t="array" ref="V465">RIGHT(L465,1)</f>
        <v>D</v>
      </c>
      <c r="W465" s="590" t="str" cm="1">
        <f t="array" ref="W465">RIGHT(M465,1)</f>
        <v>I</v>
      </c>
      <c r="X465" s="590" t="str" cm="1">
        <f t="array" ref="X465">RIGHT(N465,1)</f>
        <v>K</v>
      </c>
      <c r="Y465" s="708" cm="1">
        <f t="array" ref="Y465">COUNTIF($AA$2:$AA$9,Q465)+COUNTIF($AA$2:$AA$9,R465)+COUNTIF($AA$2:$AA$9,S465)+COUNTIF($AA$2:$AA$9,T465)+COUNTIF($AA$2:$AA$9,U465)+COUNTIF($AA$2:$AA$9,V465)+COUNTIF($AA$2:$AA$9,W465)+COUNTIF($AA$2:$AA$9,X465)</f>
        <v>6</v>
      </c>
      <c r="Z465" s="589"/>
      <c r="AA465" s="589"/>
      <c r="AB465" s="589"/>
      <c r="AC465" s="589"/>
      <c r="AD465" s="589"/>
      <c r="AE465" s="589"/>
      <c r="AF465" s="589"/>
      <c r="AG465" s="589"/>
      <c r="AH465" s="589"/>
      <c r="AI465" s="589"/>
      <c r="AJ465" s="589"/>
      <c r="AK465" s="589"/>
      <c r="AL465" s="589"/>
      <c r="AM465" s="589"/>
      <c r="AN465" s="589"/>
      <c r="AO465" s="589"/>
      <c r="AP465" s="589"/>
      <c r="AQ465" s="589"/>
      <c r="AR465" s="589"/>
      <c r="AS465" s="589"/>
      <c r="AT465" s="589"/>
      <c r="AU465" s="589"/>
      <c r="AV465" s="589"/>
      <c r="AW465" s="589"/>
      <c r="AX465" s="589"/>
      <c r="AY465" s="589"/>
      <c r="AZ465" s="589"/>
      <c r="BA465" s="589"/>
      <c r="BB465" s="589"/>
      <c r="BC465" s="589"/>
      <c r="BD465" s="589"/>
      <c r="BE465" s="589"/>
      <c r="BF465" s="589"/>
      <c r="BG465" s="589"/>
      <c r="BH465" s="589"/>
      <c r="BI465" s="589"/>
      <c r="BJ465" s="589"/>
      <c r="BK465" s="589"/>
      <c r="BL465" s="589"/>
    </row>
    <row r="466" spans="1:64" ht="14.25" customHeight="1">
      <c r="A466" s="691" t="s">
        <v>803</v>
      </c>
      <c r="B466" s="589"/>
      <c r="C466" s="589"/>
      <c r="D466" s="589"/>
      <c r="E466" s="589"/>
      <c r="F466" s="591">
        <v>465</v>
      </c>
      <c r="G466" s="691" t="s">
        <v>197</v>
      </c>
      <c r="H466" s="691" t="s">
        <v>167</v>
      </c>
      <c r="I466" s="691" t="s">
        <v>137</v>
      </c>
      <c r="J466" s="691" t="s">
        <v>147</v>
      </c>
      <c r="K466" s="691" t="s">
        <v>125</v>
      </c>
      <c r="L466" s="691" t="s">
        <v>157</v>
      </c>
      <c r="M466" s="691" t="s">
        <v>237</v>
      </c>
      <c r="N466" s="691" t="s">
        <v>227</v>
      </c>
      <c r="O466" s="589"/>
      <c r="P466" s="717" cm="1">
        <f t="array" ref="P466">F466</f>
        <v>465</v>
      </c>
      <c r="Q466" s="620" t="str" cm="1">
        <f t="array" ref="Q466">RIGHT(G466,1)</f>
        <v>H</v>
      </c>
      <c r="R466" s="590" t="str" cm="1">
        <f t="array" ref="R466">RIGHT(H466,1)</f>
        <v>E</v>
      </c>
      <c r="S466" s="590" t="str" cm="1">
        <f t="array" ref="S466">RIGHT(I466,1)</f>
        <v>B</v>
      </c>
      <c r="T466" s="590" t="str" cm="1">
        <f t="array" ref="T466">RIGHT(J466,1)</f>
        <v>C</v>
      </c>
      <c r="U466" s="590" t="str" cm="1">
        <f t="array" ref="U466">RIGHT(K466,1)</f>
        <v>A</v>
      </c>
      <c r="V466" s="590" t="str" cm="1">
        <f t="array" ref="V466">RIGHT(L466,1)</f>
        <v>D</v>
      </c>
      <c r="W466" s="590" t="str" cm="1">
        <f t="array" ref="W466">RIGHT(M466,1)</f>
        <v>L</v>
      </c>
      <c r="X466" s="590" t="str" cm="1">
        <f t="array" ref="X466">RIGHT(N466,1)</f>
        <v>K</v>
      </c>
      <c r="Y466" s="708" cm="1">
        <f t="array" ref="Y466">COUNTIF($AA$2:$AA$9,Q466)+COUNTIF($AA$2:$AA$9,R466)+COUNTIF($AA$2:$AA$9,S466)+COUNTIF($AA$2:$AA$9,T466)+COUNTIF($AA$2:$AA$9,U466)+COUNTIF($AA$2:$AA$9,V466)+COUNTIF($AA$2:$AA$9,W466)+COUNTIF($AA$2:$AA$9,X466)</f>
        <v>5</v>
      </c>
      <c r="Z466" s="589"/>
      <c r="AA466" s="589"/>
      <c r="AB466" s="589"/>
      <c r="AC466" s="589"/>
      <c r="AD466" s="589"/>
      <c r="AE466" s="589"/>
      <c r="AF466" s="589"/>
      <c r="AG466" s="589"/>
      <c r="AH466" s="589"/>
      <c r="AI466" s="589"/>
      <c r="AJ466" s="589"/>
      <c r="AK466" s="589"/>
      <c r="AL466" s="589"/>
      <c r="AM466" s="589"/>
      <c r="AN466" s="589"/>
      <c r="AO466" s="589"/>
      <c r="AP466" s="589"/>
      <c r="AQ466" s="589"/>
      <c r="AR466" s="589"/>
      <c r="AS466" s="589"/>
      <c r="AT466" s="589"/>
      <c r="AU466" s="589"/>
      <c r="AV466" s="589"/>
      <c r="AW466" s="589"/>
      <c r="AX466" s="589"/>
      <c r="AY466" s="589"/>
      <c r="AZ466" s="589"/>
      <c r="BA466" s="589"/>
      <c r="BB466" s="589"/>
      <c r="BC466" s="589"/>
      <c r="BD466" s="589"/>
      <c r="BE466" s="589"/>
      <c r="BF466" s="589"/>
      <c r="BG466" s="589"/>
      <c r="BH466" s="589"/>
      <c r="BI466" s="589"/>
      <c r="BJ466" s="589"/>
      <c r="BK466" s="589"/>
      <c r="BL466" s="589"/>
    </row>
    <row r="467" spans="1:64" ht="14.25" customHeight="1">
      <c r="A467" s="691" t="s">
        <v>804</v>
      </c>
      <c r="B467" s="589"/>
      <c r="C467" s="589"/>
      <c r="D467" s="589"/>
      <c r="E467" s="589"/>
      <c r="F467" s="591">
        <v>466</v>
      </c>
      <c r="G467" s="691" t="s">
        <v>197</v>
      </c>
      <c r="H467" s="691" t="s">
        <v>217</v>
      </c>
      <c r="I467" s="691" t="s">
        <v>137</v>
      </c>
      <c r="J467" s="691" t="s">
        <v>147</v>
      </c>
      <c r="K467" s="691" t="s">
        <v>125</v>
      </c>
      <c r="L467" s="691" t="s">
        <v>157</v>
      </c>
      <c r="M467" s="691" t="s">
        <v>237</v>
      </c>
      <c r="N467" s="691" t="s">
        <v>167</v>
      </c>
      <c r="O467" s="589"/>
      <c r="P467" s="717" cm="1">
        <f t="array" ref="P467">F467</f>
        <v>466</v>
      </c>
      <c r="Q467" s="620" t="str" cm="1">
        <f t="array" ref="Q467">RIGHT(G467,1)</f>
        <v>H</v>
      </c>
      <c r="R467" s="590" t="str" cm="1">
        <f t="array" ref="R467">RIGHT(H467,1)</f>
        <v>J</v>
      </c>
      <c r="S467" s="590" t="str" cm="1">
        <f t="array" ref="S467">RIGHT(I467,1)</f>
        <v>B</v>
      </c>
      <c r="T467" s="590" t="str" cm="1">
        <f t="array" ref="T467">RIGHT(J467,1)</f>
        <v>C</v>
      </c>
      <c r="U467" s="590" t="str" cm="1">
        <f t="array" ref="U467">RIGHT(K467,1)</f>
        <v>A</v>
      </c>
      <c r="V467" s="590" t="str" cm="1">
        <f t="array" ref="V467">RIGHT(L467,1)</f>
        <v>D</v>
      </c>
      <c r="W467" s="590" t="str" cm="1">
        <f t="array" ref="W467">RIGHT(M467,1)</f>
        <v>L</v>
      </c>
      <c r="X467" s="590" t="str" cm="1">
        <f t="array" ref="X467">RIGHT(N467,1)</f>
        <v>E</v>
      </c>
      <c r="Y467" s="708" cm="1">
        <f t="array" ref="Y467">COUNTIF($AA$2:$AA$9,Q467)+COUNTIF($AA$2:$AA$9,R467)+COUNTIF($AA$2:$AA$9,S467)+COUNTIF($AA$2:$AA$9,T467)+COUNTIF($AA$2:$AA$9,U467)+COUNTIF($AA$2:$AA$9,V467)+COUNTIF($AA$2:$AA$9,W467)+COUNTIF($AA$2:$AA$9,X467)</f>
        <v>6</v>
      </c>
      <c r="Z467" s="589"/>
      <c r="AA467" s="589"/>
      <c r="AB467" s="589"/>
      <c r="AC467" s="589"/>
      <c r="AD467" s="589"/>
      <c r="AE467" s="589"/>
      <c r="AF467" s="589"/>
      <c r="AG467" s="589"/>
      <c r="AH467" s="589"/>
      <c r="AI467" s="589"/>
      <c r="AJ467" s="589"/>
      <c r="AK467" s="589"/>
      <c r="AL467" s="589"/>
      <c r="AM467" s="589"/>
      <c r="AN467" s="589"/>
      <c r="AO467" s="589"/>
      <c r="AP467" s="589"/>
      <c r="AQ467" s="589"/>
      <c r="AR467" s="589"/>
      <c r="AS467" s="589"/>
      <c r="AT467" s="589"/>
      <c r="AU467" s="589"/>
      <c r="AV467" s="589"/>
      <c r="AW467" s="589"/>
      <c r="AX467" s="589"/>
      <c r="AY467" s="589"/>
      <c r="AZ467" s="589"/>
      <c r="BA467" s="589"/>
      <c r="BB467" s="589"/>
      <c r="BC467" s="589"/>
      <c r="BD467" s="589"/>
      <c r="BE467" s="589"/>
      <c r="BF467" s="589"/>
      <c r="BG467" s="589"/>
      <c r="BH467" s="589"/>
      <c r="BI467" s="589"/>
      <c r="BJ467" s="589"/>
      <c r="BK467" s="589"/>
      <c r="BL467" s="589"/>
    </row>
    <row r="468" spans="1:64" ht="14.25" customHeight="1">
      <c r="A468" s="691" t="s">
        <v>805</v>
      </c>
      <c r="B468" s="589"/>
      <c r="C468" s="589"/>
      <c r="D468" s="589"/>
      <c r="E468" s="589"/>
      <c r="F468" s="591">
        <v>467</v>
      </c>
      <c r="G468" s="691" t="s">
        <v>197</v>
      </c>
      <c r="H468" s="691" t="s">
        <v>217</v>
      </c>
      <c r="I468" s="691" t="s">
        <v>137</v>
      </c>
      <c r="J468" s="691" t="s">
        <v>147</v>
      </c>
      <c r="K468" s="691" t="s">
        <v>125</v>
      </c>
      <c r="L468" s="691" t="s">
        <v>157</v>
      </c>
      <c r="M468" s="691" t="s">
        <v>167</v>
      </c>
      <c r="N468" s="691" t="s">
        <v>227</v>
      </c>
      <c r="O468" s="589"/>
      <c r="P468" s="717" cm="1">
        <f t="array" ref="P468">F468</f>
        <v>467</v>
      </c>
      <c r="Q468" s="620" t="str" cm="1">
        <f t="array" ref="Q468">RIGHT(G468,1)</f>
        <v>H</v>
      </c>
      <c r="R468" s="590" t="str" cm="1">
        <f t="array" ref="R468">RIGHT(H468,1)</f>
        <v>J</v>
      </c>
      <c r="S468" s="590" t="str" cm="1">
        <f t="array" ref="S468">RIGHT(I468,1)</f>
        <v>B</v>
      </c>
      <c r="T468" s="590" t="str" cm="1">
        <f t="array" ref="T468">RIGHT(J468,1)</f>
        <v>C</v>
      </c>
      <c r="U468" s="590" t="str" cm="1">
        <f t="array" ref="U468">RIGHT(K468,1)</f>
        <v>A</v>
      </c>
      <c r="V468" s="590" t="str" cm="1">
        <f t="array" ref="V468">RIGHT(L468,1)</f>
        <v>D</v>
      </c>
      <c r="W468" s="590" t="str" cm="1">
        <f t="array" ref="W468">RIGHT(M468,1)</f>
        <v>E</v>
      </c>
      <c r="X468" s="590" t="str" cm="1">
        <f t="array" ref="X468">RIGHT(N468,1)</f>
        <v>K</v>
      </c>
      <c r="Y468" s="708" cm="1">
        <f t="array" ref="Y468">COUNTIF($AA$2:$AA$9,Q468)+COUNTIF($AA$2:$AA$9,R468)+COUNTIF($AA$2:$AA$9,S468)+COUNTIF($AA$2:$AA$9,T468)+COUNTIF($AA$2:$AA$9,U468)+COUNTIF($AA$2:$AA$9,V468)+COUNTIF($AA$2:$AA$9,W468)+COUNTIF($AA$2:$AA$9,X468)</f>
        <v>5</v>
      </c>
      <c r="Z468" s="589"/>
      <c r="AA468" s="589"/>
      <c r="AB468" s="589"/>
      <c r="AC468" s="589"/>
      <c r="AD468" s="589"/>
      <c r="AE468" s="589"/>
      <c r="AF468" s="589"/>
      <c r="AG468" s="589"/>
      <c r="AH468" s="589"/>
      <c r="AI468" s="589"/>
      <c r="AJ468" s="589"/>
      <c r="AK468" s="589"/>
      <c r="AL468" s="589"/>
      <c r="AM468" s="589"/>
      <c r="AN468" s="589"/>
      <c r="AO468" s="589"/>
      <c r="AP468" s="589"/>
      <c r="AQ468" s="589"/>
      <c r="AR468" s="589"/>
      <c r="AS468" s="589"/>
      <c r="AT468" s="589"/>
      <c r="AU468" s="589"/>
      <c r="AV468" s="589"/>
      <c r="AW468" s="589"/>
      <c r="AX468" s="589"/>
      <c r="AY468" s="589"/>
      <c r="AZ468" s="589"/>
      <c r="BA468" s="589"/>
      <c r="BB468" s="589"/>
      <c r="BC468" s="589"/>
      <c r="BD468" s="589"/>
      <c r="BE468" s="589"/>
      <c r="BF468" s="589"/>
      <c r="BG468" s="589"/>
      <c r="BH468" s="589"/>
      <c r="BI468" s="589"/>
      <c r="BJ468" s="589"/>
      <c r="BK468" s="589"/>
      <c r="BL468" s="589"/>
    </row>
    <row r="469" spans="1:64" ht="14.25" customHeight="1">
      <c r="A469" s="691" t="s">
        <v>806</v>
      </c>
      <c r="B469" s="589"/>
      <c r="C469" s="589"/>
      <c r="D469" s="589"/>
      <c r="E469" s="589"/>
      <c r="F469" s="591">
        <v>468</v>
      </c>
      <c r="G469" s="691" t="s">
        <v>197</v>
      </c>
      <c r="H469" s="691" t="s">
        <v>167</v>
      </c>
      <c r="I469" s="691" t="s">
        <v>137</v>
      </c>
      <c r="J469" s="691" t="s">
        <v>147</v>
      </c>
      <c r="K469" s="691" t="s">
        <v>125</v>
      </c>
      <c r="L469" s="691" t="s">
        <v>157</v>
      </c>
      <c r="M469" s="691" t="s">
        <v>237</v>
      </c>
      <c r="N469" s="691" t="s">
        <v>207</v>
      </c>
      <c r="O469" s="589"/>
      <c r="P469" s="717" cm="1">
        <f t="array" ref="P469">F469</f>
        <v>468</v>
      </c>
      <c r="Q469" s="620" t="str" cm="1">
        <f t="array" ref="Q469">RIGHT(G469,1)</f>
        <v>H</v>
      </c>
      <c r="R469" s="590" t="str" cm="1">
        <f t="array" ref="R469">RIGHT(H469,1)</f>
        <v>E</v>
      </c>
      <c r="S469" s="590" t="str" cm="1">
        <f t="array" ref="S469">RIGHT(I469,1)</f>
        <v>B</v>
      </c>
      <c r="T469" s="590" t="str" cm="1">
        <f t="array" ref="T469">RIGHT(J469,1)</f>
        <v>C</v>
      </c>
      <c r="U469" s="590" t="str" cm="1">
        <f t="array" ref="U469">RIGHT(K469,1)</f>
        <v>A</v>
      </c>
      <c r="V469" s="590" t="str" cm="1">
        <f t="array" ref="V469">RIGHT(L469,1)</f>
        <v>D</v>
      </c>
      <c r="W469" s="590" t="str" cm="1">
        <f t="array" ref="W469">RIGHT(M469,1)</f>
        <v>L</v>
      </c>
      <c r="X469" s="590" t="str" cm="1">
        <f t="array" ref="X469">RIGHT(N469,1)</f>
        <v>I</v>
      </c>
      <c r="Y469" s="708" cm="1">
        <f t="array" ref="Y469">COUNTIF($AA$2:$AA$9,Q469)+COUNTIF($AA$2:$AA$9,R469)+COUNTIF($AA$2:$AA$9,S469)+COUNTIF($AA$2:$AA$9,T469)+COUNTIF($AA$2:$AA$9,U469)+COUNTIF($AA$2:$AA$9,V469)+COUNTIF($AA$2:$AA$9,W469)+COUNTIF($AA$2:$AA$9,X469)</f>
        <v>6</v>
      </c>
      <c r="Z469" s="589"/>
      <c r="AA469" s="589"/>
      <c r="AB469" s="589"/>
      <c r="AC469" s="589"/>
      <c r="AD469" s="589"/>
      <c r="AE469" s="589"/>
      <c r="AF469" s="589"/>
      <c r="AG469" s="589"/>
      <c r="AH469" s="589"/>
      <c r="AI469" s="589"/>
      <c r="AJ469" s="589"/>
      <c r="AK469" s="589"/>
      <c r="AL469" s="589"/>
      <c r="AM469" s="589"/>
      <c r="AN469" s="589"/>
      <c r="AO469" s="589"/>
      <c r="AP469" s="589"/>
      <c r="AQ469" s="589"/>
      <c r="AR469" s="589"/>
      <c r="AS469" s="589"/>
      <c r="AT469" s="589"/>
      <c r="AU469" s="589"/>
      <c r="AV469" s="589"/>
      <c r="AW469" s="589"/>
      <c r="AX469" s="589"/>
      <c r="AY469" s="589"/>
      <c r="AZ469" s="589"/>
      <c r="BA469" s="589"/>
      <c r="BB469" s="589"/>
      <c r="BC469" s="589"/>
      <c r="BD469" s="589"/>
      <c r="BE469" s="589"/>
      <c r="BF469" s="589"/>
      <c r="BG469" s="589"/>
      <c r="BH469" s="589"/>
      <c r="BI469" s="589"/>
      <c r="BJ469" s="589"/>
      <c r="BK469" s="589"/>
      <c r="BL469" s="589"/>
    </row>
    <row r="470" spans="1:64" ht="14.25" customHeight="1">
      <c r="A470" s="691" t="s">
        <v>807</v>
      </c>
      <c r="B470" s="589"/>
      <c r="C470" s="589"/>
      <c r="D470" s="589"/>
      <c r="E470" s="589"/>
      <c r="F470" s="591">
        <v>469</v>
      </c>
      <c r="G470" s="691" t="s">
        <v>197</v>
      </c>
      <c r="H470" s="691" t="s">
        <v>167</v>
      </c>
      <c r="I470" s="691" t="s">
        <v>137</v>
      </c>
      <c r="J470" s="691" t="s">
        <v>147</v>
      </c>
      <c r="K470" s="691" t="s">
        <v>125</v>
      </c>
      <c r="L470" s="691" t="s">
        <v>157</v>
      </c>
      <c r="M470" s="691" t="s">
        <v>207</v>
      </c>
      <c r="N470" s="691" t="s">
        <v>227</v>
      </c>
      <c r="O470" s="589"/>
      <c r="P470" s="717" cm="1">
        <f t="array" ref="P470">F470</f>
        <v>469</v>
      </c>
      <c r="Q470" s="620" t="str" cm="1">
        <f t="array" ref="Q470">RIGHT(G470,1)</f>
        <v>H</v>
      </c>
      <c r="R470" s="590" t="str" cm="1">
        <f t="array" ref="R470">RIGHT(H470,1)</f>
        <v>E</v>
      </c>
      <c r="S470" s="590" t="str" cm="1">
        <f t="array" ref="S470">RIGHT(I470,1)</f>
        <v>B</v>
      </c>
      <c r="T470" s="590" t="str" cm="1">
        <f t="array" ref="T470">RIGHT(J470,1)</f>
        <v>C</v>
      </c>
      <c r="U470" s="590" t="str" cm="1">
        <f t="array" ref="U470">RIGHT(K470,1)</f>
        <v>A</v>
      </c>
      <c r="V470" s="590" t="str" cm="1">
        <f t="array" ref="V470">RIGHT(L470,1)</f>
        <v>D</v>
      </c>
      <c r="W470" s="590" t="str" cm="1">
        <f t="array" ref="W470">RIGHT(M470,1)</f>
        <v>I</v>
      </c>
      <c r="X470" s="590" t="str" cm="1">
        <f t="array" ref="X470">RIGHT(N470,1)</f>
        <v>K</v>
      </c>
      <c r="Y470" s="708" cm="1">
        <f t="array" ref="Y470">COUNTIF($AA$2:$AA$9,Q470)+COUNTIF($AA$2:$AA$9,R470)+COUNTIF($AA$2:$AA$9,S470)+COUNTIF($AA$2:$AA$9,T470)+COUNTIF($AA$2:$AA$9,U470)+COUNTIF($AA$2:$AA$9,V470)+COUNTIF($AA$2:$AA$9,W470)+COUNTIF($AA$2:$AA$9,X470)</f>
        <v>5</v>
      </c>
      <c r="Z470" s="589"/>
      <c r="AA470" s="589"/>
      <c r="AB470" s="589"/>
      <c r="AC470" s="589"/>
      <c r="AD470" s="589"/>
      <c r="AE470" s="589"/>
      <c r="AF470" s="589"/>
      <c r="AG470" s="589"/>
      <c r="AH470" s="589"/>
      <c r="AI470" s="589"/>
      <c r="AJ470" s="589"/>
      <c r="AK470" s="589"/>
      <c r="AL470" s="589"/>
      <c r="AM470" s="589"/>
      <c r="AN470" s="589"/>
      <c r="AO470" s="589"/>
      <c r="AP470" s="589"/>
      <c r="AQ470" s="589"/>
      <c r="AR470" s="589"/>
      <c r="AS470" s="589"/>
      <c r="AT470" s="589"/>
      <c r="AU470" s="589"/>
      <c r="AV470" s="589"/>
      <c r="AW470" s="589"/>
      <c r="AX470" s="589"/>
      <c r="AY470" s="589"/>
      <c r="AZ470" s="589"/>
      <c r="BA470" s="589"/>
      <c r="BB470" s="589"/>
      <c r="BC470" s="589"/>
      <c r="BD470" s="589"/>
      <c r="BE470" s="589"/>
      <c r="BF470" s="589"/>
      <c r="BG470" s="589"/>
      <c r="BH470" s="589"/>
      <c r="BI470" s="589"/>
      <c r="BJ470" s="589"/>
      <c r="BK470" s="589"/>
      <c r="BL470" s="589"/>
    </row>
    <row r="471" spans="1:64" ht="14.25" customHeight="1">
      <c r="A471" s="691" t="s">
        <v>808</v>
      </c>
      <c r="B471" s="589"/>
      <c r="C471" s="589"/>
      <c r="D471" s="589"/>
      <c r="E471" s="589"/>
      <c r="F471" s="591">
        <v>470</v>
      </c>
      <c r="G471" s="691" t="s">
        <v>197</v>
      </c>
      <c r="H471" s="691" t="s">
        <v>217</v>
      </c>
      <c r="I471" s="691" t="s">
        <v>137</v>
      </c>
      <c r="J471" s="691" t="s">
        <v>147</v>
      </c>
      <c r="K471" s="691" t="s">
        <v>125</v>
      </c>
      <c r="L471" s="691" t="s">
        <v>157</v>
      </c>
      <c r="M471" s="691" t="s">
        <v>167</v>
      </c>
      <c r="N471" s="691" t="s">
        <v>207</v>
      </c>
      <c r="O471" s="589"/>
      <c r="P471" s="717" cm="1">
        <f t="array" ref="P471">F471</f>
        <v>470</v>
      </c>
      <c r="Q471" s="620" t="str" cm="1">
        <f t="array" ref="Q471">RIGHT(G471,1)</f>
        <v>H</v>
      </c>
      <c r="R471" s="590" t="str" cm="1">
        <f t="array" ref="R471">RIGHT(H471,1)</f>
        <v>J</v>
      </c>
      <c r="S471" s="590" t="str" cm="1">
        <f t="array" ref="S471">RIGHT(I471,1)</f>
        <v>B</v>
      </c>
      <c r="T471" s="590" t="str" cm="1">
        <f t="array" ref="T471">RIGHT(J471,1)</f>
        <v>C</v>
      </c>
      <c r="U471" s="590" t="str" cm="1">
        <f t="array" ref="U471">RIGHT(K471,1)</f>
        <v>A</v>
      </c>
      <c r="V471" s="590" t="str" cm="1">
        <f t="array" ref="V471">RIGHT(L471,1)</f>
        <v>D</v>
      </c>
      <c r="W471" s="590" t="str" cm="1">
        <f t="array" ref="W471">RIGHT(M471,1)</f>
        <v>E</v>
      </c>
      <c r="X471" s="590" t="str" cm="1">
        <f t="array" ref="X471">RIGHT(N471,1)</f>
        <v>I</v>
      </c>
      <c r="Y471" s="708" cm="1">
        <f t="array" ref="Y471">COUNTIF($AA$2:$AA$9,Q471)+COUNTIF($AA$2:$AA$9,R471)+COUNTIF($AA$2:$AA$9,S471)+COUNTIF($AA$2:$AA$9,T471)+COUNTIF($AA$2:$AA$9,U471)+COUNTIF($AA$2:$AA$9,V471)+COUNTIF($AA$2:$AA$9,W471)+COUNTIF($AA$2:$AA$9,X471)</f>
        <v>6</v>
      </c>
      <c r="Z471" s="589"/>
      <c r="AA471" s="589"/>
      <c r="AB471" s="589"/>
      <c r="AC471" s="589"/>
      <c r="AD471" s="589"/>
      <c r="AE471" s="589"/>
      <c r="AF471" s="589"/>
      <c r="AG471" s="589"/>
      <c r="AH471" s="589"/>
      <c r="AI471" s="589"/>
      <c r="AJ471" s="589"/>
      <c r="AK471" s="589"/>
      <c r="AL471" s="589"/>
      <c r="AM471" s="589"/>
      <c r="AN471" s="589"/>
      <c r="AO471" s="589"/>
      <c r="AP471" s="589"/>
      <c r="AQ471" s="589"/>
      <c r="AR471" s="589"/>
      <c r="AS471" s="589"/>
      <c r="AT471" s="589"/>
      <c r="AU471" s="589"/>
      <c r="AV471" s="589"/>
      <c r="AW471" s="589"/>
      <c r="AX471" s="589"/>
      <c r="AY471" s="589"/>
      <c r="AZ471" s="589"/>
      <c r="BA471" s="589"/>
      <c r="BB471" s="589"/>
      <c r="BC471" s="589"/>
      <c r="BD471" s="589"/>
      <c r="BE471" s="589"/>
      <c r="BF471" s="589"/>
      <c r="BG471" s="589"/>
      <c r="BH471" s="589"/>
      <c r="BI471" s="589"/>
      <c r="BJ471" s="589"/>
      <c r="BK471" s="589"/>
      <c r="BL471" s="589"/>
    </row>
    <row r="472" spans="1:64" ht="14.25" customHeight="1">
      <c r="A472" s="691" t="s">
        <v>809</v>
      </c>
      <c r="B472" s="589"/>
      <c r="C472" s="589"/>
      <c r="D472" s="589"/>
      <c r="E472" s="589"/>
      <c r="F472" s="591">
        <v>471</v>
      </c>
      <c r="G472" s="691" t="s">
        <v>167</v>
      </c>
      <c r="H472" s="691" t="s">
        <v>187</v>
      </c>
      <c r="I472" s="691" t="s">
        <v>137</v>
      </c>
      <c r="J472" s="691" t="s">
        <v>147</v>
      </c>
      <c r="K472" s="691" t="s">
        <v>125</v>
      </c>
      <c r="L472" s="691" t="s">
        <v>157</v>
      </c>
      <c r="M472" s="691" t="s">
        <v>237</v>
      </c>
      <c r="N472" s="691" t="s">
        <v>227</v>
      </c>
      <c r="O472" s="589"/>
      <c r="P472" s="717" cm="1">
        <f t="array" ref="P472">F472</f>
        <v>471</v>
      </c>
      <c r="Q472" s="620" t="str" cm="1">
        <f t="array" ref="Q472">RIGHT(G472,1)</f>
        <v>E</v>
      </c>
      <c r="R472" s="590" t="str" cm="1">
        <f t="array" ref="R472">RIGHT(H472,1)</f>
        <v>G</v>
      </c>
      <c r="S472" s="590" t="str" cm="1">
        <f t="array" ref="S472">RIGHT(I472,1)</f>
        <v>B</v>
      </c>
      <c r="T472" s="590" t="str" cm="1">
        <f t="array" ref="T472">RIGHT(J472,1)</f>
        <v>C</v>
      </c>
      <c r="U472" s="590" t="str" cm="1">
        <f t="array" ref="U472">RIGHT(K472,1)</f>
        <v>A</v>
      </c>
      <c r="V472" s="590" t="str" cm="1">
        <f t="array" ref="V472">RIGHT(L472,1)</f>
        <v>D</v>
      </c>
      <c r="W472" s="590" t="str" cm="1">
        <f t="array" ref="W472">RIGHT(M472,1)</f>
        <v>L</v>
      </c>
      <c r="X472" s="590" t="str" cm="1">
        <f t="array" ref="X472">RIGHT(N472,1)</f>
        <v>K</v>
      </c>
      <c r="Y472" s="708" cm="1">
        <f t="array" ref="Y472">COUNTIF($AA$2:$AA$9,Q472)+COUNTIF($AA$2:$AA$9,R472)+COUNTIF($AA$2:$AA$9,S472)+COUNTIF($AA$2:$AA$9,T472)+COUNTIF($AA$2:$AA$9,U472)+COUNTIF($AA$2:$AA$9,V472)+COUNTIF($AA$2:$AA$9,W472)+COUNTIF($AA$2:$AA$9,X472)</f>
        <v>5</v>
      </c>
      <c r="Z472" s="589"/>
      <c r="AA472" s="589"/>
      <c r="AB472" s="589"/>
      <c r="AC472" s="589"/>
      <c r="AD472" s="589"/>
      <c r="AE472" s="589"/>
      <c r="AF472" s="589"/>
      <c r="AG472" s="589"/>
      <c r="AH472" s="589"/>
      <c r="AI472" s="589"/>
      <c r="AJ472" s="589"/>
      <c r="AK472" s="589"/>
      <c r="AL472" s="589"/>
      <c r="AM472" s="589"/>
      <c r="AN472" s="589"/>
      <c r="AO472" s="589"/>
      <c r="AP472" s="589"/>
      <c r="AQ472" s="589"/>
      <c r="AR472" s="589"/>
      <c r="AS472" s="589"/>
      <c r="AT472" s="589"/>
      <c r="AU472" s="589"/>
      <c r="AV472" s="589"/>
      <c r="AW472" s="589"/>
      <c r="AX472" s="589"/>
      <c r="AY472" s="589"/>
      <c r="AZ472" s="589"/>
      <c r="BA472" s="589"/>
      <c r="BB472" s="589"/>
      <c r="BC472" s="589"/>
      <c r="BD472" s="589"/>
      <c r="BE472" s="589"/>
      <c r="BF472" s="589"/>
      <c r="BG472" s="589"/>
      <c r="BH472" s="589"/>
      <c r="BI472" s="589"/>
      <c r="BJ472" s="589"/>
      <c r="BK472" s="589"/>
      <c r="BL472" s="589"/>
    </row>
    <row r="473" spans="1:64" ht="14.25" customHeight="1">
      <c r="A473" s="691" t="s">
        <v>810</v>
      </c>
      <c r="B473" s="589"/>
      <c r="C473" s="589"/>
      <c r="D473" s="589"/>
      <c r="E473" s="589"/>
      <c r="F473" s="591">
        <v>472</v>
      </c>
      <c r="G473" s="691" t="s">
        <v>167</v>
      </c>
      <c r="H473" s="691" t="s">
        <v>187</v>
      </c>
      <c r="I473" s="691" t="s">
        <v>137</v>
      </c>
      <c r="J473" s="691" t="s">
        <v>147</v>
      </c>
      <c r="K473" s="691" t="s">
        <v>125</v>
      </c>
      <c r="L473" s="691" t="s">
        <v>157</v>
      </c>
      <c r="M473" s="691" t="s">
        <v>237</v>
      </c>
      <c r="N473" s="691" t="s">
        <v>217</v>
      </c>
      <c r="O473" s="589"/>
      <c r="P473" s="717" cm="1">
        <f t="array" ref="P473">F473</f>
        <v>472</v>
      </c>
      <c r="Q473" s="620" t="str" cm="1">
        <f t="array" ref="Q473">RIGHT(G473,1)</f>
        <v>E</v>
      </c>
      <c r="R473" s="590" t="str" cm="1">
        <f t="array" ref="R473">RIGHT(H473,1)</f>
        <v>G</v>
      </c>
      <c r="S473" s="590" t="str" cm="1">
        <f t="array" ref="S473">RIGHT(I473,1)</f>
        <v>B</v>
      </c>
      <c r="T473" s="590" t="str" cm="1">
        <f t="array" ref="T473">RIGHT(J473,1)</f>
        <v>C</v>
      </c>
      <c r="U473" s="590" t="str" cm="1">
        <f t="array" ref="U473">RIGHT(K473,1)</f>
        <v>A</v>
      </c>
      <c r="V473" s="590" t="str" cm="1">
        <f t="array" ref="V473">RIGHT(L473,1)</f>
        <v>D</v>
      </c>
      <c r="W473" s="590" t="str" cm="1">
        <f t="array" ref="W473">RIGHT(M473,1)</f>
        <v>L</v>
      </c>
      <c r="X473" s="590" t="str" cm="1">
        <f t="array" ref="X473">RIGHT(N473,1)</f>
        <v>J</v>
      </c>
      <c r="Y473" s="708" cm="1">
        <f t="array" ref="Y473">COUNTIF($AA$2:$AA$9,Q473)+COUNTIF($AA$2:$AA$9,R473)+COUNTIF($AA$2:$AA$9,S473)+COUNTIF($AA$2:$AA$9,T473)+COUNTIF($AA$2:$AA$9,U473)+COUNTIF($AA$2:$AA$9,V473)+COUNTIF($AA$2:$AA$9,W473)+COUNTIF($AA$2:$AA$9,X473)</f>
        <v>6</v>
      </c>
      <c r="Z473" s="589"/>
      <c r="AA473" s="589"/>
      <c r="AB473" s="589"/>
      <c r="AC473" s="589"/>
      <c r="AD473" s="589"/>
      <c r="AE473" s="589"/>
      <c r="AF473" s="589"/>
      <c r="AG473" s="589"/>
      <c r="AH473" s="589"/>
      <c r="AI473" s="589"/>
      <c r="AJ473" s="589"/>
      <c r="AK473" s="589"/>
      <c r="AL473" s="589"/>
      <c r="AM473" s="589"/>
      <c r="AN473" s="589"/>
      <c r="AO473" s="589"/>
      <c r="AP473" s="589"/>
      <c r="AQ473" s="589"/>
      <c r="AR473" s="589"/>
      <c r="AS473" s="589"/>
      <c r="AT473" s="589"/>
      <c r="AU473" s="589"/>
      <c r="AV473" s="589"/>
      <c r="AW473" s="589"/>
      <c r="AX473" s="589"/>
      <c r="AY473" s="589"/>
      <c r="AZ473" s="589"/>
      <c r="BA473" s="589"/>
      <c r="BB473" s="589"/>
      <c r="BC473" s="589"/>
      <c r="BD473" s="589"/>
      <c r="BE473" s="589"/>
      <c r="BF473" s="589"/>
      <c r="BG473" s="589"/>
      <c r="BH473" s="589"/>
      <c r="BI473" s="589"/>
      <c r="BJ473" s="589"/>
      <c r="BK473" s="589"/>
      <c r="BL473" s="589"/>
    </row>
    <row r="474" spans="1:64" ht="14.25" customHeight="1">
      <c r="A474" s="691" t="s">
        <v>811</v>
      </c>
      <c r="B474" s="589"/>
      <c r="C474" s="589"/>
      <c r="D474" s="589"/>
      <c r="E474" s="589"/>
      <c r="F474" s="591">
        <v>473</v>
      </c>
      <c r="G474" s="691" t="s">
        <v>167</v>
      </c>
      <c r="H474" s="691" t="s">
        <v>187</v>
      </c>
      <c r="I474" s="691" t="s">
        <v>137</v>
      </c>
      <c r="J474" s="691" t="s">
        <v>147</v>
      </c>
      <c r="K474" s="691" t="s">
        <v>125</v>
      </c>
      <c r="L474" s="691" t="s">
        <v>157</v>
      </c>
      <c r="M474" s="691" t="s">
        <v>217</v>
      </c>
      <c r="N474" s="691" t="s">
        <v>227</v>
      </c>
      <c r="O474" s="589"/>
      <c r="P474" s="717" cm="1">
        <f t="array" ref="P474">F474</f>
        <v>473</v>
      </c>
      <c r="Q474" s="620" t="str" cm="1">
        <f t="array" ref="Q474">RIGHT(G474,1)</f>
        <v>E</v>
      </c>
      <c r="R474" s="590" t="str" cm="1">
        <f t="array" ref="R474">RIGHT(H474,1)</f>
        <v>G</v>
      </c>
      <c r="S474" s="590" t="str" cm="1">
        <f t="array" ref="S474">RIGHT(I474,1)</f>
        <v>B</v>
      </c>
      <c r="T474" s="590" t="str" cm="1">
        <f t="array" ref="T474">RIGHT(J474,1)</f>
        <v>C</v>
      </c>
      <c r="U474" s="590" t="str" cm="1">
        <f t="array" ref="U474">RIGHT(K474,1)</f>
        <v>A</v>
      </c>
      <c r="V474" s="590" t="str" cm="1">
        <f t="array" ref="V474">RIGHT(L474,1)</f>
        <v>D</v>
      </c>
      <c r="W474" s="590" t="str" cm="1">
        <f t="array" ref="W474">RIGHT(M474,1)</f>
        <v>J</v>
      </c>
      <c r="X474" s="590" t="str" cm="1">
        <f t="array" ref="X474">RIGHT(N474,1)</f>
        <v>K</v>
      </c>
      <c r="Y474" s="708" cm="1">
        <f t="array" ref="Y474">COUNTIF($AA$2:$AA$9,Q474)+COUNTIF($AA$2:$AA$9,R474)+COUNTIF($AA$2:$AA$9,S474)+COUNTIF($AA$2:$AA$9,T474)+COUNTIF($AA$2:$AA$9,U474)+COUNTIF($AA$2:$AA$9,V474)+COUNTIF($AA$2:$AA$9,W474)+COUNTIF($AA$2:$AA$9,X474)</f>
        <v>5</v>
      </c>
      <c r="Z474" s="589"/>
      <c r="AA474" s="589"/>
      <c r="AB474" s="589"/>
      <c r="AC474" s="589"/>
      <c r="AD474" s="589"/>
      <c r="AE474" s="589"/>
      <c r="AF474" s="589"/>
      <c r="AG474" s="589"/>
      <c r="AH474" s="589"/>
      <c r="AI474" s="589"/>
      <c r="AJ474" s="589"/>
      <c r="AK474" s="589"/>
      <c r="AL474" s="589"/>
      <c r="AM474" s="589"/>
      <c r="AN474" s="589"/>
      <c r="AO474" s="589"/>
      <c r="AP474" s="589"/>
      <c r="AQ474" s="589"/>
      <c r="AR474" s="589"/>
      <c r="AS474" s="589"/>
      <c r="AT474" s="589"/>
      <c r="AU474" s="589"/>
      <c r="AV474" s="589"/>
      <c r="AW474" s="589"/>
      <c r="AX474" s="589"/>
      <c r="AY474" s="589"/>
      <c r="AZ474" s="589"/>
      <c r="BA474" s="589"/>
      <c r="BB474" s="589"/>
      <c r="BC474" s="589"/>
      <c r="BD474" s="589"/>
      <c r="BE474" s="589"/>
      <c r="BF474" s="589"/>
      <c r="BG474" s="589"/>
      <c r="BH474" s="589"/>
      <c r="BI474" s="589"/>
      <c r="BJ474" s="589"/>
      <c r="BK474" s="589"/>
      <c r="BL474" s="589"/>
    </row>
    <row r="475" spans="1:64" ht="14.25" customHeight="1">
      <c r="A475" s="691" t="s">
        <v>812</v>
      </c>
      <c r="B475" s="589"/>
      <c r="C475" s="589"/>
      <c r="D475" s="589"/>
      <c r="E475" s="589"/>
      <c r="F475" s="591">
        <v>474</v>
      </c>
      <c r="G475" s="691" t="s">
        <v>167</v>
      </c>
      <c r="H475" s="691" t="s">
        <v>187</v>
      </c>
      <c r="I475" s="691" t="s">
        <v>137</v>
      </c>
      <c r="J475" s="691" t="s">
        <v>147</v>
      </c>
      <c r="K475" s="691" t="s">
        <v>125</v>
      </c>
      <c r="L475" s="691" t="s">
        <v>157</v>
      </c>
      <c r="M475" s="691" t="s">
        <v>237</v>
      </c>
      <c r="N475" s="691" t="s">
        <v>207</v>
      </c>
      <c r="O475" s="589"/>
      <c r="P475" s="717" cm="1">
        <f t="array" ref="P475">F475</f>
        <v>474</v>
      </c>
      <c r="Q475" s="620" t="str" cm="1">
        <f t="array" ref="Q475">RIGHT(G475,1)</f>
        <v>E</v>
      </c>
      <c r="R475" s="590" t="str" cm="1">
        <f t="array" ref="R475">RIGHT(H475,1)</f>
        <v>G</v>
      </c>
      <c r="S475" s="590" t="str" cm="1">
        <f t="array" ref="S475">RIGHT(I475,1)</f>
        <v>B</v>
      </c>
      <c r="T475" s="590" t="str" cm="1">
        <f t="array" ref="T475">RIGHT(J475,1)</f>
        <v>C</v>
      </c>
      <c r="U475" s="590" t="str" cm="1">
        <f t="array" ref="U475">RIGHT(K475,1)</f>
        <v>A</v>
      </c>
      <c r="V475" s="590" t="str" cm="1">
        <f t="array" ref="V475">RIGHT(L475,1)</f>
        <v>D</v>
      </c>
      <c r="W475" s="590" t="str" cm="1">
        <f t="array" ref="W475">RIGHT(M475,1)</f>
        <v>L</v>
      </c>
      <c r="X475" s="590" t="str" cm="1">
        <f t="array" ref="X475">RIGHT(N475,1)</f>
        <v>I</v>
      </c>
      <c r="Y475" s="708" cm="1">
        <f t="array" ref="Y475">COUNTIF($AA$2:$AA$9,Q475)+COUNTIF($AA$2:$AA$9,R475)+COUNTIF($AA$2:$AA$9,S475)+COUNTIF($AA$2:$AA$9,T475)+COUNTIF($AA$2:$AA$9,U475)+COUNTIF($AA$2:$AA$9,V475)+COUNTIF($AA$2:$AA$9,W475)+COUNTIF($AA$2:$AA$9,X475)</f>
        <v>6</v>
      </c>
      <c r="Z475" s="589"/>
      <c r="AA475" s="589"/>
      <c r="AB475" s="589"/>
      <c r="AC475" s="589"/>
      <c r="AD475" s="589"/>
      <c r="AE475" s="589"/>
      <c r="AF475" s="589"/>
      <c r="AG475" s="589"/>
      <c r="AH475" s="589"/>
      <c r="AI475" s="589"/>
      <c r="AJ475" s="589"/>
      <c r="AK475" s="589"/>
      <c r="AL475" s="589"/>
      <c r="AM475" s="589"/>
      <c r="AN475" s="589"/>
      <c r="AO475" s="589"/>
      <c r="AP475" s="589"/>
      <c r="AQ475" s="589"/>
      <c r="AR475" s="589"/>
      <c r="AS475" s="589"/>
      <c r="AT475" s="589"/>
      <c r="AU475" s="589"/>
      <c r="AV475" s="589"/>
      <c r="AW475" s="589"/>
      <c r="AX475" s="589"/>
      <c r="AY475" s="589"/>
      <c r="AZ475" s="589"/>
      <c r="BA475" s="589"/>
      <c r="BB475" s="589"/>
      <c r="BC475" s="589"/>
      <c r="BD475" s="589"/>
      <c r="BE475" s="589"/>
      <c r="BF475" s="589"/>
      <c r="BG475" s="589"/>
      <c r="BH475" s="589"/>
      <c r="BI475" s="589"/>
      <c r="BJ475" s="589"/>
      <c r="BK475" s="589"/>
      <c r="BL475" s="589"/>
    </row>
    <row r="476" spans="1:64" ht="14.25" customHeight="1">
      <c r="A476" s="691" t="s">
        <v>813</v>
      </c>
      <c r="B476" s="589"/>
      <c r="C476" s="589"/>
      <c r="D476" s="589"/>
      <c r="E476" s="589"/>
      <c r="F476" s="591">
        <v>475</v>
      </c>
      <c r="G476" s="691" t="s">
        <v>167</v>
      </c>
      <c r="H476" s="691" t="s">
        <v>187</v>
      </c>
      <c r="I476" s="691" t="s">
        <v>137</v>
      </c>
      <c r="J476" s="691" t="s">
        <v>147</v>
      </c>
      <c r="K476" s="691" t="s">
        <v>125</v>
      </c>
      <c r="L476" s="691" t="s">
        <v>157</v>
      </c>
      <c r="M476" s="691" t="s">
        <v>207</v>
      </c>
      <c r="N476" s="691" t="s">
        <v>227</v>
      </c>
      <c r="O476" s="589"/>
      <c r="P476" s="717" cm="1">
        <f t="array" ref="P476">F476</f>
        <v>475</v>
      </c>
      <c r="Q476" s="620" t="str" cm="1">
        <f t="array" ref="Q476">RIGHT(G476,1)</f>
        <v>E</v>
      </c>
      <c r="R476" s="590" t="str" cm="1">
        <f t="array" ref="R476">RIGHT(H476,1)</f>
        <v>G</v>
      </c>
      <c r="S476" s="590" t="str" cm="1">
        <f t="array" ref="S476">RIGHT(I476,1)</f>
        <v>B</v>
      </c>
      <c r="T476" s="590" t="str" cm="1">
        <f t="array" ref="T476">RIGHT(J476,1)</f>
        <v>C</v>
      </c>
      <c r="U476" s="590" t="str" cm="1">
        <f t="array" ref="U476">RIGHT(K476,1)</f>
        <v>A</v>
      </c>
      <c r="V476" s="590" t="str" cm="1">
        <f t="array" ref="V476">RIGHT(L476,1)</f>
        <v>D</v>
      </c>
      <c r="W476" s="590" t="str" cm="1">
        <f t="array" ref="W476">RIGHT(M476,1)</f>
        <v>I</v>
      </c>
      <c r="X476" s="590" t="str" cm="1">
        <f t="array" ref="X476">RIGHT(N476,1)</f>
        <v>K</v>
      </c>
      <c r="Y476" s="708" cm="1">
        <f t="array" ref="Y476">COUNTIF($AA$2:$AA$9,Q476)+COUNTIF($AA$2:$AA$9,R476)+COUNTIF($AA$2:$AA$9,S476)+COUNTIF($AA$2:$AA$9,T476)+COUNTIF($AA$2:$AA$9,U476)+COUNTIF($AA$2:$AA$9,V476)+COUNTIF($AA$2:$AA$9,W476)+COUNTIF($AA$2:$AA$9,X476)</f>
        <v>5</v>
      </c>
      <c r="Z476" s="589"/>
      <c r="AA476" s="589"/>
      <c r="AB476" s="589"/>
      <c r="AC476" s="589"/>
      <c r="AD476" s="589"/>
      <c r="AE476" s="589"/>
      <c r="AF476" s="589"/>
      <c r="AG476" s="589"/>
      <c r="AH476" s="589"/>
      <c r="AI476" s="589"/>
      <c r="AJ476" s="589"/>
      <c r="AK476" s="589"/>
      <c r="AL476" s="589"/>
      <c r="AM476" s="589"/>
      <c r="AN476" s="589"/>
      <c r="AO476" s="589"/>
      <c r="AP476" s="589"/>
      <c r="AQ476" s="589"/>
      <c r="AR476" s="589"/>
      <c r="AS476" s="589"/>
      <c r="AT476" s="589"/>
      <c r="AU476" s="589"/>
      <c r="AV476" s="589"/>
      <c r="AW476" s="589"/>
      <c r="AX476" s="589"/>
      <c r="AY476" s="589"/>
      <c r="AZ476" s="589"/>
      <c r="BA476" s="589"/>
      <c r="BB476" s="589"/>
      <c r="BC476" s="589"/>
      <c r="BD476" s="589"/>
      <c r="BE476" s="589"/>
      <c r="BF476" s="589"/>
      <c r="BG476" s="589"/>
      <c r="BH476" s="589"/>
      <c r="BI476" s="589"/>
      <c r="BJ476" s="589"/>
      <c r="BK476" s="589"/>
      <c r="BL476" s="589"/>
    </row>
    <row r="477" spans="1:64" ht="14.25" customHeight="1">
      <c r="A477" s="691" t="s">
        <v>814</v>
      </c>
      <c r="B477" s="589"/>
      <c r="C477" s="589"/>
      <c r="D477" s="589"/>
      <c r="E477" s="589"/>
      <c r="F477" s="591">
        <v>476</v>
      </c>
      <c r="G477" s="691" t="s">
        <v>167</v>
      </c>
      <c r="H477" s="691" t="s">
        <v>187</v>
      </c>
      <c r="I477" s="691" t="s">
        <v>137</v>
      </c>
      <c r="J477" s="691" t="s">
        <v>147</v>
      </c>
      <c r="K477" s="691" t="s">
        <v>125</v>
      </c>
      <c r="L477" s="691" t="s">
        <v>157</v>
      </c>
      <c r="M477" s="691" t="s">
        <v>207</v>
      </c>
      <c r="N477" s="691" t="s">
        <v>217</v>
      </c>
      <c r="O477" s="589"/>
      <c r="P477" s="717" cm="1">
        <f t="array" ref="P477">F477</f>
        <v>476</v>
      </c>
      <c r="Q477" s="620" t="str" cm="1">
        <f t="array" ref="Q477">RIGHT(G477,1)</f>
        <v>E</v>
      </c>
      <c r="R477" s="590" t="str" cm="1">
        <f t="array" ref="R477">RIGHT(H477,1)</f>
        <v>G</v>
      </c>
      <c r="S477" s="590" t="str" cm="1">
        <f t="array" ref="S477">RIGHT(I477,1)</f>
        <v>B</v>
      </c>
      <c r="T477" s="590" t="str" cm="1">
        <f t="array" ref="T477">RIGHT(J477,1)</f>
        <v>C</v>
      </c>
      <c r="U477" s="590" t="str" cm="1">
        <f t="array" ref="U477">RIGHT(K477,1)</f>
        <v>A</v>
      </c>
      <c r="V477" s="590" t="str" cm="1">
        <f t="array" ref="V477">RIGHT(L477,1)</f>
        <v>D</v>
      </c>
      <c r="W477" s="590" t="str" cm="1">
        <f t="array" ref="W477">RIGHT(M477,1)</f>
        <v>I</v>
      </c>
      <c r="X477" s="590" t="str" cm="1">
        <f t="array" ref="X477">RIGHT(N477,1)</f>
        <v>J</v>
      </c>
      <c r="Y477" s="708" cm="1">
        <f t="array" ref="Y477">COUNTIF($AA$2:$AA$9,Q477)+COUNTIF($AA$2:$AA$9,R477)+COUNTIF($AA$2:$AA$9,S477)+COUNTIF($AA$2:$AA$9,T477)+COUNTIF($AA$2:$AA$9,U477)+COUNTIF($AA$2:$AA$9,V477)+COUNTIF($AA$2:$AA$9,W477)+COUNTIF($AA$2:$AA$9,X477)</f>
        <v>6</v>
      </c>
      <c r="Z477" s="589"/>
      <c r="AA477" s="589"/>
      <c r="AB477" s="589"/>
      <c r="AC477" s="589"/>
      <c r="AD477" s="589"/>
      <c r="AE477" s="589"/>
      <c r="AF477" s="589"/>
      <c r="AG477" s="589"/>
      <c r="AH477" s="589"/>
      <c r="AI477" s="589"/>
      <c r="AJ477" s="589"/>
      <c r="AK477" s="589"/>
      <c r="AL477" s="589"/>
      <c r="AM477" s="589"/>
      <c r="AN477" s="589"/>
      <c r="AO477" s="589"/>
      <c r="AP477" s="589"/>
      <c r="AQ477" s="589"/>
      <c r="AR477" s="589"/>
      <c r="AS477" s="589"/>
      <c r="AT477" s="589"/>
      <c r="AU477" s="589"/>
      <c r="AV477" s="589"/>
      <c r="AW477" s="589"/>
      <c r="AX477" s="589"/>
      <c r="AY477" s="589"/>
      <c r="AZ477" s="589"/>
      <c r="BA477" s="589"/>
      <c r="BB477" s="589"/>
      <c r="BC477" s="589"/>
      <c r="BD477" s="589"/>
      <c r="BE477" s="589"/>
      <c r="BF477" s="589"/>
      <c r="BG477" s="589"/>
      <c r="BH477" s="589"/>
      <c r="BI477" s="589"/>
      <c r="BJ477" s="589"/>
      <c r="BK477" s="589"/>
      <c r="BL477" s="589"/>
    </row>
    <row r="478" spans="1:64" ht="14.25" customHeight="1">
      <c r="A478" s="691" t="s">
        <v>815</v>
      </c>
      <c r="B478" s="589"/>
      <c r="C478" s="589"/>
      <c r="D478" s="589"/>
      <c r="E478" s="589"/>
      <c r="F478" s="591">
        <v>477</v>
      </c>
      <c r="G478" s="691" t="s">
        <v>197</v>
      </c>
      <c r="H478" s="691" t="s">
        <v>187</v>
      </c>
      <c r="I478" s="691" t="s">
        <v>137</v>
      </c>
      <c r="J478" s="691" t="s">
        <v>147</v>
      </c>
      <c r="K478" s="691" t="s">
        <v>125</v>
      </c>
      <c r="L478" s="691" t="s">
        <v>157</v>
      </c>
      <c r="M478" s="691" t="s">
        <v>237</v>
      </c>
      <c r="N478" s="691" t="s">
        <v>167</v>
      </c>
      <c r="O478" s="589"/>
      <c r="P478" s="717" cm="1">
        <f t="array" ref="P478">F478</f>
        <v>477</v>
      </c>
      <c r="Q478" s="620" t="str" cm="1">
        <f t="array" ref="Q478">RIGHT(G478,1)</f>
        <v>H</v>
      </c>
      <c r="R478" s="590" t="str" cm="1">
        <f t="array" ref="R478">RIGHT(H478,1)</f>
        <v>G</v>
      </c>
      <c r="S478" s="590" t="str" cm="1">
        <f t="array" ref="S478">RIGHT(I478,1)</f>
        <v>B</v>
      </c>
      <c r="T478" s="590" t="str" cm="1">
        <f t="array" ref="T478">RIGHT(J478,1)</f>
        <v>C</v>
      </c>
      <c r="U478" s="590" t="str" cm="1">
        <f t="array" ref="U478">RIGHT(K478,1)</f>
        <v>A</v>
      </c>
      <c r="V478" s="590" t="str" cm="1">
        <f t="array" ref="V478">RIGHT(L478,1)</f>
        <v>D</v>
      </c>
      <c r="W478" s="590" t="str" cm="1">
        <f t="array" ref="W478">RIGHT(M478,1)</f>
        <v>L</v>
      </c>
      <c r="X478" s="590" t="str" cm="1">
        <f t="array" ref="X478">RIGHT(N478,1)</f>
        <v>E</v>
      </c>
      <c r="Y478" s="708" cm="1">
        <f t="array" ref="Y478">COUNTIF($AA$2:$AA$9,Q478)+COUNTIF($AA$2:$AA$9,R478)+COUNTIF($AA$2:$AA$9,S478)+COUNTIF($AA$2:$AA$9,T478)+COUNTIF($AA$2:$AA$9,U478)+COUNTIF($AA$2:$AA$9,V478)+COUNTIF($AA$2:$AA$9,W478)+COUNTIF($AA$2:$AA$9,X478)</f>
        <v>5</v>
      </c>
      <c r="Z478" s="589"/>
      <c r="AA478" s="589"/>
      <c r="AB478" s="589"/>
      <c r="AC478" s="589"/>
      <c r="AD478" s="589"/>
      <c r="AE478" s="589"/>
      <c r="AF478" s="589"/>
      <c r="AG478" s="589"/>
      <c r="AH478" s="589"/>
      <c r="AI478" s="589"/>
      <c r="AJ478" s="589"/>
      <c r="AK478" s="589"/>
      <c r="AL478" s="589"/>
      <c r="AM478" s="589"/>
      <c r="AN478" s="589"/>
      <c r="AO478" s="589"/>
      <c r="AP478" s="589"/>
      <c r="AQ478" s="589"/>
      <c r="AR478" s="589"/>
      <c r="AS478" s="589"/>
      <c r="AT478" s="589"/>
      <c r="AU478" s="589"/>
      <c r="AV478" s="589"/>
      <c r="AW478" s="589"/>
      <c r="AX478" s="589"/>
      <c r="AY478" s="589"/>
      <c r="AZ478" s="589"/>
      <c r="BA478" s="589"/>
      <c r="BB478" s="589"/>
      <c r="BC478" s="589"/>
      <c r="BD478" s="589"/>
      <c r="BE478" s="589"/>
      <c r="BF478" s="589"/>
      <c r="BG478" s="589"/>
      <c r="BH478" s="589"/>
      <c r="BI478" s="589"/>
      <c r="BJ478" s="589"/>
      <c r="BK478" s="589"/>
      <c r="BL478" s="589"/>
    </row>
    <row r="479" spans="1:64" ht="14.25" customHeight="1">
      <c r="A479" s="691" t="s">
        <v>816</v>
      </c>
      <c r="B479" s="589"/>
      <c r="C479" s="589"/>
      <c r="D479" s="589"/>
      <c r="E479" s="589"/>
      <c r="F479" s="591">
        <v>478</v>
      </c>
      <c r="G479" s="691" t="s">
        <v>197</v>
      </c>
      <c r="H479" s="691" t="s">
        <v>187</v>
      </c>
      <c r="I479" s="691" t="s">
        <v>137</v>
      </c>
      <c r="J479" s="691" t="s">
        <v>147</v>
      </c>
      <c r="K479" s="691" t="s">
        <v>125</v>
      </c>
      <c r="L479" s="691" t="s">
        <v>157</v>
      </c>
      <c r="M479" s="691" t="s">
        <v>167</v>
      </c>
      <c r="N479" s="691" t="s">
        <v>227</v>
      </c>
      <c r="O479" s="589"/>
      <c r="P479" s="717" cm="1">
        <f t="array" ref="P479">F479</f>
        <v>478</v>
      </c>
      <c r="Q479" s="620" t="str" cm="1">
        <f t="array" ref="Q479">RIGHT(G479,1)</f>
        <v>H</v>
      </c>
      <c r="R479" s="590" t="str" cm="1">
        <f t="array" ref="R479">RIGHT(H479,1)</f>
        <v>G</v>
      </c>
      <c r="S479" s="590" t="str" cm="1">
        <f t="array" ref="S479">RIGHT(I479,1)</f>
        <v>B</v>
      </c>
      <c r="T479" s="590" t="str" cm="1">
        <f t="array" ref="T479">RIGHT(J479,1)</f>
        <v>C</v>
      </c>
      <c r="U479" s="590" t="str" cm="1">
        <f t="array" ref="U479">RIGHT(K479,1)</f>
        <v>A</v>
      </c>
      <c r="V479" s="590" t="str" cm="1">
        <f t="array" ref="V479">RIGHT(L479,1)</f>
        <v>D</v>
      </c>
      <c r="W479" s="590" t="str" cm="1">
        <f t="array" ref="W479">RIGHT(M479,1)</f>
        <v>E</v>
      </c>
      <c r="X479" s="590" t="str" cm="1">
        <f t="array" ref="X479">RIGHT(N479,1)</f>
        <v>K</v>
      </c>
      <c r="Y479" s="708" cm="1">
        <f t="array" ref="Y479">COUNTIF($AA$2:$AA$9,Q479)+COUNTIF($AA$2:$AA$9,R479)+COUNTIF($AA$2:$AA$9,S479)+COUNTIF($AA$2:$AA$9,T479)+COUNTIF($AA$2:$AA$9,U479)+COUNTIF($AA$2:$AA$9,V479)+COUNTIF($AA$2:$AA$9,W479)+COUNTIF($AA$2:$AA$9,X479)</f>
        <v>4</v>
      </c>
      <c r="Z479" s="589"/>
      <c r="AA479" s="589"/>
      <c r="AB479" s="589"/>
      <c r="AC479" s="589"/>
      <c r="AD479" s="589"/>
      <c r="AE479" s="589"/>
      <c r="AF479" s="589"/>
      <c r="AG479" s="589"/>
      <c r="AH479" s="589"/>
      <c r="AI479" s="589"/>
      <c r="AJ479" s="589"/>
      <c r="AK479" s="589"/>
      <c r="AL479" s="589"/>
      <c r="AM479" s="589"/>
      <c r="AN479" s="589"/>
      <c r="AO479" s="589"/>
      <c r="AP479" s="589"/>
      <c r="AQ479" s="589"/>
      <c r="AR479" s="589"/>
      <c r="AS479" s="589"/>
      <c r="AT479" s="589"/>
      <c r="AU479" s="589"/>
      <c r="AV479" s="589"/>
      <c r="AW479" s="589"/>
      <c r="AX479" s="589"/>
      <c r="AY479" s="589"/>
      <c r="AZ479" s="589"/>
      <c r="BA479" s="589"/>
      <c r="BB479" s="589"/>
      <c r="BC479" s="589"/>
      <c r="BD479" s="589"/>
      <c r="BE479" s="589"/>
      <c r="BF479" s="589"/>
      <c r="BG479" s="589"/>
      <c r="BH479" s="589"/>
      <c r="BI479" s="589"/>
      <c r="BJ479" s="589"/>
      <c r="BK479" s="589"/>
      <c r="BL479" s="589"/>
    </row>
    <row r="480" spans="1:64" ht="14.25" customHeight="1">
      <c r="A480" s="691" t="s">
        <v>817</v>
      </c>
      <c r="B480" s="589"/>
      <c r="C480" s="589"/>
      <c r="D480" s="589"/>
      <c r="E480" s="589"/>
      <c r="F480" s="591">
        <v>479</v>
      </c>
      <c r="G480" s="691" t="s">
        <v>197</v>
      </c>
      <c r="H480" s="691" t="s">
        <v>187</v>
      </c>
      <c r="I480" s="691" t="s">
        <v>137</v>
      </c>
      <c r="J480" s="691" t="s">
        <v>147</v>
      </c>
      <c r="K480" s="691" t="s">
        <v>125</v>
      </c>
      <c r="L480" s="691" t="s">
        <v>157</v>
      </c>
      <c r="M480" s="691" t="s">
        <v>167</v>
      </c>
      <c r="N480" s="691" t="s">
        <v>217</v>
      </c>
      <c r="O480" s="589"/>
      <c r="P480" s="717" cm="1">
        <f t="array" ref="P480">F480</f>
        <v>479</v>
      </c>
      <c r="Q480" s="620" t="str" cm="1">
        <f t="array" ref="Q480">RIGHT(G480,1)</f>
        <v>H</v>
      </c>
      <c r="R480" s="590" t="str" cm="1">
        <f t="array" ref="R480">RIGHT(H480,1)</f>
        <v>G</v>
      </c>
      <c r="S480" s="590" t="str" cm="1">
        <f t="array" ref="S480">RIGHT(I480,1)</f>
        <v>B</v>
      </c>
      <c r="T480" s="590" t="str" cm="1">
        <f t="array" ref="T480">RIGHT(J480,1)</f>
        <v>C</v>
      </c>
      <c r="U480" s="590" t="str" cm="1">
        <f t="array" ref="U480">RIGHT(K480,1)</f>
        <v>A</v>
      </c>
      <c r="V480" s="590" t="str" cm="1">
        <f t="array" ref="V480">RIGHT(L480,1)</f>
        <v>D</v>
      </c>
      <c r="W480" s="590" t="str" cm="1">
        <f t="array" ref="W480">RIGHT(M480,1)</f>
        <v>E</v>
      </c>
      <c r="X480" s="590" t="str" cm="1">
        <f t="array" ref="X480">RIGHT(N480,1)</f>
        <v>J</v>
      </c>
      <c r="Y480" s="708" cm="1">
        <f t="array" ref="Y480">COUNTIF($AA$2:$AA$9,Q480)+COUNTIF($AA$2:$AA$9,R480)+COUNTIF($AA$2:$AA$9,S480)+COUNTIF($AA$2:$AA$9,T480)+COUNTIF($AA$2:$AA$9,U480)+COUNTIF($AA$2:$AA$9,V480)+COUNTIF($AA$2:$AA$9,W480)+COUNTIF($AA$2:$AA$9,X480)</f>
        <v>5</v>
      </c>
      <c r="Z480" s="589"/>
      <c r="AA480" s="589"/>
      <c r="AB480" s="589"/>
      <c r="AC480" s="589"/>
      <c r="AD480" s="589"/>
      <c r="AE480" s="589"/>
      <c r="AF480" s="589"/>
      <c r="AG480" s="589"/>
      <c r="AH480" s="589"/>
      <c r="AI480" s="589"/>
      <c r="AJ480" s="589"/>
      <c r="AK480" s="589"/>
      <c r="AL480" s="589"/>
      <c r="AM480" s="589"/>
      <c r="AN480" s="589"/>
      <c r="AO480" s="589"/>
      <c r="AP480" s="589"/>
      <c r="AQ480" s="589"/>
      <c r="AR480" s="589"/>
      <c r="AS480" s="589"/>
      <c r="AT480" s="589"/>
      <c r="AU480" s="589"/>
      <c r="AV480" s="589"/>
      <c r="AW480" s="589"/>
      <c r="AX480" s="589"/>
      <c r="AY480" s="589"/>
      <c r="AZ480" s="589"/>
      <c r="BA480" s="589"/>
      <c r="BB480" s="589"/>
      <c r="BC480" s="589"/>
      <c r="BD480" s="589"/>
      <c r="BE480" s="589"/>
      <c r="BF480" s="589"/>
      <c r="BG480" s="589"/>
      <c r="BH480" s="589"/>
      <c r="BI480" s="589"/>
      <c r="BJ480" s="589"/>
      <c r="BK480" s="589"/>
      <c r="BL480" s="589"/>
    </row>
    <row r="481" spans="1:64" ht="14.25" customHeight="1">
      <c r="A481" s="691" t="s">
        <v>818</v>
      </c>
      <c r="B481" s="589"/>
      <c r="C481" s="589"/>
      <c r="D481" s="589"/>
      <c r="E481" s="589"/>
      <c r="F481" s="591">
        <v>480</v>
      </c>
      <c r="G481" s="691" t="s">
        <v>197</v>
      </c>
      <c r="H481" s="691" t="s">
        <v>187</v>
      </c>
      <c r="I481" s="691" t="s">
        <v>137</v>
      </c>
      <c r="J481" s="691" t="s">
        <v>147</v>
      </c>
      <c r="K481" s="691" t="s">
        <v>125</v>
      </c>
      <c r="L481" s="691" t="s">
        <v>157</v>
      </c>
      <c r="M481" s="691" t="s">
        <v>167</v>
      </c>
      <c r="N481" s="691" t="s">
        <v>207</v>
      </c>
      <c r="O481" s="589"/>
      <c r="P481" s="717" cm="1">
        <f t="array" ref="P481">F481</f>
        <v>480</v>
      </c>
      <c r="Q481" s="620" t="str" cm="1">
        <f t="array" ref="Q481">RIGHT(G481,1)</f>
        <v>H</v>
      </c>
      <c r="R481" s="590" t="str" cm="1">
        <f t="array" ref="R481">RIGHT(H481,1)</f>
        <v>G</v>
      </c>
      <c r="S481" s="590" t="str" cm="1">
        <f t="array" ref="S481">RIGHT(I481,1)</f>
        <v>B</v>
      </c>
      <c r="T481" s="590" t="str" cm="1">
        <f t="array" ref="T481">RIGHT(J481,1)</f>
        <v>C</v>
      </c>
      <c r="U481" s="590" t="str" cm="1">
        <f t="array" ref="U481">RIGHT(K481,1)</f>
        <v>A</v>
      </c>
      <c r="V481" s="590" t="str" cm="1">
        <f t="array" ref="V481">RIGHT(L481,1)</f>
        <v>D</v>
      </c>
      <c r="W481" s="590" t="str" cm="1">
        <f t="array" ref="W481">RIGHT(M481,1)</f>
        <v>E</v>
      </c>
      <c r="X481" s="590" t="str" cm="1">
        <f t="array" ref="X481">RIGHT(N481,1)</f>
        <v>I</v>
      </c>
      <c r="Y481" s="708" cm="1">
        <f t="array" ref="Y481">COUNTIF($AA$2:$AA$9,Q481)+COUNTIF($AA$2:$AA$9,R481)+COUNTIF($AA$2:$AA$9,S481)+COUNTIF($AA$2:$AA$9,T481)+COUNTIF($AA$2:$AA$9,U481)+COUNTIF($AA$2:$AA$9,V481)+COUNTIF($AA$2:$AA$9,W481)+COUNTIF($AA$2:$AA$9,X481)</f>
        <v>5</v>
      </c>
      <c r="Z481" s="589"/>
      <c r="AA481" s="589"/>
      <c r="AB481" s="589"/>
      <c r="AC481" s="589"/>
      <c r="AD481" s="589"/>
      <c r="AE481" s="589"/>
      <c r="AF481" s="589"/>
      <c r="AG481" s="589"/>
      <c r="AH481" s="589"/>
      <c r="AI481" s="589"/>
      <c r="AJ481" s="589"/>
      <c r="AK481" s="589"/>
      <c r="AL481" s="589"/>
      <c r="AM481" s="589"/>
      <c r="AN481" s="589"/>
      <c r="AO481" s="589"/>
      <c r="AP481" s="589"/>
      <c r="AQ481" s="589"/>
      <c r="AR481" s="589"/>
      <c r="AS481" s="589"/>
      <c r="AT481" s="589"/>
      <c r="AU481" s="589"/>
      <c r="AV481" s="589"/>
      <c r="AW481" s="589"/>
      <c r="AX481" s="589"/>
      <c r="AY481" s="589"/>
      <c r="AZ481" s="589"/>
      <c r="BA481" s="589"/>
      <c r="BB481" s="589"/>
      <c r="BC481" s="589"/>
      <c r="BD481" s="589"/>
      <c r="BE481" s="589"/>
      <c r="BF481" s="589"/>
      <c r="BG481" s="589"/>
      <c r="BH481" s="589"/>
      <c r="BI481" s="589"/>
      <c r="BJ481" s="589"/>
      <c r="BK481" s="589"/>
      <c r="BL481" s="589"/>
    </row>
    <row r="482" spans="1:64" ht="14.25" customHeight="1">
      <c r="A482" s="691" t="s">
        <v>819</v>
      </c>
      <c r="B482" s="589"/>
      <c r="C482" s="589"/>
      <c r="D482" s="589"/>
      <c r="E482" s="589"/>
      <c r="F482" s="591">
        <v>481</v>
      </c>
      <c r="G482" s="691" t="s">
        <v>147</v>
      </c>
      <c r="H482" s="691" t="s">
        <v>167</v>
      </c>
      <c r="I482" s="691" t="s">
        <v>137</v>
      </c>
      <c r="J482" s="691" t="s">
        <v>157</v>
      </c>
      <c r="K482" s="691" t="s">
        <v>125</v>
      </c>
      <c r="L482" s="691" t="s">
        <v>177</v>
      </c>
      <c r="M482" s="691" t="s">
        <v>237</v>
      </c>
      <c r="N482" s="691" t="s">
        <v>227</v>
      </c>
      <c r="O482" s="589"/>
      <c r="P482" s="717" cm="1">
        <f t="array" ref="P482">F482</f>
        <v>481</v>
      </c>
      <c r="Q482" s="620" t="str" cm="1">
        <f t="array" ref="Q482">RIGHT(G482,1)</f>
        <v>C</v>
      </c>
      <c r="R482" s="590" t="str" cm="1">
        <f t="array" ref="R482">RIGHT(H482,1)</f>
        <v>E</v>
      </c>
      <c r="S482" s="590" t="str" cm="1">
        <f t="array" ref="S482">RIGHT(I482,1)</f>
        <v>B</v>
      </c>
      <c r="T482" s="590" t="str" cm="1">
        <f t="array" ref="T482">RIGHT(J482,1)</f>
        <v>D</v>
      </c>
      <c r="U482" s="590" t="str" cm="1">
        <f t="array" ref="U482">RIGHT(K482,1)</f>
        <v>A</v>
      </c>
      <c r="V482" s="590" t="str" cm="1">
        <f t="array" ref="V482">RIGHT(L482,1)</f>
        <v>F</v>
      </c>
      <c r="W482" s="590" t="str" cm="1">
        <f t="array" ref="W482">RIGHT(M482,1)</f>
        <v>L</v>
      </c>
      <c r="X482" s="590" t="str" cm="1">
        <f t="array" ref="X482">RIGHT(N482,1)</f>
        <v>K</v>
      </c>
      <c r="Y482" s="708" cm="1">
        <f t="array" ref="Y482">COUNTIF($AA$2:$AA$9,Q482)+COUNTIF($AA$2:$AA$9,R482)+COUNTIF($AA$2:$AA$9,S482)+COUNTIF($AA$2:$AA$9,T482)+COUNTIF($AA$2:$AA$9,U482)+COUNTIF($AA$2:$AA$9,V482)+COUNTIF($AA$2:$AA$9,W482)+COUNTIF($AA$2:$AA$9,X482)</f>
        <v>6</v>
      </c>
      <c r="Z482" s="589"/>
      <c r="AA482" s="589"/>
      <c r="AB482" s="589"/>
      <c r="AC482" s="589"/>
      <c r="AD482" s="589"/>
      <c r="AE482" s="589"/>
      <c r="AF482" s="589"/>
      <c r="AG482" s="589"/>
      <c r="AH482" s="589"/>
      <c r="AI482" s="589"/>
      <c r="AJ482" s="589"/>
      <c r="AK482" s="589"/>
      <c r="AL482" s="589"/>
      <c r="AM482" s="589"/>
      <c r="AN482" s="589"/>
      <c r="AO482" s="589"/>
      <c r="AP482" s="589"/>
      <c r="AQ482" s="589"/>
      <c r="AR482" s="589"/>
      <c r="AS482" s="589"/>
      <c r="AT482" s="589"/>
      <c r="AU482" s="589"/>
      <c r="AV482" s="589"/>
      <c r="AW482" s="589"/>
      <c r="AX482" s="589"/>
      <c r="AY482" s="589"/>
      <c r="AZ482" s="589"/>
      <c r="BA482" s="589"/>
      <c r="BB482" s="589"/>
      <c r="BC482" s="589"/>
      <c r="BD482" s="589"/>
      <c r="BE482" s="589"/>
      <c r="BF482" s="589"/>
      <c r="BG482" s="589"/>
      <c r="BH482" s="589"/>
      <c r="BI482" s="589"/>
      <c r="BJ482" s="589"/>
      <c r="BK482" s="589"/>
      <c r="BL482" s="589"/>
    </row>
    <row r="483" spans="1:64" ht="14.25" customHeight="1">
      <c r="A483" s="691" t="s">
        <v>820</v>
      </c>
      <c r="B483" s="589"/>
      <c r="C483" s="589"/>
      <c r="D483" s="589"/>
      <c r="E483" s="589"/>
      <c r="F483" s="591">
        <v>482</v>
      </c>
      <c r="G483" s="691" t="s">
        <v>147</v>
      </c>
      <c r="H483" s="691" t="s">
        <v>217</v>
      </c>
      <c r="I483" s="691" t="s">
        <v>137</v>
      </c>
      <c r="J483" s="691" t="s">
        <v>157</v>
      </c>
      <c r="K483" s="691" t="s">
        <v>125</v>
      </c>
      <c r="L483" s="691" t="s">
        <v>177</v>
      </c>
      <c r="M483" s="691" t="s">
        <v>237</v>
      </c>
      <c r="N483" s="691" t="s">
        <v>167</v>
      </c>
      <c r="O483" s="589"/>
      <c r="P483" s="717" cm="1">
        <f t="array" ref="P483">F483</f>
        <v>482</v>
      </c>
      <c r="Q483" s="620" t="str" cm="1">
        <f t="array" ref="Q483">RIGHT(G483,1)</f>
        <v>C</v>
      </c>
      <c r="R483" s="590" t="str" cm="1">
        <f t="array" ref="R483">RIGHT(H483,1)</f>
        <v>J</v>
      </c>
      <c r="S483" s="590" t="str" cm="1">
        <f t="array" ref="S483">RIGHT(I483,1)</f>
        <v>B</v>
      </c>
      <c r="T483" s="590" t="str" cm="1">
        <f t="array" ref="T483">RIGHT(J483,1)</f>
        <v>D</v>
      </c>
      <c r="U483" s="590" t="str" cm="1">
        <f t="array" ref="U483">RIGHT(K483,1)</f>
        <v>A</v>
      </c>
      <c r="V483" s="590" t="str" cm="1">
        <f t="array" ref="V483">RIGHT(L483,1)</f>
        <v>F</v>
      </c>
      <c r="W483" s="590" t="str" cm="1">
        <f t="array" ref="W483">RIGHT(M483,1)</f>
        <v>L</v>
      </c>
      <c r="X483" s="590" t="str" cm="1">
        <f t="array" ref="X483">RIGHT(N483,1)</f>
        <v>E</v>
      </c>
      <c r="Y483" s="708" cm="1">
        <f t="array" ref="Y483">COUNTIF($AA$2:$AA$9,Q483)+COUNTIF($AA$2:$AA$9,R483)+COUNTIF($AA$2:$AA$9,S483)+COUNTIF($AA$2:$AA$9,T483)+COUNTIF($AA$2:$AA$9,U483)+COUNTIF($AA$2:$AA$9,V483)+COUNTIF($AA$2:$AA$9,W483)+COUNTIF($AA$2:$AA$9,X483)</f>
        <v>7</v>
      </c>
      <c r="Z483" s="589"/>
      <c r="AA483" s="589"/>
      <c r="AB483" s="589"/>
      <c r="AC483" s="589"/>
      <c r="AD483" s="589"/>
      <c r="AE483" s="589"/>
      <c r="AF483" s="589"/>
      <c r="AG483" s="589"/>
      <c r="AH483" s="589"/>
      <c r="AI483" s="589"/>
      <c r="AJ483" s="589"/>
      <c r="AK483" s="589"/>
      <c r="AL483" s="589"/>
      <c r="AM483" s="589"/>
      <c r="AN483" s="589"/>
      <c r="AO483" s="589"/>
      <c r="AP483" s="589"/>
      <c r="AQ483" s="589"/>
      <c r="AR483" s="589"/>
      <c r="AS483" s="589"/>
      <c r="AT483" s="589"/>
      <c r="AU483" s="589"/>
      <c r="AV483" s="589"/>
      <c r="AW483" s="589"/>
      <c r="AX483" s="589"/>
      <c r="AY483" s="589"/>
      <c r="AZ483" s="589"/>
      <c r="BA483" s="589"/>
      <c r="BB483" s="589"/>
      <c r="BC483" s="589"/>
      <c r="BD483" s="589"/>
      <c r="BE483" s="589"/>
      <c r="BF483" s="589"/>
      <c r="BG483" s="589"/>
      <c r="BH483" s="589"/>
      <c r="BI483" s="589"/>
      <c r="BJ483" s="589"/>
      <c r="BK483" s="589"/>
      <c r="BL483" s="589"/>
    </row>
    <row r="484" spans="1:64" ht="14.25" customHeight="1">
      <c r="A484" s="691" t="s">
        <v>821</v>
      </c>
      <c r="B484" s="589"/>
      <c r="C484" s="589"/>
      <c r="D484" s="589"/>
      <c r="E484" s="589"/>
      <c r="F484" s="591">
        <v>483</v>
      </c>
      <c r="G484" s="691" t="s">
        <v>147</v>
      </c>
      <c r="H484" s="691" t="s">
        <v>217</v>
      </c>
      <c r="I484" s="691" t="s">
        <v>137</v>
      </c>
      <c r="J484" s="691" t="s">
        <v>157</v>
      </c>
      <c r="K484" s="691" t="s">
        <v>125</v>
      </c>
      <c r="L484" s="691" t="s">
        <v>177</v>
      </c>
      <c r="M484" s="691" t="s">
        <v>167</v>
      </c>
      <c r="N484" s="691" t="s">
        <v>227</v>
      </c>
      <c r="O484" s="589"/>
      <c r="P484" s="717" cm="1">
        <f t="array" ref="P484">F484</f>
        <v>483</v>
      </c>
      <c r="Q484" s="620" t="str" cm="1">
        <f t="array" ref="Q484">RIGHT(G484,1)</f>
        <v>C</v>
      </c>
      <c r="R484" s="590" t="str" cm="1">
        <f t="array" ref="R484">RIGHT(H484,1)</f>
        <v>J</v>
      </c>
      <c r="S484" s="590" t="str" cm="1">
        <f t="array" ref="S484">RIGHT(I484,1)</f>
        <v>B</v>
      </c>
      <c r="T484" s="590" t="str" cm="1">
        <f t="array" ref="T484">RIGHT(J484,1)</f>
        <v>D</v>
      </c>
      <c r="U484" s="590" t="str" cm="1">
        <f t="array" ref="U484">RIGHT(K484,1)</f>
        <v>A</v>
      </c>
      <c r="V484" s="590" t="str" cm="1">
        <f t="array" ref="V484">RIGHT(L484,1)</f>
        <v>F</v>
      </c>
      <c r="W484" s="590" t="str" cm="1">
        <f t="array" ref="W484">RIGHT(M484,1)</f>
        <v>E</v>
      </c>
      <c r="X484" s="590" t="str" cm="1">
        <f t="array" ref="X484">RIGHT(N484,1)</f>
        <v>K</v>
      </c>
      <c r="Y484" s="708" cm="1">
        <f t="array" ref="Y484">COUNTIF($AA$2:$AA$9,Q484)+COUNTIF($AA$2:$AA$9,R484)+COUNTIF($AA$2:$AA$9,S484)+COUNTIF($AA$2:$AA$9,T484)+COUNTIF($AA$2:$AA$9,U484)+COUNTIF($AA$2:$AA$9,V484)+COUNTIF($AA$2:$AA$9,W484)+COUNTIF($AA$2:$AA$9,X484)</f>
        <v>6</v>
      </c>
      <c r="Z484" s="589"/>
      <c r="AA484" s="589"/>
      <c r="AB484" s="589"/>
      <c r="AC484" s="589"/>
      <c r="AD484" s="589"/>
      <c r="AE484" s="589"/>
      <c r="AF484" s="589"/>
      <c r="AG484" s="589"/>
      <c r="AH484" s="589"/>
      <c r="AI484" s="589"/>
      <c r="AJ484" s="589"/>
      <c r="AK484" s="589"/>
      <c r="AL484" s="589"/>
      <c r="AM484" s="589"/>
      <c r="AN484" s="589"/>
      <c r="AO484" s="589"/>
      <c r="AP484" s="589"/>
      <c r="AQ484" s="589"/>
      <c r="AR484" s="589"/>
      <c r="AS484" s="589"/>
      <c r="AT484" s="589"/>
      <c r="AU484" s="589"/>
      <c r="AV484" s="589"/>
      <c r="AW484" s="589"/>
      <c r="AX484" s="589"/>
      <c r="AY484" s="589"/>
      <c r="AZ484" s="589"/>
      <c r="BA484" s="589"/>
      <c r="BB484" s="589"/>
      <c r="BC484" s="589"/>
      <c r="BD484" s="589"/>
      <c r="BE484" s="589"/>
      <c r="BF484" s="589"/>
      <c r="BG484" s="589"/>
      <c r="BH484" s="589"/>
      <c r="BI484" s="589"/>
      <c r="BJ484" s="589"/>
      <c r="BK484" s="589"/>
      <c r="BL484" s="589"/>
    </row>
    <row r="485" spans="1:64" ht="14.25" customHeight="1">
      <c r="A485" s="691" t="s">
        <v>822</v>
      </c>
      <c r="B485" s="589"/>
      <c r="C485" s="589"/>
      <c r="D485" s="589"/>
      <c r="E485" s="589"/>
      <c r="F485" s="591">
        <v>484</v>
      </c>
      <c r="G485" s="691" t="s">
        <v>147</v>
      </c>
      <c r="H485" s="691" t="s">
        <v>167</v>
      </c>
      <c r="I485" s="691" t="s">
        <v>137</v>
      </c>
      <c r="J485" s="691" t="s">
        <v>157</v>
      </c>
      <c r="K485" s="691" t="s">
        <v>125</v>
      </c>
      <c r="L485" s="691" t="s">
        <v>177</v>
      </c>
      <c r="M485" s="691" t="s">
        <v>237</v>
      </c>
      <c r="N485" s="691" t="s">
        <v>207</v>
      </c>
      <c r="O485" s="589"/>
      <c r="P485" s="717" cm="1">
        <f t="array" ref="P485">F485</f>
        <v>484</v>
      </c>
      <c r="Q485" s="620" t="str" cm="1">
        <f t="array" ref="Q485">RIGHT(G485,1)</f>
        <v>C</v>
      </c>
      <c r="R485" s="590" t="str" cm="1">
        <f t="array" ref="R485">RIGHT(H485,1)</f>
        <v>E</v>
      </c>
      <c r="S485" s="590" t="str" cm="1">
        <f t="array" ref="S485">RIGHT(I485,1)</f>
        <v>B</v>
      </c>
      <c r="T485" s="590" t="str" cm="1">
        <f t="array" ref="T485">RIGHT(J485,1)</f>
        <v>D</v>
      </c>
      <c r="U485" s="590" t="str" cm="1">
        <f t="array" ref="U485">RIGHT(K485,1)</f>
        <v>A</v>
      </c>
      <c r="V485" s="590" t="str" cm="1">
        <f t="array" ref="V485">RIGHT(L485,1)</f>
        <v>F</v>
      </c>
      <c r="W485" s="590" t="str" cm="1">
        <f t="array" ref="W485">RIGHT(M485,1)</f>
        <v>L</v>
      </c>
      <c r="X485" s="590" t="str" cm="1">
        <f t="array" ref="X485">RIGHT(N485,1)</f>
        <v>I</v>
      </c>
      <c r="Y485" s="708" cm="1">
        <f t="array" ref="Y485">COUNTIF($AA$2:$AA$9,Q485)+COUNTIF($AA$2:$AA$9,R485)+COUNTIF($AA$2:$AA$9,S485)+COUNTIF($AA$2:$AA$9,T485)+COUNTIF($AA$2:$AA$9,U485)+COUNTIF($AA$2:$AA$9,V485)+COUNTIF($AA$2:$AA$9,W485)+COUNTIF($AA$2:$AA$9,X485)</f>
        <v>7</v>
      </c>
      <c r="Z485" s="589"/>
      <c r="AA485" s="589"/>
      <c r="AB485" s="589"/>
      <c r="AC485" s="589"/>
      <c r="AD485" s="589"/>
      <c r="AE485" s="589"/>
      <c r="AF485" s="589"/>
      <c r="AG485" s="589"/>
      <c r="AH485" s="589"/>
      <c r="AI485" s="589"/>
      <c r="AJ485" s="589"/>
      <c r="AK485" s="589"/>
      <c r="AL485" s="589"/>
      <c r="AM485" s="589"/>
      <c r="AN485" s="589"/>
      <c r="AO485" s="589"/>
      <c r="AP485" s="589"/>
      <c r="AQ485" s="589"/>
      <c r="AR485" s="589"/>
      <c r="AS485" s="589"/>
      <c r="AT485" s="589"/>
      <c r="AU485" s="589"/>
      <c r="AV485" s="589"/>
      <c r="AW485" s="589"/>
      <c r="AX485" s="589"/>
      <c r="AY485" s="589"/>
      <c r="AZ485" s="589"/>
      <c r="BA485" s="589"/>
      <c r="BB485" s="589"/>
      <c r="BC485" s="589"/>
      <c r="BD485" s="589"/>
      <c r="BE485" s="589"/>
      <c r="BF485" s="589"/>
      <c r="BG485" s="589"/>
      <c r="BH485" s="589"/>
      <c r="BI485" s="589"/>
      <c r="BJ485" s="589"/>
      <c r="BK485" s="589"/>
      <c r="BL485" s="589"/>
    </row>
    <row r="486" spans="1:64" ht="14.25" customHeight="1">
      <c r="A486" s="691" t="s">
        <v>823</v>
      </c>
      <c r="B486" s="589"/>
      <c r="C486" s="589"/>
      <c r="D486" s="589"/>
      <c r="E486" s="589"/>
      <c r="F486" s="591">
        <v>485</v>
      </c>
      <c r="G486" s="691" t="s">
        <v>147</v>
      </c>
      <c r="H486" s="691" t="s">
        <v>167</v>
      </c>
      <c r="I486" s="691" t="s">
        <v>137</v>
      </c>
      <c r="J486" s="691" t="s">
        <v>157</v>
      </c>
      <c r="K486" s="691" t="s">
        <v>125</v>
      </c>
      <c r="L486" s="691" t="s">
        <v>177</v>
      </c>
      <c r="M486" s="691" t="s">
        <v>207</v>
      </c>
      <c r="N486" s="691" t="s">
        <v>227</v>
      </c>
      <c r="O486" s="589"/>
      <c r="P486" s="717" cm="1">
        <f t="array" ref="P486">F486</f>
        <v>485</v>
      </c>
      <c r="Q486" s="620" t="str" cm="1">
        <f t="array" ref="Q486">RIGHT(G486,1)</f>
        <v>C</v>
      </c>
      <c r="R486" s="590" t="str" cm="1">
        <f t="array" ref="R486">RIGHT(H486,1)</f>
        <v>E</v>
      </c>
      <c r="S486" s="590" t="str" cm="1">
        <f t="array" ref="S486">RIGHT(I486,1)</f>
        <v>B</v>
      </c>
      <c r="T486" s="590" t="str" cm="1">
        <f t="array" ref="T486">RIGHT(J486,1)</f>
        <v>D</v>
      </c>
      <c r="U486" s="590" t="str" cm="1">
        <f t="array" ref="U486">RIGHT(K486,1)</f>
        <v>A</v>
      </c>
      <c r="V486" s="590" t="str" cm="1">
        <f t="array" ref="V486">RIGHT(L486,1)</f>
        <v>F</v>
      </c>
      <c r="W486" s="590" t="str" cm="1">
        <f t="array" ref="W486">RIGHT(M486,1)</f>
        <v>I</v>
      </c>
      <c r="X486" s="590" t="str" cm="1">
        <f t="array" ref="X486">RIGHT(N486,1)</f>
        <v>K</v>
      </c>
      <c r="Y486" s="708" cm="1">
        <f t="array" ref="Y486">COUNTIF($AA$2:$AA$9,Q486)+COUNTIF($AA$2:$AA$9,R486)+COUNTIF($AA$2:$AA$9,S486)+COUNTIF($AA$2:$AA$9,T486)+COUNTIF($AA$2:$AA$9,U486)+COUNTIF($AA$2:$AA$9,V486)+COUNTIF($AA$2:$AA$9,W486)+COUNTIF($AA$2:$AA$9,X486)</f>
        <v>6</v>
      </c>
      <c r="Z486" s="589"/>
      <c r="AA486" s="589"/>
      <c r="AB486" s="589"/>
      <c r="AC486" s="589"/>
      <c r="AD486" s="589"/>
      <c r="AE486" s="589"/>
      <c r="AF486" s="589"/>
      <c r="AG486" s="589"/>
      <c r="AH486" s="589"/>
      <c r="AI486" s="589"/>
      <c r="AJ486" s="589"/>
      <c r="AK486" s="589"/>
      <c r="AL486" s="589"/>
      <c r="AM486" s="589"/>
      <c r="AN486" s="589"/>
      <c r="AO486" s="589"/>
      <c r="AP486" s="589"/>
      <c r="AQ486" s="589"/>
      <c r="AR486" s="589"/>
      <c r="AS486" s="589"/>
      <c r="AT486" s="589"/>
      <c r="AU486" s="589"/>
      <c r="AV486" s="589"/>
      <c r="AW486" s="589"/>
      <c r="AX486" s="589"/>
      <c r="AY486" s="589"/>
      <c r="AZ486" s="589"/>
      <c r="BA486" s="589"/>
      <c r="BB486" s="589"/>
      <c r="BC486" s="589"/>
      <c r="BD486" s="589"/>
      <c r="BE486" s="589"/>
      <c r="BF486" s="589"/>
      <c r="BG486" s="589"/>
      <c r="BH486" s="589"/>
      <c r="BI486" s="589"/>
      <c r="BJ486" s="589"/>
      <c r="BK486" s="589"/>
      <c r="BL486" s="589"/>
    </row>
    <row r="487" spans="1:64" ht="14.25" customHeight="1">
      <c r="A487" s="691" t="s">
        <v>824</v>
      </c>
      <c r="B487" s="589"/>
      <c r="C487" s="589"/>
      <c r="D487" s="589"/>
      <c r="E487" s="589"/>
      <c r="F487" s="591">
        <v>486</v>
      </c>
      <c r="G487" s="691" t="s">
        <v>147</v>
      </c>
      <c r="H487" s="691" t="s">
        <v>217</v>
      </c>
      <c r="I487" s="691" t="s">
        <v>137</v>
      </c>
      <c r="J487" s="691" t="s">
        <v>157</v>
      </c>
      <c r="K487" s="691" t="s">
        <v>125</v>
      </c>
      <c r="L487" s="691" t="s">
        <v>177</v>
      </c>
      <c r="M487" s="691" t="s">
        <v>167</v>
      </c>
      <c r="N487" s="691" t="s">
        <v>207</v>
      </c>
      <c r="O487" s="589"/>
      <c r="P487" s="717" cm="1">
        <f t="array" ref="P487">F487</f>
        <v>486</v>
      </c>
      <c r="Q487" s="620" t="str" cm="1">
        <f t="array" ref="Q487">RIGHT(G487,1)</f>
        <v>C</v>
      </c>
      <c r="R487" s="590" t="str" cm="1">
        <f t="array" ref="R487">RIGHT(H487,1)</f>
        <v>J</v>
      </c>
      <c r="S487" s="590" t="str" cm="1">
        <f t="array" ref="S487">RIGHT(I487,1)</f>
        <v>B</v>
      </c>
      <c r="T487" s="590" t="str" cm="1">
        <f t="array" ref="T487">RIGHT(J487,1)</f>
        <v>D</v>
      </c>
      <c r="U487" s="590" t="str" cm="1">
        <f t="array" ref="U487">RIGHT(K487,1)</f>
        <v>A</v>
      </c>
      <c r="V487" s="590" t="str" cm="1">
        <f t="array" ref="V487">RIGHT(L487,1)</f>
        <v>F</v>
      </c>
      <c r="W487" s="590" t="str" cm="1">
        <f t="array" ref="W487">RIGHT(M487,1)</f>
        <v>E</v>
      </c>
      <c r="X487" s="590" t="str" cm="1">
        <f t="array" ref="X487">RIGHT(N487,1)</f>
        <v>I</v>
      </c>
      <c r="Y487" s="708" cm="1">
        <f t="array" ref="Y487">COUNTIF($AA$2:$AA$9,Q487)+COUNTIF($AA$2:$AA$9,R487)+COUNTIF($AA$2:$AA$9,S487)+COUNTIF($AA$2:$AA$9,T487)+COUNTIF($AA$2:$AA$9,U487)+COUNTIF($AA$2:$AA$9,V487)+COUNTIF($AA$2:$AA$9,W487)+COUNTIF($AA$2:$AA$9,X487)</f>
        <v>7</v>
      </c>
      <c r="Z487" s="589"/>
      <c r="AA487" s="589"/>
      <c r="AB487" s="589"/>
      <c r="AC487" s="589"/>
      <c r="AD487" s="589"/>
      <c r="AE487" s="589"/>
      <c r="AF487" s="589"/>
      <c r="AG487" s="589"/>
      <c r="AH487" s="589"/>
      <c r="AI487" s="589"/>
      <c r="AJ487" s="589"/>
      <c r="AK487" s="589"/>
      <c r="AL487" s="589"/>
      <c r="AM487" s="589"/>
      <c r="AN487" s="589"/>
      <c r="AO487" s="589"/>
      <c r="AP487" s="589"/>
      <c r="AQ487" s="589"/>
      <c r="AR487" s="589"/>
      <c r="AS487" s="589"/>
      <c r="AT487" s="589"/>
      <c r="AU487" s="589"/>
      <c r="AV487" s="589"/>
      <c r="AW487" s="589"/>
      <c r="AX487" s="589"/>
      <c r="AY487" s="589"/>
      <c r="AZ487" s="589"/>
      <c r="BA487" s="589"/>
      <c r="BB487" s="589"/>
      <c r="BC487" s="589"/>
      <c r="BD487" s="589"/>
      <c r="BE487" s="589"/>
      <c r="BF487" s="589"/>
      <c r="BG487" s="589"/>
      <c r="BH487" s="589"/>
      <c r="BI487" s="589"/>
      <c r="BJ487" s="589"/>
      <c r="BK487" s="589"/>
      <c r="BL487" s="589"/>
    </row>
    <row r="488" spans="1:64" ht="14.25" customHeight="1">
      <c r="A488" s="691" t="s">
        <v>825</v>
      </c>
      <c r="B488" s="589"/>
      <c r="C488" s="589"/>
      <c r="D488" s="589"/>
      <c r="E488" s="589"/>
      <c r="F488" s="591">
        <v>487</v>
      </c>
      <c r="G488" s="691" t="s">
        <v>197</v>
      </c>
      <c r="H488" s="691" t="s">
        <v>177</v>
      </c>
      <c r="I488" s="691" t="s">
        <v>137</v>
      </c>
      <c r="J488" s="691" t="s">
        <v>147</v>
      </c>
      <c r="K488" s="691" t="s">
        <v>125</v>
      </c>
      <c r="L488" s="691" t="s">
        <v>157</v>
      </c>
      <c r="M488" s="691" t="s">
        <v>237</v>
      </c>
      <c r="N488" s="691" t="s">
        <v>167</v>
      </c>
      <c r="O488" s="589"/>
      <c r="P488" s="717" cm="1">
        <f t="array" ref="P488">F488</f>
        <v>487</v>
      </c>
      <c r="Q488" s="620" t="str" cm="1">
        <f t="array" ref="Q488">RIGHT(G488,1)</f>
        <v>H</v>
      </c>
      <c r="R488" s="590" t="str" cm="1">
        <f t="array" ref="R488">RIGHT(H488,1)</f>
        <v>F</v>
      </c>
      <c r="S488" s="590" t="str" cm="1">
        <f t="array" ref="S488">RIGHT(I488,1)</f>
        <v>B</v>
      </c>
      <c r="T488" s="590" t="str" cm="1">
        <f t="array" ref="T488">RIGHT(J488,1)</f>
        <v>C</v>
      </c>
      <c r="U488" s="590" t="str" cm="1">
        <f t="array" ref="U488">RIGHT(K488,1)</f>
        <v>A</v>
      </c>
      <c r="V488" s="590" t="str" cm="1">
        <f t="array" ref="V488">RIGHT(L488,1)</f>
        <v>D</v>
      </c>
      <c r="W488" s="590" t="str" cm="1">
        <f t="array" ref="W488">RIGHT(M488,1)</f>
        <v>L</v>
      </c>
      <c r="X488" s="590" t="str" cm="1">
        <f t="array" ref="X488">RIGHT(N488,1)</f>
        <v>E</v>
      </c>
      <c r="Y488" s="708" cm="1">
        <f t="array" ref="Y488">COUNTIF($AA$2:$AA$9,Q488)+COUNTIF($AA$2:$AA$9,R488)+COUNTIF($AA$2:$AA$9,S488)+COUNTIF($AA$2:$AA$9,T488)+COUNTIF($AA$2:$AA$9,U488)+COUNTIF($AA$2:$AA$9,V488)+COUNTIF($AA$2:$AA$9,W488)+COUNTIF($AA$2:$AA$9,X488)</f>
        <v>6</v>
      </c>
      <c r="Z488" s="589"/>
      <c r="AA488" s="589"/>
      <c r="AB488" s="589"/>
      <c r="AC488" s="589"/>
      <c r="AD488" s="589"/>
      <c r="AE488" s="589"/>
      <c r="AF488" s="589"/>
      <c r="AG488" s="589"/>
      <c r="AH488" s="589"/>
      <c r="AI488" s="589"/>
      <c r="AJ488" s="589"/>
      <c r="AK488" s="589"/>
      <c r="AL488" s="589"/>
      <c r="AM488" s="589"/>
      <c r="AN488" s="589"/>
      <c r="AO488" s="589"/>
      <c r="AP488" s="589"/>
      <c r="AQ488" s="589"/>
      <c r="AR488" s="589"/>
      <c r="AS488" s="589"/>
      <c r="AT488" s="589"/>
      <c r="AU488" s="589"/>
      <c r="AV488" s="589"/>
      <c r="AW488" s="589"/>
      <c r="AX488" s="589"/>
      <c r="AY488" s="589"/>
      <c r="AZ488" s="589"/>
      <c r="BA488" s="589"/>
      <c r="BB488" s="589"/>
      <c r="BC488" s="589"/>
      <c r="BD488" s="589"/>
      <c r="BE488" s="589"/>
      <c r="BF488" s="589"/>
      <c r="BG488" s="589"/>
      <c r="BH488" s="589"/>
      <c r="BI488" s="589"/>
      <c r="BJ488" s="589"/>
      <c r="BK488" s="589"/>
      <c r="BL488" s="589"/>
    </row>
    <row r="489" spans="1:64" ht="14.25" customHeight="1">
      <c r="A489" s="691" t="s">
        <v>826</v>
      </c>
      <c r="B489" s="589"/>
      <c r="C489" s="589"/>
      <c r="D489" s="589"/>
      <c r="E489" s="589"/>
      <c r="F489" s="591">
        <v>488</v>
      </c>
      <c r="G489" s="691" t="s">
        <v>197</v>
      </c>
      <c r="H489" s="691" t="s">
        <v>167</v>
      </c>
      <c r="I489" s="691" t="s">
        <v>137</v>
      </c>
      <c r="J489" s="691" t="s">
        <v>147</v>
      </c>
      <c r="K489" s="691" t="s">
        <v>125</v>
      </c>
      <c r="L489" s="691" t="s">
        <v>177</v>
      </c>
      <c r="M489" s="691" t="s">
        <v>157</v>
      </c>
      <c r="N489" s="691" t="s">
        <v>227</v>
      </c>
      <c r="O489" s="589"/>
      <c r="P489" s="717" cm="1">
        <f t="array" ref="P489">F489</f>
        <v>488</v>
      </c>
      <c r="Q489" s="620" t="str" cm="1">
        <f t="array" ref="Q489">RIGHT(G489,1)</f>
        <v>H</v>
      </c>
      <c r="R489" s="590" t="str" cm="1">
        <f t="array" ref="R489">RIGHT(H489,1)</f>
        <v>E</v>
      </c>
      <c r="S489" s="590" t="str" cm="1">
        <f t="array" ref="S489">RIGHT(I489,1)</f>
        <v>B</v>
      </c>
      <c r="T489" s="590" t="str" cm="1">
        <f t="array" ref="T489">RIGHT(J489,1)</f>
        <v>C</v>
      </c>
      <c r="U489" s="590" t="str" cm="1">
        <f t="array" ref="U489">RIGHT(K489,1)</f>
        <v>A</v>
      </c>
      <c r="V489" s="590" t="str" cm="1">
        <f t="array" ref="V489">RIGHT(L489,1)</f>
        <v>F</v>
      </c>
      <c r="W489" s="590" t="str" cm="1">
        <f t="array" ref="W489">RIGHT(M489,1)</f>
        <v>D</v>
      </c>
      <c r="X489" s="590" t="str" cm="1">
        <f t="array" ref="X489">RIGHT(N489,1)</f>
        <v>K</v>
      </c>
      <c r="Y489" s="708" cm="1">
        <f t="array" ref="Y489">COUNTIF($AA$2:$AA$9,Q489)+COUNTIF($AA$2:$AA$9,R489)+COUNTIF($AA$2:$AA$9,S489)+COUNTIF($AA$2:$AA$9,T489)+COUNTIF($AA$2:$AA$9,U489)+COUNTIF($AA$2:$AA$9,V489)+COUNTIF($AA$2:$AA$9,W489)+COUNTIF($AA$2:$AA$9,X489)</f>
        <v>5</v>
      </c>
      <c r="Z489" s="589"/>
      <c r="AA489" s="589"/>
      <c r="AB489" s="589"/>
      <c r="AC489" s="589"/>
      <c r="AD489" s="589"/>
      <c r="AE489" s="589"/>
      <c r="AF489" s="589"/>
      <c r="AG489" s="589"/>
      <c r="AH489" s="589"/>
      <c r="AI489" s="589"/>
      <c r="AJ489" s="589"/>
      <c r="AK489" s="589"/>
      <c r="AL489" s="589"/>
      <c r="AM489" s="589"/>
      <c r="AN489" s="589"/>
      <c r="AO489" s="589"/>
      <c r="AP489" s="589"/>
      <c r="AQ489" s="589"/>
      <c r="AR489" s="589"/>
      <c r="AS489" s="589"/>
      <c r="AT489" s="589"/>
      <c r="AU489" s="589"/>
      <c r="AV489" s="589"/>
      <c r="AW489" s="589"/>
      <c r="AX489" s="589"/>
      <c r="AY489" s="589"/>
      <c r="AZ489" s="589"/>
      <c r="BA489" s="589"/>
      <c r="BB489" s="589"/>
      <c r="BC489" s="589"/>
      <c r="BD489" s="589"/>
      <c r="BE489" s="589"/>
      <c r="BF489" s="589"/>
      <c r="BG489" s="589"/>
      <c r="BH489" s="589"/>
      <c r="BI489" s="589"/>
      <c r="BJ489" s="589"/>
      <c r="BK489" s="589"/>
      <c r="BL489" s="589"/>
    </row>
    <row r="490" spans="1:64" ht="14.25" customHeight="1">
      <c r="A490" s="691" t="s">
        <v>827</v>
      </c>
      <c r="B490" s="589"/>
      <c r="C490" s="589"/>
      <c r="D490" s="589"/>
      <c r="E490" s="589"/>
      <c r="F490" s="591">
        <v>489</v>
      </c>
      <c r="G490" s="691" t="s">
        <v>197</v>
      </c>
      <c r="H490" s="691" t="s">
        <v>217</v>
      </c>
      <c r="I490" s="691" t="s">
        <v>137</v>
      </c>
      <c r="J490" s="691" t="s">
        <v>147</v>
      </c>
      <c r="K490" s="691" t="s">
        <v>125</v>
      </c>
      <c r="L490" s="691" t="s">
        <v>177</v>
      </c>
      <c r="M490" s="691" t="s">
        <v>157</v>
      </c>
      <c r="N490" s="691" t="s">
        <v>167</v>
      </c>
      <c r="O490" s="589"/>
      <c r="P490" s="717" cm="1">
        <f t="array" ref="P490">F490</f>
        <v>489</v>
      </c>
      <c r="Q490" s="620" t="str" cm="1">
        <f t="array" ref="Q490">RIGHT(G490,1)</f>
        <v>H</v>
      </c>
      <c r="R490" s="590" t="str" cm="1">
        <f t="array" ref="R490">RIGHT(H490,1)</f>
        <v>J</v>
      </c>
      <c r="S490" s="590" t="str" cm="1">
        <f t="array" ref="S490">RIGHT(I490,1)</f>
        <v>B</v>
      </c>
      <c r="T490" s="590" t="str" cm="1">
        <f t="array" ref="T490">RIGHT(J490,1)</f>
        <v>C</v>
      </c>
      <c r="U490" s="590" t="str" cm="1">
        <f t="array" ref="U490">RIGHT(K490,1)</f>
        <v>A</v>
      </c>
      <c r="V490" s="590" t="str" cm="1">
        <f t="array" ref="V490">RIGHT(L490,1)</f>
        <v>F</v>
      </c>
      <c r="W490" s="590" t="str" cm="1">
        <f t="array" ref="W490">RIGHT(M490,1)</f>
        <v>D</v>
      </c>
      <c r="X490" s="590" t="str" cm="1">
        <f t="array" ref="X490">RIGHT(N490,1)</f>
        <v>E</v>
      </c>
      <c r="Y490" s="708" cm="1">
        <f t="array" ref="Y490">COUNTIF($AA$2:$AA$9,Q490)+COUNTIF($AA$2:$AA$9,R490)+COUNTIF($AA$2:$AA$9,S490)+COUNTIF($AA$2:$AA$9,T490)+COUNTIF($AA$2:$AA$9,U490)+COUNTIF($AA$2:$AA$9,V490)+COUNTIF($AA$2:$AA$9,W490)+COUNTIF($AA$2:$AA$9,X490)</f>
        <v>6</v>
      </c>
      <c r="Z490" s="589"/>
      <c r="AA490" s="589"/>
      <c r="AB490" s="589"/>
      <c r="AC490" s="589"/>
      <c r="AD490" s="589"/>
      <c r="AE490" s="589"/>
      <c r="AF490" s="589"/>
      <c r="AG490" s="589"/>
      <c r="AH490" s="589"/>
      <c r="AI490" s="589"/>
      <c r="AJ490" s="589"/>
      <c r="AK490" s="589"/>
      <c r="AL490" s="589"/>
      <c r="AM490" s="589"/>
      <c r="AN490" s="589"/>
      <c r="AO490" s="589"/>
      <c r="AP490" s="589"/>
      <c r="AQ490" s="589"/>
      <c r="AR490" s="589"/>
      <c r="AS490" s="589"/>
      <c r="AT490" s="589"/>
      <c r="AU490" s="589"/>
      <c r="AV490" s="589"/>
      <c r="AW490" s="589"/>
      <c r="AX490" s="589"/>
      <c r="AY490" s="589"/>
      <c r="AZ490" s="589"/>
      <c r="BA490" s="589"/>
      <c r="BB490" s="589"/>
      <c r="BC490" s="589"/>
      <c r="BD490" s="589"/>
      <c r="BE490" s="589"/>
      <c r="BF490" s="589"/>
      <c r="BG490" s="589"/>
      <c r="BH490" s="589"/>
      <c r="BI490" s="589"/>
      <c r="BJ490" s="589"/>
      <c r="BK490" s="589"/>
      <c r="BL490" s="589"/>
    </row>
    <row r="491" spans="1:64" ht="14.25" customHeight="1">
      <c r="A491" s="691" t="s">
        <v>828</v>
      </c>
      <c r="B491" s="589"/>
      <c r="C491" s="589"/>
      <c r="D491" s="589"/>
      <c r="E491" s="589"/>
      <c r="F491" s="591">
        <v>490</v>
      </c>
      <c r="G491" s="691" t="s">
        <v>197</v>
      </c>
      <c r="H491" s="691" t="s">
        <v>167</v>
      </c>
      <c r="I491" s="691" t="s">
        <v>137</v>
      </c>
      <c r="J491" s="691" t="s">
        <v>147</v>
      </c>
      <c r="K491" s="691" t="s">
        <v>125</v>
      </c>
      <c r="L491" s="691" t="s">
        <v>177</v>
      </c>
      <c r="M491" s="691" t="s">
        <v>157</v>
      </c>
      <c r="N491" s="691" t="s">
        <v>207</v>
      </c>
      <c r="O491" s="589"/>
      <c r="P491" s="717" cm="1">
        <f t="array" ref="P491">F491</f>
        <v>490</v>
      </c>
      <c r="Q491" s="620" t="str" cm="1">
        <f t="array" ref="Q491">RIGHT(G491,1)</f>
        <v>H</v>
      </c>
      <c r="R491" s="590" t="str" cm="1">
        <f t="array" ref="R491">RIGHT(H491,1)</f>
        <v>E</v>
      </c>
      <c r="S491" s="590" t="str" cm="1">
        <f t="array" ref="S491">RIGHT(I491,1)</f>
        <v>B</v>
      </c>
      <c r="T491" s="590" t="str" cm="1">
        <f t="array" ref="T491">RIGHT(J491,1)</f>
        <v>C</v>
      </c>
      <c r="U491" s="590" t="str" cm="1">
        <f t="array" ref="U491">RIGHT(K491,1)</f>
        <v>A</v>
      </c>
      <c r="V491" s="590" t="str" cm="1">
        <f t="array" ref="V491">RIGHT(L491,1)</f>
        <v>F</v>
      </c>
      <c r="W491" s="590" t="str" cm="1">
        <f t="array" ref="W491">RIGHT(M491,1)</f>
        <v>D</v>
      </c>
      <c r="X491" s="590" t="str" cm="1">
        <f t="array" ref="X491">RIGHT(N491,1)</f>
        <v>I</v>
      </c>
      <c r="Y491" s="708" cm="1">
        <f t="array" ref="Y491">COUNTIF($AA$2:$AA$9,Q491)+COUNTIF($AA$2:$AA$9,R491)+COUNTIF($AA$2:$AA$9,S491)+COUNTIF($AA$2:$AA$9,T491)+COUNTIF($AA$2:$AA$9,U491)+COUNTIF($AA$2:$AA$9,V491)+COUNTIF($AA$2:$AA$9,W491)+COUNTIF($AA$2:$AA$9,X491)</f>
        <v>6</v>
      </c>
      <c r="Z491" s="589"/>
      <c r="AA491" s="589"/>
      <c r="AB491" s="589"/>
      <c r="AC491" s="589"/>
      <c r="AD491" s="589"/>
      <c r="AE491" s="589"/>
      <c r="AF491" s="589"/>
      <c r="AG491" s="589"/>
      <c r="AH491" s="589"/>
      <c r="AI491" s="589"/>
      <c r="AJ491" s="589"/>
      <c r="AK491" s="589"/>
      <c r="AL491" s="589"/>
      <c r="AM491" s="589"/>
      <c r="AN491" s="589"/>
      <c r="AO491" s="589"/>
      <c r="AP491" s="589"/>
      <c r="AQ491" s="589"/>
      <c r="AR491" s="589"/>
      <c r="AS491" s="589"/>
      <c r="AT491" s="589"/>
      <c r="AU491" s="589"/>
      <c r="AV491" s="589"/>
      <c r="AW491" s="589"/>
      <c r="AX491" s="589"/>
      <c r="AY491" s="589"/>
      <c r="AZ491" s="589"/>
      <c r="BA491" s="589"/>
      <c r="BB491" s="589"/>
      <c r="BC491" s="589"/>
      <c r="BD491" s="589"/>
      <c r="BE491" s="589"/>
      <c r="BF491" s="589"/>
      <c r="BG491" s="589"/>
      <c r="BH491" s="589"/>
      <c r="BI491" s="589"/>
      <c r="BJ491" s="589"/>
      <c r="BK491" s="589"/>
      <c r="BL491" s="589"/>
    </row>
    <row r="492" spans="1:64" ht="14.25" customHeight="1">
      <c r="A492" s="691" t="s">
        <v>829</v>
      </c>
      <c r="B492" s="589"/>
      <c r="C492" s="589"/>
      <c r="D492" s="589"/>
      <c r="E492" s="589"/>
      <c r="F492" s="591">
        <v>491</v>
      </c>
      <c r="G492" s="691" t="s">
        <v>147</v>
      </c>
      <c r="H492" s="691" t="s">
        <v>187</v>
      </c>
      <c r="I492" s="691" t="s">
        <v>137</v>
      </c>
      <c r="J492" s="691" t="s">
        <v>157</v>
      </c>
      <c r="K492" s="691" t="s">
        <v>125</v>
      </c>
      <c r="L492" s="691" t="s">
        <v>177</v>
      </c>
      <c r="M492" s="691" t="s">
        <v>237</v>
      </c>
      <c r="N492" s="691" t="s">
        <v>167</v>
      </c>
      <c r="O492" s="589"/>
      <c r="P492" s="717" cm="1">
        <f t="array" ref="P492">F492</f>
        <v>491</v>
      </c>
      <c r="Q492" s="620" t="str" cm="1">
        <f t="array" ref="Q492">RIGHT(G492,1)</f>
        <v>C</v>
      </c>
      <c r="R492" s="590" t="str" cm="1">
        <f t="array" ref="R492">RIGHT(H492,1)</f>
        <v>G</v>
      </c>
      <c r="S492" s="590" t="str" cm="1">
        <f t="array" ref="S492">RIGHT(I492,1)</f>
        <v>B</v>
      </c>
      <c r="T492" s="590" t="str" cm="1">
        <f t="array" ref="T492">RIGHT(J492,1)</f>
        <v>D</v>
      </c>
      <c r="U492" s="590" t="str" cm="1">
        <f t="array" ref="U492">RIGHT(K492,1)</f>
        <v>A</v>
      </c>
      <c r="V492" s="590" t="str" cm="1">
        <f t="array" ref="V492">RIGHT(L492,1)</f>
        <v>F</v>
      </c>
      <c r="W492" s="590" t="str" cm="1">
        <f t="array" ref="W492">RIGHT(M492,1)</f>
        <v>L</v>
      </c>
      <c r="X492" s="590" t="str" cm="1">
        <f t="array" ref="X492">RIGHT(N492,1)</f>
        <v>E</v>
      </c>
      <c r="Y492" s="708" cm="1">
        <f t="array" ref="Y492">COUNTIF($AA$2:$AA$9,Q492)+COUNTIF($AA$2:$AA$9,R492)+COUNTIF($AA$2:$AA$9,S492)+COUNTIF($AA$2:$AA$9,T492)+COUNTIF($AA$2:$AA$9,U492)+COUNTIF($AA$2:$AA$9,V492)+COUNTIF($AA$2:$AA$9,W492)+COUNTIF($AA$2:$AA$9,X492)</f>
        <v>6</v>
      </c>
      <c r="Z492" s="589"/>
      <c r="AA492" s="589"/>
      <c r="AB492" s="589"/>
      <c r="AC492" s="589"/>
      <c r="AD492" s="589"/>
      <c r="AE492" s="589"/>
      <c r="AF492" s="589"/>
      <c r="AG492" s="589"/>
      <c r="AH492" s="589"/>
      <c r="AI492" s="589"/>
      <c r="AJ492" s="589"/>
      <c r="AK492" s="589"/>
      <c r="AL492" s="589"/>
      <c r="AM492" s="589"/>
      <c r="AN492" s="589"/>
      <c r="AO492" s="589"/>
      <c r="AP492" s="589"/>
      <c r="AQ492" s="589"/>
      <c r="AR492" s="589"/>
      <c r="AS492" s="589"/>
      <c r="AT492" s="589"/>
      <c r="AU492" s="589"/>
      <c r="AV492" s="589"/>
      <c r="AW492" s="589"/>
      <c r="AX492" s="589"/>
      <c r="AY492" s="589"/>
      <c r="AZ492" s="589"/>
      <c r="BA492" s="589"/>
      <c r="BB492" s="589"/>
      <c r="BC492" s="589"/>
      <c r="BD492" s="589"/>
      <c r="BE492" s="589"/>
      <c r="BF492" s="589"/>
      <c r="BG492" s="589"/>
      <c r="BH492" s="589"/>
      <c r="BI492" s="589"/>
      <c r="BJ492" s="589"/>
      <c r="BK492" s="589"/>
      <c r="BL492" s="589"/>
    </row>
    <row r="493" spans="1:64" ht="14.25" customHeight="1">
      <c r="A493" s="691" t="s">
        <v>830</v>
      </c>
      <c r="B493" s="589"/>
      <c r="C493" s="589"/>
      <c r="D493" s="589"/>
      <c r="E493" s="589"/>
      <c r="F493" s="591">
        <v>492</v>
      </c>
      <c r="G493" s="691" t="s">
        <v>147</v>
      </c>
      <c r="H493" s="691" t="s">
        <v>187</v>
      </c>
      <c r="I493" s="691" t="s">
        <v>137</v>
      </c>
      <c r="J493" s="691" t="s">
        <v>157</v>
      </c>
      <c r="K493" s="691" t="s">
        <v>125</v>
      </c>
      <c r="L493" s="691" t="s">
        <v>177</v>
      </c>
      <c r="M493" s="691" t="s">
        <v>167</v>
      </c>
      <c r="N493" s="691" t="s">
        <v>227</v>
      </c>
      <c r="O493" s="589"/>
      <c r="P493" s="717" cm="1">
        <f t="array" ref="P493">F493</f>
        <v>492</v>
      </c>
      <c r="Q493" s="620" t="str" cm="1">
        <f t="array" ref="Q493">RIGHT(G493,1)</f>
        <v>C</v>
      </c>
      <c r="R493" s="590" t="str" cm="1">
        <f t="array" ref="R493">RIGHT(H493,1)</f>
        <v>G</v>
      </c>
      <c r="S493" s="590" t="str" cm="1">
        <f t="array" ref="S493">RIGHT(I493,1)</f>
        <v>B</v>
      </c>
      <c r="T493" s="590" t="str" cm="1">
        <f t="array" ref="T493">RIGHT(J493,1)</f>
        <v>D</v>
      </c>
      <c r="U493" s="590" t="str" cm="1">
        <f t="array" ref="U493">RIGHT(K493,1)</f>
        <v>A</v>
      </c>
      <c r="V493" s="590" t="str" cm="1">
        <f t="array" ref="V493">RIGHT(L493,1)</f>
        <v>F</v>
      </c>
      <c r="W493" s="590" t="str" cm="1">
        <f t="array" ref="W493">RIGHT(M493,1)</f>
        <v>E</v>
      </c>
      <c r="X493" s="590" t="str" cm="1">
        <f t="array" ref="X493">RIGHT(N493,1)</f>
        <v>K</v>
      </c>
      <c r="Y493" s="708" cm="1">
        <f t="array" ref="Y493">COUNTIF($AA$2:$AA$9,Q493)+COUNTIF($AA$2:$AA$9,R493)+COUNTIF($AA$2:$AA$9,S493)+COUNTIF($AA$2:$AA$9,T493)+COUNTIF($AA$2:$AA$9,U493)+COUNTIF($AA$2:$AA$9,V493)+COUNTIF($AA$2:$AA$9,W493)+COUNTIF($AA$2:$AA$9,X493)</f>
        <v>5</v>
      </c>
      <c r="Z493" s="589"/>
      <c r="AA493" s="589"/>
      <c r="AB493" s="589"/>
      <c r="AC493" s="589"/>
      <c r="AD493" s="589"/>
      <c r="AE493" s="589"/>
      <c r="AF493" s="589"/>
      <c r="AG493" s="589"/>
      <c r="AH493" s="589"/>
      <c r="AI493" s="589"/>
      <c r="AJ493" s="589"/>
      <c r="AK493" s="589"/>
      <c r="AL493" s="589"/>
      <c r="AM493" s="589"/>
      <c r="AN493" s="589"/>
      <c r="AO493" s="589"/>
      <c r="AP493" s="589"/>
      <c r="AQ493" s="589"/>
      <c r="AR493" s="589"/>
      <c r="AS493" s="589"/>
      <c r="AT493" s="589"/>
      <c r="AU493" s="589"/>
      <c r="AV493" s="589"/>
      <c r="AW493" s="589"/>
      <c r="AX493" s="589"/>
      <c r="AY493" s="589"/>
      <c r="AZ493" s="589"/>
      <c r="BA493" s="589"/>
      <c r="BB493" s="589"/>
      <c r="BC493" s="589"/>
      <c r="BD493" s="589"/>
      <c r="BE493" s="589"/>
      <c r="BF493" s="589"/>
      <c r="BG493" s="589"/>
      <c r="BH493" s="589"/>
      <c r="BI493" s="589"/>
      <c r="BJ493" s="589"/>
      <c r="BK493" s="589"/>
      <c r="BL493" s="589"/>
    </row>
    <row r="494" spans="1:64" ht="14.25" customHeight="1">
      <c r="A494" s="691" t="s">
        <v>831</v>
      </c>
      <c r="B494" s="589"/>
      <c r="C494" s="589"/>
      <c r="D494" s="589"/>
      <c r="E494" s="589"/>
      <c r="F494" s="591">
        <v>493</v>
      </c>
      <c r="G494" s="691" t="s">
        <v>147</v>
      </c>
      <c r="H494" s="691" t="s">
        <v>187</v>
      </c>
      <c r="I494" s="691" t="s">
        <v>137</v>
      </c>
      <c r="J494" s="691" t="s">
        <v>157</v>
      </c>
      <c r="K494" s="691" t="s">
        <v>125</v>
      </c>
      <c r="L494" s="691" t="s">
        <v>177</v>
      </c>
      <c r="M494" s="691" t="s">
        <v>167</v>
      </c>
      <c r="N494" s="691" t="s">
        <v>217</v>
      </c>
      <c r="O494" s="589"/>
      <c r="P494" s="717" cm="1">
        <f t="array" ref="P494">F494</f>
        <v>493</v>
      </c>
      <c r="Q494" s="620" t="str" cm="1">
        <f t="array" ref="Q494">RIGHT(G494,1)</f>
        <v>C</v>
      </c>
      <c r="R494" s="590" t="str" cm="1">
        <f t="array" ref="R494">RIGHT(H494,1)</f>
        <v>G</v>
      </c>
      <c r="S494" s="590" t="str" cm="1">
        <f t="array" ref="S494">RIGHT(I494,1)</f>
        <v>B</v>
      </c>
      <c r="T494" s="590" t="str" cm="1">
        <f t="array" ref="T494">RIGHT(J494,1)</f>
        <v>D</v>
      </c>
      <c r="U494" s="590" t="str" cm="1">
        <f t="array" ref="U494">RIGHT(K494,1)</f>
        <v>A</v>
      </c>
      <c r="V494" s="590" t="str" cm="1">
        <f t="array" ref="V494">RIGHT(L494,1)</f>
        <v>F</v>
      </c>
      <c r="W494" s="590" t="str" cm="1">
        <f t="array" ref="W494">RIGHT(M494,1)</f>
        <v>E</v>
      </c>
      <c r="X494" s="590" t="str" cm="1">
        <f t="array" ref="X494">RIGHT(N494,1)</f>
        <v>J</v>
      </c>
      <c r="Y494" s="708" cm="1">
        <f t="array" ref="Y494">COUNTIF($AA$2:$AA$9,Q494)+COUNTIF($AA$2:$AA$9,R494)+COUNTIF($AA$2:$AA$9,S494)+COUNTIF($AA$2:$AA$9,T494)+COUNTIF($AA$2:$AA$9,U494)+COUNTIF($AA$2:$AA$9,V494)+COUNTIF($AA$2:$AA$9,W494)+COUNTIF($AA$2:$AA$9,X494)</f>
        <v>6</v>
      </c>
      <c r="Z494" s="589"/>
      <c r="AA494" s="589"/>
      <c r="AB494" s="589"/>
      <c r="AC494" s="589"/>
      <c r="AD494" s="589"/>
      <c r="AE494" s="589"/>
      <c r="AF494" s="589"/>
      <c r="AG494" s="589"/>
      <c r="AH494" s="589"/>
      <c r="AI494" s="589"/>
      <c r="AJ494" s="589"/>
      <c r="AK494" s="589"/>
      <c r="AL494" s="589"/>
      <c r="AM494" s="589"/>
      <c r="AN494" s="589"/>
      <c r="AO494" s="589"/>
      <c r="AP494" s="589"/>
      <c r="AQ494" s="589"/>
      <c r="AR494" s="589"/>
      <c r="AS494" s="589"/>
      <c r="AT494" s="589"/>
      <c r="AU494" s="589"/>
      <c r="AV494" s="589"/>
      <c r="AW494" s="589"/>
      <c r="AX494" s="589"/>
      <c r="AY494" s="589"/>
      <c r="AZ494" s="589"/>
      <c r="BA494" s="589"/>
      <c r="BB494" s="589"/>
      <c r="BC494" s="589"/>
      <c r="BD494" s="589"/>
      <c r="BE494" s="589"/>
      <c r="BF494" s="589"/>
      <c r="BG494" s="589"/>
      <c r="BH494" s="589"/>
      <c r="BI494" s="589"/>
      <c r="BJ494" s="589"/>
      <c r="BK494" s="589"/>
      <c r="BL494" s="589"/>
    </row>
    <row r="495" spans="1:64" ht="14.25" customHeight="1">
      <c r="A495" s="691" t="s">
        <v>832</v>
      </c>
      <c r="B495" s="589"/>
      <c r="C495" s="589"/>
      <c r="D495" s="589"/>
      <c r="E495" s="589"/>
      <c r="F495" s="591">
        <v>494</v>
      </c>
      <c r="G495" s="691" t="s">
        <v>147</v>
      </c>
      <c r="H495" s="691" t="s">
        <v>187</v>
      </c>
      <c r="I495" s="691" t="s">
        <v>137</v>
      </c>
      <c r="J495" s="691" t="s">
        <v>157</v>
      </c>
      <c r="K495" s="691" t="s">
        <v>125</v>
      </c>
      <c r="L495" s="691" t="s">
        <v>177</v>
      </c>
      <c r="M495" s="691" t="s">
        <v>167</v>
      </c>
      <c r="N495" s="691" t="s">
        <v>207</v>
      </c>
      <c r="O495" s="589"/>
      <c r="P495" s="717" cm="1">
        <f t="array" ref="P495">F495</f>
        <v>494</v>
      </c>
      <c r="Q495" s="620" t="str" cm="1">
        <f t="array" ref="Q495">RIGHT(G495,1)</f>
        <v>C</v>
      </c>
      <c r="R495" s="590" t="str" cm="1">
        <f t="array" ref="R495">RIGHT(H495,1)</f>
        <v>G</v>
      </c>
      <c r="S495" s="590" t="str" cm="1">
        <f t="array" ref="S495">RIGHT(I495,1)</f>
        <v>B</v>
      </c>
      <c r="T495" s="590" t="str" cm="1">
        <f t="array" ref="T495">RIGHT(J495,1)</f>
        <v>D</v>
      </c>
      <c r="U495" s="590" t="str" cm="1">
        <f t="array" ref="U495">RIGHT(K495,1)</f>
        <v>A</v>
      </c>
      <c r="V495" s="590" t="str" cm="1">
        <f t="array" ref="V495">RIGHT(L495,1)</f>
        <v>F</v>
      </c>
      <c r="W495" s="590" t="str" cm="1">
        <f t="array" ref="W495">RIGHT(M495,1)</f>
        <v>E</v>
      </c>
      <c r="X495" s="590" t="str" cm="1">
        <f t="array" ref="X495">RIGHT(N495,1)</f>
        <v>I</v>
      </c>
      <c r="Y495" s="708" cm="1">
        <f t="array" ref="Y495">COUNTIF($AA$2:$AA$9,Q495)+COUNTIF($AA$2:$AA$9,R495)+COUNTIF($AA$2:$AA$9,S495)+COUNTIF($AA$2:$AA$9,T495)+COUNTIF($AA$2:$AA$9,U495)+COUNTIF($AA$2:$AA$9,V495)+COUNTIF($AA$2:$AA$9,W495)+COUNTIF($AA$2:$AA$9,X495)</f>
        <v>6</v>
      </c>
      <c r="Z495" s="589"/>
      <c r="AA495" s="589"/>
      <c r="AB495" s="589"/>
      <c r="AC495" s="589"/>
      <c r="AD495" s="589"/>
      <c r="AE495" s="589"/>
      <c r="AF495" s="589"/>
      <c r="AG495" s="589"/>
      <c r="AH495" s="589"/>
      <c r="AI495" s="589"/>
      <c r="AJ495" s="589"/>
      <c r="AK495" s="589"/>
      <c r="AL495" s="589"/>
      <c r="AM495" s="589"/>
      <c r="AN495" s="589"/>
      <c r="AO495" s="589"/>
      <c r="AP495" s="589"/>
      <c r="AQ495" s="589"/>
      <c r="AR495" s="589"/>
      <c r="AS495" s="589"/>
      <c r="AT495" s="589"/>
      <c r="AU495" s="589"/>
      <c r="AV495" s="589"/>
      <c r="AW495" s="589"/>
      <c r="AX495" s="589"/>
      <c r="AY495" s="589"/>
      <c r="AZ495" s="589"/>
      <c r="BA495" s="589"/>
      <c r="BB495" s="589"/>
      <c r="BC495" s="589"/>
      <c r="BD495" s="589"/>
      <c r="BE495" s="589"/>
      <c r="BF495" s="589"/>
      <c r="BG495" s="589"/>
      <c r="BH495" s="589"/>
      <c r="BI495" s="589"/>
      <c r="BJ495" s="589"/>
      <c r="BK495" s="589"/>
      <c r="BL495" s="589"/>
    </row>
    <row r="496" spans="1:64" ht="14.25" customHeight="1">
      <c r="A496" s="691" t="s">
        <v>833</v>
      </c>
      <c r="B496" s="589"/>
      <c r="C496" s="589"/>
      <c r="D496" s="589"/>
      <c r="E496" s="589"/>
      <c r="F496" s="591">
        <v>495</v>
      </c>
      <c r="G496" s="691" t="s">
        <v>197</v>
      </c>
      <c r="H496" s="691" t="s">
        <v>187</v>
      </c>
      <c r="I496" s="691" t="s">
        <v>137</v>
      </c>
      <c r="J496" s="691" t="s">
        <v>147</v>
      </c>
      <c r="K496" s="691" t="s">
        <v>125</v>
      </c>
      <c r="L496" s="691" t="s">
        <v>177</v>
      </c>
      <c r="M496" s="691" t="s">
        <v>157</v>
      </c>
      <c r="N496" s="691" t="s">
        <v>167</v>
      </c>
      <c r="O496" s="589"/>
      <c r="P496" s="717" cm="1">
        <f t="array" ref="P496">F496</f>
        <v>495</v>
      </c>
      <c r="Q496" s="620" t="str" cm="1">
        <f t="array" ref="Q496">RIGHT(G496,1)</f>
        <v>H</v>
      </c>
      <c r="R496" s="590" t="str" cm="1">
        <f t="array" ref="R496">RIGHT(H496,1)</f>
        <v>G</v>
      </c>
      <c r="S496" s="590" t="str" cm="1">
        <f t="array" ref="S496">RIGHT(I496,1)</f>
        <v>B</v>
      </c>
      <c r="T496" s="590" t="str" cm="1">
        <f t="array" ref="T496">RIGHT(J496,1)</f>
        <v>C</v>
      </c>
      <c r="U496" s="590" t="str" cm="1">
        <f t="array" ref="U496">RIGHT(K496,1)</f>
        <v>A</v>
      </c>
      <c r="V496" s="590" t="str" cm="1">
        <f t="array" ref="V496">RIGHT(L496,1)</f>
        <v>F</v>
      </c>
      <c r="W496" s="590" t="str" cm="1">
        <f t="array" ref="W496">RIGHT(M496,1)</f>
        <v>D</v>
      </c>
      <c r="X496" s="590" t="str" cm="1">
        <f t="array" ref="X496">RIGHT(N496,1)</f>
        <v>E</v>
      </c>
      <c r="Y496" s="708" cm="1">
        <f t="array" ref="Y496">COUNTIF($AA$2:$AA$9,Q496)+COUNTIF($AA$2:$AA$9,R496)+COUNTIF($AA$2:$AA$9,S496)+COUNTIF($AA$2:$AA$9,T496)+COUNTIF($AA$2:$AA$9,U496)+COUNTIF($AA$2:$AA$9,V496)+COUNTIF($AA$2:$AA$9,W496)+COUNTIF($AA$2:$AA$9,X496)</f>
        <v>5</v>
      </c>
      <c r="Z496" s="589"/>
      <c r="AA496" s="589"/>
      <c r="AB496" s="589"/>
      <c r="AC496" s="589"/>
      <c r="AD496" s="589"/>
      <c r="AE496" s="589"/>
      <c r="AF496" s="589"/>
      <c r="AG496" s="589"/>
      <c r="AH496" s="589"/>
      <c r="AI496" s="589"/>
      <c r="AJ496" s="589"/>
      <c r="AK496" s="589"/>
      <c r="AL496" s="589"/>
      <c r="AM496" s="589"/>
      <c r="AN496" s="589"/>
      <c r="AO496" s="589"/>
      <c r="AP496" s="589"/>
      <c r="AQ496" s="589"/>
      <c r="AR496" s="589"/>
      <c r="AS496" s="589"/>
      <c r="AT496" s="589"/>
      <c r="AU496" s="589"/>
      <c r="AV496" s="589"/>
      <c r="AW496" s="589"/>
      <c r="AX496" s="589"/>
      <c r="AY496" s="589"/>
      <c r="AZ496" s="589"/>
      <c r="BA496" s="589"/>
      <c r="BB496" s="589"/>
      <c r="BC496" s="589"/>
      <c r="BD496" s="589"/>
      <c r="BE496" s="589"/>
      <c r="BF496" s="589"/>
      <c r="BG496" s="589"/>
      <c r="BH496" s="589"/>
      <c r="BI496" s="589"/>
      <c r="BJ496" s="589"/>
      <c r="BK496" s="589"/>
      <c r="BL496" s="589"/>
    </row>
  </sheetData>
  <conditionalFormatting sqref="Y2:Y496">
    <cfRule type="cellIs" dxfId="1" priority="1" stopIfTrue="1" operator="equal">
      <formula>8</formula>
    </cfRule>
  </conditionalFormatting>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S51"/>
  <sheetViews>
    <sheetView showGridLines="0" workbookViewId="0"/>
  </sheetViews>
  <sheetFormatPr defaultColWidth="8.875" defaultRowHeight="14.25" customHeight="1"/>
  <cols>
    <col min="1" max="6" width="8.875" style="722" customWidth="1"/>
    <col min="7" max="7" width="2.875" style="722" customWidth="1"/>
    <col min="8" max="8" width="13.625" style="722" customWidth="1"/>
    <col min="9" max="15" width="10.375" style="722" customWidth="1"/>
    <col min="16" max="16" width="12.375" style="722" customWidth="1"/>
    <col min="17" max="23" width="8.875" style="722" customWidth="1"/>
    <col min="24" max="26" width="12.625" style="722" customWidth="1"/>
    <col min="27" max="27" width="13.875" style="722" customWidth="1"/>
    <col min="28" max="41" width="8.875" style="722" customWidth="1"/>
    <col min="42" max="42" width="11.875" style="722" customWidth="1"/>
    <col min="43" max="43" width="13.875" style="722" customWidth="1"/>
    <col min="44" max="45" width="9" style="722" customWidth="1"/>
    <col min="46" max="46" width="10.375" style="722" customWidth="1"/>
    <col min="47" max="48" width="8.875" style="722" customWidth="1"/>
    <col min="49" max="49" width="11.875" style="722" customWidth="1"/>
    <col min="50" max="50" width="9.875" style="722" customWidth="1"/>
    <col min="51" max="51" width="13.875" style="722" customWidth="1"/>
    <col min="52" max="52" width="11.375" style="722" customWidth="1"/>
    <col min="53" max="53" width="13.875" style="722" customWidth="1"/>
    <col min="54" max="54" width="9.125" style="722" customWidth="1"/>
    <col min="55" max="55" width="13.875" style="722" customWidth="1"/>
    <col min="56" max="56" width="14.375" style="722" customWidth="1"/>
    <col min="57" max="57" width="13.5" style="722" customWidth="1"/>
    <col min="58" max="58" width="12.375" style="722" customWidth="1"/>
    <col min="59" max="59" width="13.875" style="722" customWidth="1"/>
    <col min="60" max="60" width="8.875" style="722" customWidth="1"/>
    <col min="61" max="61" width="13.875" style="722" customWidth="1"/>
    <col min="62" max="72" width="8.875" style="722" customWidth="1"/>
    <col min="73" max="16384" width="8.875" style="722"/>
  </cols>
  <sheetData>
    <row r="1" spans="1:71" ht="14.25" customHeight="1">
      <c r="A1" s="589"/>
      <c r="B1" s="589"/>
      <c r="C1" s="589"/>
      <c r="D1" s="589"/>
      <c r="E1" s="589"/>
      <c r="F1" s="589"/>
      <c r="G1" s="589"/>
      <c r="H1" s="589"/>
      <c r="I1" s="723">
        <v>1000000</v>
      </c>
      <c r="J1" s="723">
        <v>100000</v>
      </c>
      <c r="K1" s="723">
        <v>10000</v>
      </c>
      <c r="L1" s="723">
        <v>1000</v>
      </c>
      <c r="M1" s="723">
        <v>100</v>
      </c>
      <c r="N1" s="723">
        <v>10</v>
      </c>
      <c r="O1" s="723">
        <v>1</v>
      </c>
      <c r="P1" s="589"/>
      <c r="Q1" s="589"/>
      <c r="R1" s="589"/>
      <c r="S1" s="589"/>
      <c r="T1" s="589"/>
      <c r="U1" s="589"/>
      <c r="V1" s="589"/>
      <c r="W1" s="589"/>
      <c r="X1" s="589"/>
      <c r="Y1" s="589"/>
      <c r="Z1" s="589"/>
      <c r="AA1" s="589"/>
      <c r="AB1" s="589"/>
      <c r="AC1" s="589"/>
      <c r="AD1" s="589"/>
      <c r="AE1" s="589"/>
      <c r="AF1" s="589"/>
      <c r="AG1" s="589"/>
      <c r="AH1" s="589"/>
      <c r="AI1" s="589"/>
      <c r="AJ1" s="589"/>
      <c r="AK1" s="589"/>
      <c r="AL1" s="589"/>
      <c r="AM1" s="589"/>
      <c r="AN1" s="589"/>
      <c r="AO1" s="589"/>
      <c r="AP1" s="590"/>
      <c r="AQ1" s="589"/>
      <c r="AR1" s="590"/>
      <c r="AS1" s="590"/>
      <c r="AT1" s="590"/>
      <c r="AU1" s="589"/>
      <c r="AV1" s="589"/>
      <c r="AW1" s="589"/>
      <c r="AX1" s="589"/>
      <c r="AY1" s="589"/>
      <c r="AZ1" s="589"/>
      <c r="BA1" s="589"/>
      <c r="BB1" s="589"/>
      <c r="BC1" s="589"/>
      <c r="BD1" s="589"/>
      <c r="BE1" s="589"/>
      <c r="BF1" s="589"/>
      <c r="BG1" s="589"/>
      <c r="BH1" s="589"/>
      <c r="BI1" s="691" t="s">
        <v>834</v>
      </c>
      <c r="BJ1" s="589"/>
      <c r="BK1" s="589"/>
      <c r="BL1" s="589"/>
      <c r="BM1" s="589"/>
      <c r="BN1" s="589"/>
      <c r="BO1" s="589"/>
      <c r="BP1" s="589"/>
      <c r="BQ1" s="589"/>
      <c r="BR1" s="589"/>
      <c r="BS1" s="589"/>
    </row>
    <row r="2" spans="1:71" ht="14.25" customHeight="1">
      <c r="A2" s="589"/>
      <c r="B2" s="589"/>
      <c r="C2" s="589"/>
      <c r="D2" s="589"/>
      <c r="E2" s="589"/>
      <c r="F2" s="589"/>
      <c r="G2" s="589"/>
      <c r="H2" s="589"/>
      <c r="I2" s="719">
        <v>2</v>
      </c>
      <c r="J2" s="719">
        <v>2</v>
      </c>
      <c r="K2" s="719">
        <v>1</v>
      </c>
      <c r="L2" s="719">
        <v>1</v>
      </c>
      <c r="M2" s="719">
        <v>1</v>
      </c>
      <c r="N2" s="719">
        <v>1</v>
      </c>
      <c r="O2" s="719">
        <v>1</v>
      </c>
      <c r="P2" s="589"/>
      <c r="Q2" s="589"/>
      <c r="R2" s="589"/>
      <c r="S2" s="589"/>
      <c r="T2" s="589"/>
      <c r="U2" s="589"/>
      <c r="V2" s="589"/>
      <c r="W2" s="589"/>
      <c r="X2" s="589"/>
      <c r="Y2" s="589"/>
      <c r="Z2" s="589"/>
      <c r="AA2" s="589"/>
      <c r="AB2" s="589"/>
      <c r="AC2" s="589"/>
      <c r="AD2" s="589"/>
      <c r="AE2" s="589"/>
      <c r="AF2" s="589"/>
      <c r="AG2" s="589"/>
      <c r="AH2" s="589"/>
      <c r="AI2" s="589"/>
      <c r="AJ2" s="589"/>
      <c r="AK2" s="589"/>
      <c r="AL2" s="589"/>
      <c r="AM2" s="589"/>
      <c r="AN2" s="589"/>
      <c r="AO2" s="589"/>
      <c r="AP2" s="590"/>
      <c r="AQ2" s="589"/>
      <c r="AR2" s="590"/>
      <c r="AS2" s="590"/>
      <c r="AT2" s="590"/>
      <c r="AU2" s="589"/>
      <c r="AV2" s="589"/>
      <c r="AW2" s="589"/>
      <c r="AX2" s="589"/>
      <c r="AY2" s="723" cm="1">
        <f t="array" ref="AY2">M1</f>
        <v>100</v>
      </c>
      <c r="AZ2" s="723" cm="1">
        <f t="array" ref="AZ2">L1</f>
        <v>1000</v>
      </c>
      <c r="BA2" s="723" cm="1">
        <f t="array" ref="BA2">K1</f>
        <v>10000</v>
      </c>
      <c r="BB2" s="723" cm="1">
        <f t="array" ref="BB2">J1</f>
        <v>100000</v>
      </c>
      <c r="BC2" s="723" cm="1">
        <f t="array" ref="BC2">I1</f>
        <v>1000000</v>
      </c>
      <c r="BD2" s="589"/>
      <c r="BE2" s="589"/>
      <c r="BF2" s="589"/>
      <c r="BG2" s="589"/>
      <c r="BH2" s="724"/>
      <c r="BI2" s="724"/>
      <c r="BJ2" s="724"/>
      <c r="BK2" s="589"/>
      <c r="BL2" s="589"/>
      <c r="BM2" s="589"/>
      <c r="BN2" s="589"/>
      <c r="BO2" s="589"/>
      <c r="BP2" s="589"/>
      <c r="BQ2" s="589"/>
      <c r="BR2" s="589"/>
      <c r="BS2" s="589"/>
    </row>
    <row r="3" spans="1:71" ht="15" customHeight="1">
      <c r="A3" s="591">
        <v>1</v>
      </c>
      <c r="B3" s="589"/>
      <c r="C3" s="691" t="s">
        <v>117</v>
      </c>
      <c r="D3" s="589"/>
      <c r="E3" s="589"/>
      <c r="F3" s="589"/>
      <c r="G3" s="594"/>
      <c r="H3" s="725" t="s">
        <v>45</v>
      </c>
      <c r="I3" s="726" t="s">
        <v>20</v>
      </c>
      <c r="J3" s="726" t="s">
        <v>16</v>
      </c>
      <c r="K3" s="726" t="s">
        <v>835</v>
      </c>
      <c r="L3" s="726" t="s">
        <v>836</v>
      </c>
      <c r="M3" s="726" t="s">
        <v>14</v>
      </c>
      <c r="N3" s="726" t="s">
        <v>12</v>
      </c>
      <c r="O3" s="726" t="s">
        <v>9</v>
      </c>
      <c r="P3" s="726" t="s">
        <v>837</v>
      </c>
      <c r="Q3" s="727" t="s">
        <v>105</v>
      </c>
      <c r="R3" s="727" t="s">
        <v>106</v>
      </c>
      <c r="S3" s="727" t="s">
        <v>107</v>
      </c>
      <c r="T3" s="727" t="s">
        <v>838</v>
      </c>
      <c r="U3" s="727" t="s">
        <v>109</v>
      </c>
      <c r="V3" s="727" t="s">
        <v>110</v>
      </c>
      <c r="W3" s="727" t="s">
        <v>0</v>
      </c>
      <c r="X3" s="727" t="s">
        <v>839</v>
      </c>
      <c r="Y3" s="727" t="s">
        <v>46</v>
      </c>
      <c r="Z3" s="727" t="s">
        <v>840</v>
      </c>
      <c r="AA3" s="727" t="s">
        <v>44</v>
      </c>
      <c r="AB3" s="728"/>
      <c r="AC3" s="710" t="s">
        <v>20</v>
      </c>
      <c r="AD3" s="691" t="s">
        <v>16</v>
      </c>
      <c r="AE3" s="691" t="s">
        <v>18</v>
      </c>
      <c r="AF3" s="691" t="s">
        <v>309</v>
      </c>
      <c r="AG3" s="691" t="s">
        <v>14</v>
      </c>
      <c r="AH3" s="691" t="s">
        <v>12</v>
      </c>
      <c r="AI3" s="691" t="s">
        <v>9</v>
      </c>
      <c r="AJ3" s="589"/>
      <c r="AK3" s="589"/>
      <c r="AL3" s="589"/>
      <c r="AM3" s="589"/>
      <c r="AN3" s="589"/>
      <c r="AO3" s="589"/>
      <c r="AP3" s="729" t="s">
        <v>44</v>
      </c>
      <c r="AQ3" s="691" t="s">
        <v>45</v>
      </c>
      <c r="AR3" s="729" t="s">
        <v>46</v>
      </c>
      <c r="AS3" s="729" t="s">
        <v>841</v>
      </c>
      <c r="AT3" s="729" t="s">
        <v>842</v>
      </c>
      <c r="AU3" s="710" t="s">
        <v>306</v>
      </c>
      <c r="AV3" s="716"/>
      <c r="AW3" s="710" t="s">
        <v>46</v>
      </c>
      <c r="AX3" s="710" t="s">
        <v>843</v>
      </c>
      <c r="AY3" s="710" t="s">
        <v>14</v>
      </c>
      <c r="AZ3" s="710" t="s">
        <v>844</v>
      </c>
      <c r="BA3" s="710" t="s">
        <v>845</v>
      </c>
      <c r="BB3" s="710" t="s">
        <v>846</v>
      </c>
      <c r="BC3" s="710" t="s">
        <v>847</v>
      </c>
      <c r="BD3" s="710" t="s">
        <v>848</v>
      </c>
      <c r="BE3" s="710" t="s">
        <v>0</v>
      </c>
      <c r="BF3" s="710" t="s">
        <v>849</v>
      </c>
      <c r="BG3" s="589"/>
      <c r="BH3" s="594"/>
      <c r="BI3" s="725" t="s">
        <v>45</v>
      </c>
      <c r="BJ3" s="727" t="s">
        <v>105</v>
      </c>
      <c r="BK3" s="727" t="s">
        <v>106</v>
      </c>
      <c r="BL3" s="727" t="s">
        <v>107</v>
      </c>
      <c r="BM3" s="727" t="s">
        <v>838</v>
      </c>
      <c r="BN3" s="727" t="s">
        <v>109</v>
      </c>
      <c r="BO3" s="727" t="s">
        <v>110</v>
      </c>
      <c r="BP3" s="727" t="s">
        <v>0</v>
      </c>
      <c r="BQ3" s="589"/>
      <c r="BR3" s="589"/>
      <c r="BS3" s="589"/>
    </row>
    <row r="4" spans="1:71" ht="14.25" customHeight="1">
      <c r="A4" s="591">
        <v>2</v>
      </c>
      <c r="B4" s="589"/>
      <c r="C4" s="691" t="s">
        <v>121</v>
      </c>
      <c r="D4" s="589"/>
      <c r="E4" s="589"/>
      <c r="F4" s="589"/>
      <c r="G4" s="586">
        <v>1</v>
      </c>
      <c r="H4" s="584" t="str" cm="1">
        <f t="array" ref="H4">'Groups Stage'!O3</f>
        <v>Mexico</v>
      </c>
      <c r="I4" s="712" cm="1">
        <f t="array" ref="I4">IF(COUNTIF(AC1:AC51,$H4)&gt;0,I$2,0)</f>
        <v>0</v>
      </c>
      <c r="J4" s="712" cm="1">
        <f t="array" ref="J4">IF(COUNTIF(AD1:AD51,$H4)&gt;0,J$2,0)</f>
        <v>0</v>
      </c>
      <c r="K4" s="712" cm="1">
        <f t="array" ref="K4">IF(COUNTIF(AE1:AE51,$H4)&gt;0,K$2,0)</f>
        <v>0</v>
      </c>
      <c r="L4" s="712" cm="1">
        <f t="array" ref="L4">IF(COUNTIF(AF1:AF51,$H4)&gt;0,L$2,0)</f>
        <v>0</v>
      </c>
      <c r="M4" s="712" cm="1">
        <f t="array" ref="M4">IF(COUNTIF(AG1:AG51,$H4)&gt;0,M$2,0)</f>
        <v>0</v>
      </c>
      <c r="N4" s="712" cm="1">
        <f t="array" ref="N4">IF(COUNTIF(AH1:AH51,$H4)&gt;0,N$2,0)</f>
        <v>1</v>
      </c>
      <c r="O4" s="712" cm="1">
        <f t="array" ref="O4">IF(COUNTIF(AI1:AI51,$H4)&gt;0,O$2,0)</f>
        <v>1</v>
      </c>
      <c r="P4" s="712" cm="1">
        <f t="array" ref="P4">SUM(I4:O4)</f>
        <v>2</v>
      </c>
      <c r="Q4" s="719" cm="1">
        <f t="array" ref="Q4">COUNTIFS('Inputs summary'!I1:I234,$H4)</f>
        <v>4</v>
      </c>
      <c r="R4" s="719" cm="1">
        <f t="array" ref="R4">COUNTIFS('Inputs summary'!J1:K234,$H4)</f>
        <v>0</v>
      </c>
      <c r="S4" s="719" cm="1">
        <f t="array" ref="S4">COUNTIFS('Inputs summary'!L1:L234,$H4)</f>
        <v>1</v>
      </c>
      <c r="T4" s="719" cm="1">
        <f t="array" ref="T4">U4-V4</f>
        <v>4</v>
      </c>
      <c r="U4" s="719" cm="1">
        <f t="array" ref="U4">SUMIF('Inputs summary'!B1:B234,H4,'Inputs summary'!C1:C234)+SUMIF('Inputs summary'!E1:E234,H4,'Inputs summary'!D1:D234)</f>
        <v>8</v>
      </c>
      <c r="V4" s="719" cm="1">
        <f t="array" ref="V4">SUMIF('Inputs summary'!B1:B234,H4,'Inputs summary'!D1:D234)+SUMIF('Inputs summary'!E1:E234,H4,'Inputs summary'!C1:C234)</f>
        <v>4</v>
      </c>
      <c r="W4" s="730" cm="1">
        <f t="array" ref="W4">P4*100+Q4*3+R4+T4/100+U4/10000+(1/AA4)/100000000</f>
        <v>212.04080000066665</v>
      </c>
      <c r="X4" s="731" cm="1">
        <f t="array" ref="X4">SUMPRODUCT(I4:O4,$I$1:$O$1)</f>
        <v>11</v>
      </c>
      <c r="Y4" s="732" cm="1">
        <f t="array" ref="Y4">_xlfn.XLOOKUP(H4,AQ1:AQ51,AR1:AR51,"-",0)</f>
        <v>2</v>
      </c>
      <c r="Z4" s="731" cm="1">
        <f t="array" ref="Z4">W4+(1/Y4)*0.000001</f>
        <v>212.04080050066665</v>
      </c>
      <c r="AA4" s="731" cm="1">
        <f t="array" ref="AA4">_xlfn.XLOOKUP(H4,'Ranking FIFA'!B1:B102,'Ranking FIFA'!A1:A102,"--",0)</f>
        <v>15</v>
      </c>
      <c r="AB4" s="589"/>
      <c r="AC4" s="589" t="str" cm="1">
        <f t="array" ref="AC4">'Quarter, Semis &amp; Final'!P8</f>
        <v>España</v>
      </c>
      <c r="AD4" s="589" t="str" cm="1">
        <f t="array" ref="AD4">'Quarter, Semis &amp; Final'!P4</f>
        <v>España</v>
      </c>
      <c r="AE4" s="589" t="str" cm="1">
        <f t="array" ref="AE4">'Quarter, Semis &amp; Final'!P15</f>
        <v>Francia</v>
      </c>
      <c r="AF4" s="589" t="str" cm="1">
        <f t="array" ref="AF4">'Quarter, Semis &amp; Final'!B19</f>
        <v>Francia</v>
      </c>
      <c r="AG4" s="589" t="str" cm="1">
        <f t="array" ref="AG4">'Quarter, Semis &amp; Final'!B5</f>
        <v>Francia</v>
      </c>
      <c r="AH4" s="589" t="str" cm="1">
        <f t="array" ref="AH4">'Round of 32 &amp; Round of 16'!P5</f>
        <v>Alemania</v>
      </c>
      <c r="AI4" s="589" t="str" cm="1">
        <f t="array" ref="AI4">'Round of 32 &amp; Round of 16'!B5</f>
        <v>Corea del Sur</v>
      </c>
      <c r="AJ4" s="589"/>
      <c r="AK4" s="589"/>
      <c r="AL4" s="589"/>
      <c r="AM4" s="589"/>
      <c r="AN4" s="589"/>
      <c r="AO4" s="589"/>
      <c r="AP4" s="592" cm="1">
        <f t="array" ref="AP4">_xlfn.XLOOKUP(AQ4,'Ranking FIFA'!B1:B102,'Ranking FIFA'!A1:A102,"--",0)</f>
        <v>1</v>
      </c>
      <c r="AQ4" s="691" t="s">
        <v>48</v>
      </c>
      <c r="AR4" s="592">
        <v>1</v>
      </c>
      <c r="AS4" s="592">
        <v>1</v>
      </c>
      <c r="AT4" s="733" cm="1">
        <f t="array" ref="AT4">SUMIF($H$4:$H$51,AQ4,$X$4:$X$51)</f>
        <v>11111</v>
      </c>
      <c r="AU4" s="734" cm="1">
        <f t="array" ref="AU4">SUMIF($H$4:$H$51,AQ4,$W$4:$W$51)</f>
        <v>521.09170001000007</v>
      </c>
      <c r="AV4" s="589"/>
      <c r="AW4" s="719">
        <v>2</v>
      </c>
      <c r="AX4" s="723" cm="1">
        <f t="array" ref="AX4">_xlfn.MAXIFS(AT1:AT51,AR1:AR51,AW4)</f>
        <v>111</v>
      </c>
      <c r="AY4" s="719" cm="1">
        <f t="array" ref="AY4">IF($AX4&gt;AY$2,1,0)</f>
        <v>1</v>
      </c>
      <c r="AZ4" s="719" cm="1">
        <f t="array" ref="AZ4">IF($AX4&gt;AZ$2,1,0)</f>
        <v>0</v>
      </c>
      <c r="BA4" s="719" cm="1">
        <f t="array" ref="BA4">IF($AX4&gt;BA$2,1,0)</f>
        <v>0</v>
      </c>
      <c r="BB4" s="719" cm="1">
        <f t="array" ref="BB4">IF($AX4&gt;BB$2,1,0)</f>
        <v>0</v>
      </c>
      <c r="BC4" s="719" cm="1">
        <f t="array" ref="BC4">IF($AX4&gt;BC$2,1,0)</f>
        <v>0</v>
      </c>
      <c r="BD4" s="716" t="str" cm="1">
        <f t="array" ref="BD4">_xlfn.XLOOKUP(BE4,W1:W51,H1:H51)</f>
        <v>Marruecos</v>
      </c>
      <c r="BE4" s="734" cm="1">
        <f t="array" ref="BE4">_xlfn.MAXIFS(W1:W51,Y1:Y51,AW4)</f>
        <v>312.04110000125002</v>
      </c>
      <c r="BF4" s="724" cm="1">
        <f t="array" ref="BF4">IF(AZ4&gt;0,AX4,0)</f>
        <v>0</v>
      </c>
      <c r="BG4" s="589"/>
      <c r="BH4" s="586">
        <v>1</v>
      </c>
      <c r="BI4" s="584" t="str" cm="1">
        <f t="array" ref="BI4">H4</f>
        <v>Mexico</v>
      </c>
      <c r="BJ4" s="719" cm="1">
        <f t="array" ref="BJ4">COUNTIFS('Inputs summary'!I$2:I$106,BI4)</f>
        <v>3</v>
      </c>
      <c r="BK4" s="719" cm="1">
        <f t="array" ref="BK4">COUNTIFS('Inputs summary'!J$2:K$106,BI4)</f>
        <v>0</v>
      </c>
      <c r="BL4" s="719" cm="1">
        <f t="array" ref="BL4">COUNTIFS('Inputs summary'!L$2:L$106,BI4)</f>
        <v>0</v>
      </c>
      <c r="BM4" s="719" cm="1">
        <f t="array" ref="BM4">BN4-BO4</f>
        <v>4</v>
      </c>
      <c r="BN4" s="719" cm="1">
        <f t="array" ref="BN4">SUMIF('Inputs summary'!$B$1:$B$106,$BI4,'Inputs summary'!$C$1:$C$106)+SUMIF('Inputs summary'!$E$1:$E$106,$BI4,'Inputs summary'!$D$1:$D$106)</f>
        <v>5</v>
      </c>
      <c r="BO4" s="719" cm="1">
        <f t="array" ref="BO4">SUMIF('Inputs summary'!$B$1:$B$106,$BI4,'Inputs summary'!$D$1:$D$106)+SUMIF('Inputs summary'!$E$1:$E$106,$BI4,'Inputs summary'!$C$1:$C$106)</f>
        <v>1</v>
      </c>
      <c r="BP4" s="734" cm="1">
        <f t="array" ref="BP4">BJ4*3+BK4*2+BM4/100+BN4/1000+Y4/100000+AA4/10000000</f>
        <v>9.0450214999999989</v>
      </c>
      <c r="BQ4" s="589"/>
      <c r="BR4" s="730" cm="1">
        <f t="array" ref="BR4">LARGE(BP4:BP51,1)</f>
        <v>9.0780109999999983</v>
      </c>
      <c r="BS4" s="735" t="str" cm="1">
        <f t="array" ref="BS4">_xlfn.XLOOKUP(BR4,$BP$4:$BP$51,$BI$4:$BI$51,"-",0)</f>
        <v>Alemania</v>
      </c>
    </row>
    <row r="5" spans="1:71" ht="14.25" customHeight="1">
      <c r="A5" s="591">
        <v>3</v>
      </c>
      <c r="B5" s="589"/>
      <c r="C5" s="691" t="s">
        <v>118</v>
      </c>
      <c r="D5" s="589"/>
      <c r="E5" s="589"/>
      <c r="F5" s="589"/>
      <c r="G5" s="591">
        <v>2</v>
      </c>
      <c r="H5" s="589" t="str" cm="1">
        <f t="array" ref="H5">'Groups Stage'!O4</f>
        <v>Sudafrica</v>
      </c>
      <c r="I5" s="719" cm="1">
        <f t="array" ref="I5">IF(COUNTIF(AC1:AC51,$H5)&gt;0,I$2,0)</f>
        <v>0</v>
      </c>
      <c r="J5" s="719" cm="1">
        <f t="array" ref="J5">IF(COUNTIF(AD1:AD51,$H5)&gt;0,J$2,0)</f>
        <v>0</v>
      </c>
      <c r="K5" s="719" cm="1">
        <f t="array" ref="K5">IF(COUNTIF(AE1:AE51,$H5)&gt;0,K$2,0)</f>
        <v>0</v>
      </c>
      <c r="L5" s="719" cm="1">
        <f t="array" ref="L5">IF(COUNTIF(AF1:AF51,$H5)&gt;0,L$2,0)</f>
        <v>0</v>
      </c>
      <c r="M5" s="719" cm="1">
        <f t="array" ref="M5">IF(COUNTIF(AG1:AG51,$H5)&gt;0,M$2,0)</f>
        <v>0</v>
      </c>
      <c r="N5" s="719" cm="1">
        <f t="array" ref="N5">IF(COUNTIF(AH1:AH51,$H5)&gt;0,N$2,0)</f>
        <v>0</v>
      </c>
      <c r="O5" s="719" cm="1">
        <f t="array" ref="O5">IF(COUNTIF(AI1:AI51,$H5)&gt;0,O$2,0)</f>
        <v>0</v>
      </c>
      <c r="P5" s="719" cm="1">
        <f t="array" ref="P5">SUM(I5:O5)</f>
        <v>0</v>
      </c>
      <c r="Q5" s="719" cm="1">
        <f t="array" ref="Q5">COUNTIFS('Inputs summary'!I1:I234,$H5)</f>
        <v>0</v>
      </c>
      <c r="R5" s="719" cm="1">
        <f t="array" ref="R5">COUNTIFS('Inputs summary'!J1:K234,$H5)</f>
        <v>0</v>
      </c>
      <c r="S5" s="719" cm="1">
        <f t="array" ref="S5">COUNTIFS('Inputs summary'!L1:L234,$H5)</f>
        <v>3</v>
      </c>
      <c r="T5" s="719" cm="1">
        <f t="array" ref="T5">U5-V5</f>
        <v>-4</v>
      </c>
      <c r="U5" s="719" cm="1">
        <f t="array" ref="U5">SUMIF('Inputs summary'!B1:B234,H5,'Inputs summary'!C1:C234)+SUMIF('Inputs summary'!E1:E234,H5,'Inputs summary'!D1:D234)</f>
        <v>0</v>
      </c>
      <c r="V5" s="719" cm="1">
        <f t="array" ref="V5">SUMIF('Inputs summary'!B1:B234,H5,'Inputs summary'!D1:D234)+SUMIF('Inputs summary'!E1:E234,H5,'Inputs summary'!C1:C234)</f>
        <v>4</v>
      </c>
      <c r="W5" s="730" cm="1">
        <f t="array" ref="W5">P5*100+Q5*3+R5+T5/100+U5/10000+(1/AA5)/100000000</f>
        <v>-3.9999999833333334E-2</v>
      </c>
      <c r="X5" s="731" cm="1">
        <f t="array" ref="X5">SUMPRODUCT(I5:O5,$I$1:$O$1)</f>
        <v>0</v>
      </c>
      <c r="Y5" s="732" cm="1">
        <f t="array" ref="Y5">_xlfn.XLOOKUP(H5,AQ1:AQ51,AR1:AR51,"-",0)</f>
        <v>3</v>
      </c>
      <c r="Z5" s="731" cm="1">
        <f t="array" ref="Z5">W5+(1/Y5)*0.000001</f>
        <v>-3.9999666500000003E-2</v>
      </c>
      <c r="AA5" s="731" cm="1">
        <f t="array" ref="AA5">_xlfn.XLOOKUP(H5,'Ranking FIFA'!B1:B102,'Ranking FIFA'!A1:A102,"--",0)</f>
        <v>60</v>
      </c>
      <c r="AB5" s="589"/>
      <c r="AC5" s="589"/>
      <c r="AD5" s="589" t="str" cm="1">
        <f t="array" ref="AD5">'Quarter, Semis &amp; Final'!S4</f>
        <v>Argentina</v>
      </c>
      <c r="AE5" s="589"/>
      <c r="AF5" s="589" t="str" cm="1">
        <f t="array" ref="AF5">'Quarter, Semis &amp; Final'!E19</f>
        <v>España</v>
      </c>
      <c r="AG5" s="589" t="str" cm="1">
        <f t="array" ref="AG5">'Quarter, Semis &amp; Final'!E5</f>
        <v>Marruecos</v>
      </c>
      <c r="AH5" s="589" t="str" cm="1">
        <f t="array" ref="AH5">'Round of 32 &amp; Round of 16'!S5</f>
        <v>Francia</v>
      </c>
      <c r="AI5" s="589" t="str" cm="1">
        <f t="array" ref="AI5">'Round of 32 &amp; Round of 16'!E5</f>
        <v>Canada</v>
      </c>
      <c r="AJ5" s="589"/>
      <c r="AK5" s="589"/>
      <c r="AL5" s="589"/>
      <c r="AM5" s="589"/>
      <c r="AN5" s="589"/>
      <c r="AO5" s="589"/>
      <c r="AP5" s="592" cm="1">
        <f t="array" ref="AP5">_xlfn.XLOOKUP(AQ5,'Ranking FIFA'!B1:B102,'Ranking FIFA'!A1:A102,"--",0)</f>
        <v>2</v>
      </c>
      <c r="AQ5" s="691" t="s">
        <v>49</v>
      </c>
      <c r="AR5" s="592">
        <v>1</v>
      </c>
      <c r="AS5" s="592">
        <v>1</v>
      </c>
      <c r="AT5" s="733" cm="1">
        <f t="array" ref="AT5">SUMIF($H$4:$H$51,AQ5,$X$4:$X$51)</f>
        <v>2201111</v>
      </c>
      <c r="AU5" s="734" cm="1">
        <f t="array" ref="AU5">SUMIF($H$4:$H$51,AQ5,$W$4:$W$51)</f>
        <v>822.13150000499991</v>
      </c>
      <c r="AV5" s="589"/>
      <c r="AW5" s="719">
        <v>3</v>
      </c>
      <c r="AX5" s="723" cm="1">
        <f t="array" ref="AX5">_xlfn.MAXIFS(AT1:AT51,AR1:AR51,AW5)</f>
        <v>1</v>
      </c>
      <c r="AY5" s="719" cm="1">
        <f t="array" ref="AY5">IF($AX5&gt;AY$2,1,0)</f>
        <v>0</v>
      </c>
      <c r="AZ5" s="719" cm="1">
        <f t="array" ref="AZ5">IF($AX5&gt;AZ$2,1,0)</f>
        <v>0</v>
      </c>
      <c r="BA5" s="719" cm="1">
        <f t="array" ref="BA5">IF($AX5&gt;BA$2,1,0)</f>
        <v>0</v>
      </c>
      <c r="BB5" s="719" cm="1">
        <f t="array" ref="BB5">IF($AX5&gt;BB$2,1,0)</f>
        <v>0</v>
      </c>
      <c r="BC5" s="719" cm="1">
        <f t="array" ref="BC5">IF($AX5&gt;BC$2,1,0)</f>
        <v>0</v>
      </c>
      <c r="BD5" s="716" t="str" cm="1">
        <f t="array" ref="BD5">_xlfn.XLOOKUP(BE5,W1:W51,H1:H51)</f>
        <v>Canada</v>
      </c>
      <c r="BE5" s="734" cm="1">
        <f t="array" ref="BE5">_xlfn.MAXIFS(W1:W51,Y1:Y51,AW5)</f>
        <v>107.02040000033332</v>
      </c>
      <c r="BF5" s="724" cm="1">
        <f t="array" ref="BF5">IF(AY5&gt;0,AX5,0)*1</f>
        <v>0</v>
      </c>
      <c r="BG5" s="589"/>
      <c r="BH5" s="591">
        <v>2</v>
      </c>
      <c r="BI5" s="589" t="str" cm="1">
        <f t="array" ref="BI5">H5</f>
        <v>Sudafrica</v>
      </c>
      <c r="BJ5" s="719" cm="1">
        <f t="array" ref="BJ5">COUNTIFS('Inputs summary'!I$2:I$106,BI5)</f>
        <v>0</v>
      </c>
      <c r="BK5" s="719" cm="1">
        <f t="array" ref="BK5">COUNTIFS('Inputs summary'!J$2:K$106,BI5)</f>
        <v>0</v>
      </c>
      <c r="BL5" s="719" cm="1">
        <f t="array" ref="BL5">COUNTIFS('Inputs summary'!L$2:L$106,BI5)</f>
        <v>3</v>
      </c>
      <c r="BM5" s="719" cm="1">
        <f t="array" ref="BM5">BN5-BO5</f>
        <v>-4</v>
      </c>
      <c r="BN5" s="719" cm="1">
        <f t="array" ref="BN5">SUMIF('Inputs summary'!$B$1:$B$106,$BI5,'Inputs summary'!$C$1:$C$106)+SUMIF('Inputs summary'!$E$1:$E$106,$BI5,'Inputs summary'!$D$1:$D$106)</f>
        <v>0</v>
      </c>
      <c r="BO5" s="719" cm="1">
        <f t="array" ref="BO5">SUMIF('Inputs summary'!$B$1:$B$106,$BI5,'Inputs summary'!$D$1:$D$106)+SUMIF('Inputs summary'!$E$1:$E$106,$BI5,'Inputs summary'!$C$1:$C$106)</f>
        <v>4</v>
      </c>
      <c r="BP5" s="734" cm="1">
        <f t="array" ref="BP5">BJ5*3+BK5*2+BM5/100+BN5/1000+Y5/100000+AA5/10000000</f>
        <v>-3.9964E-2</v>
      </c>
      <c r="BQ5" s="589"/>
      <c r="BR5" s="589"/>
      <c r="BS5" s="589"/>
    </row>
    <row r="6" spans="1:71" ht="14.25" customHeight="1">
      <c r="A6" s="591">
        <v>4</v>
      </c>
      <c r="B6" s="589"/>
      <c r="C6" s="589"/>
      <c r="D6" s="589"/>
      <c r="E6" s="589"/>
      <c r="F6" s="589"/>
      <c r="G6" s="591">
        <v>3</v>
      </c>
      <c r="H6" s="589" t="str" cm="1">
        <f t="array" ref="H6">'Groups Stage'!O5</f>
        <v>Corea del Sur</v>
      </c>
      <c r="I6" s="719" cm="1">
        <f t="array" ref="I6">IF(COUNTIF(AC1:AC51,$H6)&gt;0,I$2,0)</f>
        <v>0</v>
      </c>
      <c r="J6" s="719" cm="1">
        <f t="array" ref="J6">IF(COUNTIF(AD1:AD51,$H6)&gt;0,J$2,0)</f>
        <v>0</v>
      </c>
      <c r="K6" s="719" cm="1">
        <f t="array" ref="K6">IF(COUNTIF(AE1:AE51,$H6)&gt;0,K$2,0)</f>
        <v>0</v>
      </c>
      <c r="L6" s="719" cm="1">
        <f t="array" ref="L6">IF(COUNTIF(AF1:AF51,$H6)&gt;0,L$2,0)</f>
        <v>0</v>
      </c>
      <c r="M6" s="719" cm="1">
        <f t="array" ref="M6">IF(COUNTIF(AG1:AG51,$H6)&gt;0,M$2,0)</f>
        <v>0</v>
      </c>
      <c r="N6" s="719" cm="1">
        <f t="array" ref="N6">IF(COUNTIF(AH1:AH51,$H6)&gt;0,N$2,0)</f>
        <v>1</v>
      </c>
      <c r="O6" s="719" cm="1">
        <f t="array" ref="O6">IF(COUNTIF(AI1:AI51,$H6)&gt;0,O$2,0)</f>
        <v>1</v>
      </c>
      <c r="P6" s="719" cm="1">
        <f t="array" ref="P6">SUM(I6:O6)</f>
        <v>2</v>
      </c>
      <c r="Q6" s="719" cm="1">
        <f t="array" ref="Q6">COUNTIFS('Inputs summary'!I1:I234,$H6)</f>
        <v>2</v>
      </c>
      <c r="R6" s="719" cm="1">
        <f t="array" ref="R6">COUNTIFS('Inputs summary'!J1:K234,$H6)</f>
        <v>1</v>
      </c>
      <c r="S6" s="719" cm="1">
        <f t="array" ref="S6">COUNTIFS('Inputs summary'!L1:L234,$H6)</f>
        <v>2</v>
      </c>
      <c r="T6" s="719" cm="1">
        <f t="array" ref="T6">U6-V6</f>
        <v>0</v>
      </c>
      <c r="U6" s="719" cm="1">
        <f t="array" ref="U6">SUMIF('Inputs summary'!B1:B234,H6,'Inputs summary'!C1:C234)+SUMIF('Inputs summary'!E1:E234,H6,'Inputs summary'!D1:D234)</f>
        <v>5</v>
      </c>
      <c r="V6" s="719" cm="1">
        <f t="array" ref="V6">SUMIF('Inputs summary'!B1:B234,H6,'Inputs summary'!D1:D234)+SUMIF('Inputs summary'!E1:E234,H6,'Inputs summary'!C1:C234)</f>
        <v>5</v>
      </c>
      <c r="W6" s="730" cm="1">
        <f t="array" ref="W6">P6*100+Q6*3+R6+T6/100+U6/10000+(1/AA6)/100000000</f>
        <v>207.0005000004</v>
      </c>
      <c r="X6" s="731" cm="1">
        <f t="array" ref="X6">SUMPRODUCT(I6:O6,$I$1:$O$1)</f>
        <v>11</v>
      </c>
      <c r="Y6" s="732" cm="1">
        <f t="array" ref="Y6">_xlfn.XLOOKUP(H6,AQ1:AQ51,AR1:AR51,"-",0)</f>
        <v>2</v>
      </c>
      <c r="Z6" s="731" cm="1">
        <f t="array" ref="Z6">W6+(1/Y6)*0.000001</f>
        <v>207.00050050039999</v>
      </c>
      <c r="AA6" s="731" cm="1">
        <f t="array" ref="AA6">_xlfn.XLOOKUP(H6,'Ranking FIFA'!B1:B102,'Ranking FIFA'!A1:A102,"--",0)</f>
        <v>25</v>
      </c>
      <c r="AB6" s="589"/>
      <c r="AC6" s="589"/>
      <c r="AD6" s="589"/>
      <c r="AE6" s="589"/>
      <c r="AF6" s="589" t="str" cm="1">
        <f t="array" ref="AF6">'Quarter, Semis &amp; Final'!H19</f>
        <v>Brasil</v>
      </c>
      <c r="AG6" s="589" t="str" cm="1">
        <f t="array" ref="AG6">'Quarter, Semis &amp; Final'!B9</f>
        <v>España</v>
      </c>
      <c r="AH6" s="589" t="str" cm="1">
        <f t="array" ref="AH6">'Round of 32 &amp; Round of 16'!P13</f>
        <v>Corea del Sur</v>
      </c>
      <c r="AI6" s="589" t="str" cm="1">
        <f t="array" ref="AI6">'Round of 32 &amp; Round of 16'!B9</f>
        <v>Alemania</v>
      </c>
      <c r="AJ6" s="589"/>
      <c r="AK6" s="589"/>
      <c r="AL6" s="589"/>
      <c r="AM6" s="589"/>
      <c r="AN6" s="589"/>
      <c r="AO6" s="589"/>
      <c r="AP6" s="592" cm="1">
        <f t="array" ref="AP6">_xlfn.XLOOKUP(AQ6,'Ranking FIFA'!B1:B102,'Ranking FIFA'!A1:A102,"--",0)</f>
        <v>3</v>
      </c>
      <c r="AQ6" s="691" t="s">
        <v>50</v>
      </c>
      <c r="AR6" s="592">
        <v>1</v>
      </c>
      <c r="AS6" s="592">
        <v>1</v>
      </c>
      <c r="AT6" s="733" cm="1">
        <f t="array" ref="AT6">SUMIF($H$4:$H$51,AQ6,$X$4:$X$51)</f>
        <v>201111</v>
      </c>
      <c r="AU6" s="734" cm="1">
        <f t="array" ref="AU6">SUMIF($H$4:$H$51,AQ6,$W$4:$W$51)</f>
        <v>621.09140000333332</v>
      </c>
      <c r="AV6" s="589"/>
      <c r="AW6" s="736">
        <v>4</v>
      </c>
      <c r="AX6" s="737" cm="1">
        <f t="array" ref="AX6">_xlfn.MAXIFS(AT1:AT51,AR1:AR51,AW6)</f>
        <v>0</v>
      </c>
      <c r="AY6" s="736" cm="1">
        <f t="array" ref="AY6">IF($AX6&gt;AY$2,1,0)</f>
        <v>0</v>
      </c>
      <c r="AZ6" s="736" cm="1">
        <f t="array" ref="AZ6">IF($AX6&gt;AZ$2,1,0)</f>
        <v>0</v>
      </c>
      <c r="BA6" s="736" cm="1">
        <f t="array" ref="BA6">IF($AX6&gt;BA$2,1,0)</f>
        <v>0</v>
      </c>
      <c r="BB6" s="736" cm="1">
        <f t="array" ref="BB6">IF($AX6&gt;BB$2,1,0)</f>
        <v>0</v>
      </c>
      <c r="BC6" s="736" cm="1">
        <f t="array" ref="BC6">IF($AX6&gt;BC$2,1,0)</f>
        <v>0</v>
      </c>
      <c r="BD6" s="738" t="str" cm="1">
        <f t="array" ref="BD6">_xlfn.XLOOKUP(BE6,W1:W51,H1:H51)</f>
        <v>Nueva Zelanda</v>
      </c>
      <c r="BE6" s="739" cm="1">
        <f t="array" ref="BE6">_xlfn.MAXIFS(W1:W51,Y1:Y51,AW6)</f>
        <v>0.97020000011764707</v>
      </c>
      <c r="BF6" s="740" cm="1">
        <f t="array" ref="BF6">IF(AY6&gt;0,AX6,0)*2</f>
        <v>0</v>
      </c>
      <c r="BG6" s="589"/>
      <c r="BH6" s="591">
        <v>3</v>
      </c>
      <c r="BI6" s="589" t="str" cm="1">
        <f t="array" ref="BI6">H6</f>
        <v>Corea del Sur</v>
      </c>
      <c r="BJ6" s="719" cm="1">
        <f t="array" ref="BJ6">COUNTIFS('Inputs summary'!I$2:I$106,BI6)</f>
        <v>1</v>
      </c>
      <c r="BK6" s="719" cm="1">
        <f t="array" ref="BK6">COUNTIFS('Inputs summary'!J$2:K$106,BI6)</f>
        <v>1</v>
      </c>
      <c r="BL6" s="719" cm="1">
        <f t="array" ref="BL6">COUNTIFS('Inputs summary'!L$2:L$106,BI6)</f>
        <v>1</v>
      </c>
      <c r="BM6" s="719" cm="1">
        <f t="array" ref="BM6">BN6-BO6</f>
        <v>0</v>
      </c>
      <c r="BN6" s="719" cm="1">
        <f t="array" ref="BN6">SUMIF('Inputs summary'!$B$1:$B$106,$BI6,'Inputs summary'!$C$1:$C$106)+SUMIF('Inputs summary'!$E$1:$E$106,$BI6,'Inputs summary'!$D$1:$D$106)</f>
        <v>3</v>
      </c>
      <c r="BO6" s="719" cm="1">
        <f t="array" ref="BO6">SUMIF('Inputs summary'!$B$1:$B$106,$BI6,'Inputs summary'!$D$1:$D$106)+SUMIF('Inputs summary'!$E$1:$E$106,$BI6,'Inputs summary'!$C$1:$C$106)</f>
        <v>3</v>
      </c>
      <c r="BP6" s="734" cm="1">
        <f t="array" ref="BP6">BJ6*3+BK6*2+BM6/100+BN6/1000+Y6/100000+AA6/10000000</f>
        <v>5.0030225000000002</v>
      </c>
      <c r="BQ6" s="589"/>
      <c r="BR6" s="589"/>
      <c r="BS6" s="589"/>
    </row>
    <row r="7" spans="1:71" ht="14.25" customHeight="1">
      <c r="A7" s="589"/>
      <c r="B7" s="589"/>
      <c r="C7" s="589"/>
      <c r="D7" s="589"/>
      <c r="E7" s="589"/>
      <c r="F7" s="589"/>
      <c r="G7" s="591">
        <v>4</v>
      </c>
      <c r="H7" s="589" t="str" cm="1">
        <f t="array" ref="H7">'Groups Stage'!O6</f>
        <v>Repubilca Checa</v>
      </c>
      <c r="I7" s="719" cm="1">
        <f t="array" ref="I7">IF(COUNTIF(AC1:AC51,$H7)&gt;0,I$2,0)</f>
        <v>0</v>
      </c>
      <c r="J7" s="719" cm="1">
        <f t="array" ref="J7">IF(COUNTIF(AD1:AD51,$H7)&gt;0,J$2,0)</f>
        <v>0</v>
      </c>
      <c r="K7" s="719" cm="1">
        <f t="array" ref="K7">IF(COUNTIF(AE1:AE51,$H7)&gt;0,K$2,0)</f>
        <v>0</v>
      </c>
      <c r="L7" s="719" cm="1">
        <f t="array" ref="L7">IF(COUNTIF(AF1:AF51,$H7)&gt;0,L$2,0)</f>
        <v>0</v>
      </c>
      <c r="M7" s="719" cm="1">
        <f t="array" ref="M7">IF(COUNTIF(AG1:AG51,$H7)&gt;0,M$2,0)</f>
        <v>0</v>
      </c>
      <c r="N7" s="719" cm="1">
        <f t="array" ref="N7">IF(COUNTIF(AH1:AH51,$H7)&gt;0,N$2,0)</f>
        <v>0</v>
      </c>
      <c r="O7" s="719" cm="1">
        <f t="array" ref="O7">IF(COUNTIF(AI1:AI51,$H7)&gt;0,O$2,0)</f>
        <v>1</v>
      </c>
      <c r="P7" s="719" cm="1">
        <f t="array" ref="P7">SUM(I7:O7)</f>
        <v>1</v>
      </c>
      <c r="Q7" s="719" cm="1">
        <f t="array" ref="Q7">COUNTIFS('Inputs summary'!I1:I234,$H7)</f>
        <v>1</v>
      </c>
      <c r="R7" s="719" cm="1">
        <f t="array" ref="R7">COUNTIFS('Inputs summary'!J1:K234,$H7)</f>
        <v>1</v>
      </c>
      <c r="S7" s="719" cm="1">
        <f t="array" ref="S7">COUNTIFS('Inputs summary'!L1:L234,$H7)</f>
        <v>2</v>
      </c>
      <c r="T7" s="719" cm="1">
        <f t="array" ref="T7">U7-V7</f>
        <v>-1</v>
      </c>
      <c r="U7" s="719" cm="1">
        <f t="array" ref="U7">SUMIF('Inputs summary'!B1:B234,H7,'Inputs summary'!C1:C234)+SUMIF('Inputs summary'!E1:E234,H7,'Inputs summary'!D1:D234)</f>
        <v>3</v>
      </c>
      <c r="V7" s="719" cm="1">
        <f t="array" ref="V7">SUMIF('Inputs summary'!B1:B234,H7,'Inputs summary'!D1:D234)+SUMIF('Inputs summary'!E1:E234,H7,'Inputs summary'!C1:C234)</f>
        <v>4</v>
      </c>
      <c r="W7" s="730" cm="1">
        <f t="array" ref="W7">P7*100+Q7*3+R7+T7/100+U7/10000+(1/AA7)/100000000</f>
        <v>103.99030000024389</v>
      </c>
      <c r="X7" s="731" cm="1">
        <f t="array" ref="X7">SUMPRODUCT(I7:O7,$I$1:$O$1)</f>
        <v>1</v>
      </c>
      <c r="Y7" s="732" cm="1">
        <f t="array" ref="Y7">_xlfn.XLOOKUP(H7,AQ1:AQ51,AR1:AR51,"-",0)</f>
        <v>3</v>
      </c>
      <c r="Z7" s="731" cm="1">
        <f t="array" ref="Z7">W7+(1/Y7)*0.000001</f>
        <v>103.99030033357722</v>
      </c>
      <c r="AA7" s="731" cm="1">
        <f t="array" ref="AA7">_xlfn.XLOOKUP(H7,'Ranking FIFA'!B1:B102,'Ranking FIFA'!A1:A102,"--",0)</f>
        <v>41</v>
      </c>
      <c r="AB7" s="589"/>
      <c r="AC7" s="589"/>
      <c r="AD7" s="589"/>
      <c r="AE7" s="589"/>
      <c r="AF7" s="589" t="str" cm="1">
        <f t="array" ref="AF7">'Quarter, Semis &amp; Final'!K19</f>
        <v>Argentina</v>
      </c>
      <c r="AG7" s="589" t="str" cm="1">
        <f t="array" ref="AG7">'Quarter, Semis &amp; Final'!E9</f>
        <v>Belgica</v>
      </c>
      <c r="AH7" s="589" t="str" cm="1">
        <f t="array" ref="AH7">'Round of 32 &amp; Round of 16'!S13</f>
        <v>Marruecos</v>
      </c>
      <c r="AI7" s="589" t="str" cm="1">
        <f t="array" ref="AI7">'Round of 32 &amp; Round of 16'!E9</f>
        <v>Turquia</v>
      </c>
      <c r="AJ7" s="589"/>
      <c r="AK7" s="589"/>
      <c r="AL7" s="589"/>
      <c r="AM7" s="589"/>
      <c r="AN7" s="589"/>
      <c r="AO7" s="589"/>
      <c r="AP7" s="592" cm="1">
        <f t="array" ref="AP7">_xlfn.XLOOKUP(AQ7,'Ranking FIFA'!B1:B102,'Ranking FIFA'!A1:A102,"--",0)</f>
        <v>4</v>
      </c>
      <c r="AQ7" s="691" t="s">
        <v>51</v>
      </c>
      <c r="AR7" s="592">
        <v>1</v>
      </c>
      <c r="AS7" s="592">
        <v>1</v>
      </c>
      <c r="AT7" s="733" cm="1">
        <f t="array" ref="AT7">SUMIF($H$4:$H$51,AQ7,$X$4:$X$51)</f>
        <v>111</v>
      </c>
      <c r="AU7" s="734" cm="1">
        <f t="array" ref="AU7">SUMIF($H$4:$H$51,AQ7,$W$4:$W$51)</f>
        <v>313.05110000249999</v>
      </c>
      <c r="AV7" s="589"/>
      <c r="AW7" s="584"/>
      <c r="AX7" s="584"/>
      <c r="AY7" s="584"/>
      <c r="AZ7" s="584"/>
      <c r="BA7" s="584"/>
      <c r="BB7" s="584"/>
      <c r="BC7" s="741" t="s">
        <v>850</v>
      </c>
      <c r="BD7" s="742" t="str" cm="1">
        <f t="array" ref="BD7">IF(BF7=0,IF(AX6&lt;1,"No hay Revelación",BD6),_xlfn.XLOOKUP(BF7,BF4:BF6,BD4:BD6,"-",0))</f>
        <v>No hay Revelación</v>
      </c>
      <c r="BE7" s="584"/>
      <c r="BF7" s="743" cm="1">
        <f t="array" ref="BF7">MAX(BF4:BF6)</f>
        <v>0</v>
      </c>
      <c r="BG7" s="589"/>
      <c r="BH7" s="591">
        <v>4</v>
      </c>
      <c r="BI7" s="589" t="str" cm="1">
        <f t="array" ref="BI7">H7</f>
        <v>Repubilca Checa</v>
      </c>
      <c r="BJ7" s="719" cm="1">
        <f t="array" ref="BJ7">COUNTIFS('Inputs summary'!I$2:I$106,BI7)</f>
        <v>1</v>
      </c>
      <c r="BK7" s="719" cm="1">
        <f t="array" ref="BK7">COUNTIFS('Inputs summary'!J$2:K$106,BI7)</f>
        <v>1</v>
      </c>
      <c r="BL7" s="719" cm="1">
        <f t="array" ref="BL7">COUNTIFS('Inputs summary'!L$2:L$106,BI7)</f>
        <v>1</v>
      </c>
      <c r="BM7" s="719" cm="1">
        <f t="array" ref="BM7">BN7-BO7</f>
        <v>0</v>
      </c>
      <c r="BN7" s="719" cm="1">
        <f t="array" ref="BN7">SUMIF('Inputs summary'!$B$1:$B$106,$BI7,'Inputs summary'!$C$1:$C$106)+SUMIF('Inputs summary'!$E$1:$E$106,$BI7,'Inputs summary'!$D$1:$D$106)</f>
        <v>2</v>
      </c>
      <c r="BO7" s="719" cm="1">
        <f t="array" ref="BO7">SUMIF('Inputs summary'!$B$1:$B$106,$BI7,'Inputs summary'!$D$1:$D$106)+SUMIF('Inputs summary'!$E$1:$E$106,$BI7,'Inputs summary'!$C$1:$C$106)</f>
        <v>2</v>
      </c>
      <c r="BP7" s="734" cm="1">
        <f t="array" ref="BP7">BJ7*3+BK7*2+BM7/100+BN7/1000+Y7/100000+AA7/10000000</f>
        <v>5.0020340999999995</v>
      </c>
      <c r="BQ7" s="589"/>
      <c r="BR7" s="589"/>
      <c r="BS7" s="589"/>
    </row>
    <row r="8" spans="1:71" ht="14.25" customHeight="1">
      <c r="A8" s="589"/>
      <c r="B8" s="589"/>
      <c r="C8" s="589"/>
      <c r="D8" s="589"/>
      <c r="E8" s="589"/>
      <c r="F8" s="589"/>
      <c r="G8" s="591">
        <v>5</v>
      </c>
      <c r="H8" s="589" t="str" cm="1">
        <f t="array" ref="H8">'Groups Stage'!O12</f>
        <v>Canada</v>
      </c>
      <c r="I8" s="719" cm="1">
        <f t="array" ref="I8">IF(COUNTIF(AC1:AC51,$H8)&gt;0,I$2,0)</f>
        <v>0</v>
      </c>
      <c r="J8" s="719" cm="1">
        <f t="array" ref="J8">IF(COUNTIF(AD1:AD51,$H8)&gt;0,J$2,0)</f>
        <v>0</v>
      </c>
      <c r="K8" s="719" cm="1">
        <f t="array" ref="K8">IF(COUNTIF(AE1:AE51,$H8)&gt;0,K$2,0)</f>
        <v>0</v>
      </c>
      <c r="L8" s="719" cm="1">
        <f t="array" ref="L8">IF(COUNTIF(AF1:AF51,$H8)&gt;0,L$2,0)</f>
        <v>0</v>
      </c>
      <c r="M8" s="719" cm="1">
        <f t="array" ref="M8">IF(COUNTIF(AG1:AG51,$H8)&gt;0,M$2,0)</f>
        <v>0</v>
      </c>
      <c r="N8" s="719" cm="1">
        <f t="array" ref="N8">IF(COUNTIF(AH1:AH51,$H8)&gt;0,N$2,0)</f>
        <v>0</v>
      </c>
      <c r="O8" s="719" cm="1">
        <f t="array" ref="O8">IF(COUNTIF(AI1:AI51,$H8)&gt;0,O$2,0)</f>
        <v>1</v>
      </c>
      <c r="P8" s="719" cm="1">
        <f t="array" ref="P8">SUM(I8:O8)</f>
        <v>1</v>
      </c>
      <c r="Q8" s="719" cm="1">
        <f t="array" ref="Q8">COUNTIFS('Inputs summary'!I1:I234,$H8)</f>
        <v>2</v>
      </c>
      <c r="R8" s="719" cm="1">
        <f t="array" ref="R8">COUNTIFS('Inputs summary'!J1:K234,$H8)</f>
        <v>1</v>
      </c>
      <c r="S8" s="719" cm="1">
        <f t="array" ref="S8">COUNTIFS('Inputs summary'!L1:L234,$H8)</f>
        <v>1</v>
      </c>
      <c r="T8" s="719" cm="1">
        <f t="array" ref="T8">U8-V8</f>
        <v>2</v>
      </c>
      <c r="U8" s="719" cm="1">
        <f t="array" ref="U8">SUMIF('Inputs summary'!B1:B234,H8,'Inputs summary'!C1:C234)+SUMIF('Inputs summary'!E1:E234,H8,'Inputs summary'!D1:D234)</f>
        <v>4</v>
      </c>
      <c r="V8" s="719" cm="1">
        <f t="array" ref="V8">SUMIF('Inputs summary'!B1:B234,H8,'Inputs summary'!D1:D234)+SUMIF('Inputs summary'!E1:E234,H8,'Inputs summary'!C1:C234)</f>
        <v>2</v>
      </c>
      <c r="W8" s="730" cm="1">
        <f t="array" ref="W8">P8*100+Q8*3+R8+T8/100+U8/10000+(1/AA8)/100000000</f>
        <v>107.02040000033332</v>
      </c>
      <c r="X8" s="731" cm="1">
        <f t="array" ref="X8">SUMPRODUCT(I8:O8,$I$1:$O$1)</f>
        <v>1</v>
      </c>
      <c r="Y8" s="732" cm="1">
        <f t="array" ref="Y8">_xlfn.XLOOKUP(H8,AQ1:AQ51,AR1:AR51,"-",0)</f>
        <v>3</v>
      </c>
      <c r="Z8" s="731" cm="1">
        <f t="array" ref="Z8">W8+(1/Y8)*0.000001</f>
        <v>107.02040033366666</v>
      </c>
      <c r="AA8" s="731" cm="1">
        <f t="array" ref="AA8">_xlfn.XLOOKUP(H8,'Ranking FIFA'!B1:B102,'Ranking FIFA'!A1:A102,"--",0)</f>
        <v>30</v>
      </c>
      <c r="AB8" s="589"/>
      <c r="AC8" s="589"/>
      <c r="AD8" s="589"/>
      <c r="AE8" s="589"/>
      <c r="AF8" s="589"/>
      <c r="AG8" s="589" t="str" cm="1">
        <f t="array" ref="AG8">'Quarter, Semis &amp; Final'!H5</f>
        <v>Brasil</v>
      </c>
      <c r="AH8" s="589" t="str" cm="1">
        <f t="array" ref="AH8">'Round of 32 &amp; Round of 16'!P21</f>
        <v>Brasil</v>
      </c>
      <c r="AI8" s="589" t="str" cm="1">
        <f t="array" ref="AI8">'Round of 32 &amp; Round of 16'!B13</f>
        <v>Paises Bajos</v>
      </c>
      <c r="AJ8" s="589"/>
      <c r="AK8" s="589"/>
      <c r="AL8" s="589"/>
      <c r="AM8" s="589"/>
      <c r="AN8" s="589"/>
      <c r="AO8" s="589"/>
      <c r="AP8" s="592" cm="1">
        <f t="array" ref="AP8">_xlfn.XLOOKUP(AQ8,'Ranking FIFA'!B1:B102,'Ranking FIFA'!A1:A102,"--",0)</f>
        <v>5</v>
      </c>
      <c r="AQ8" s="691" t="s">
        <v>52</v>
      </c>
      <c r="AR8" s="592">
        <v>1</v>
      </c>
      <c r="AS8" s="592">
        <v>1</v>
      </c>
      <c r="AT8" s="733" cm="1">
        <f t="array" ref="AT8">SUMIF($H$4:$H$51,AQ8,$X$4:$X$51)</f>
        <v>111</v>
      </c>
      <c r="AU8" s="734" cm="1">
        <f t="array" ref="AU8">SUMIF($H$4:$H$51,AQ8,$W$4:$W$51)</f>
        <v>313.07120000199996</v>
      </c>
      <c r="AV8" s="589"/>
      <c r="AW8" s="589"/>
      <c r="AX8" s="589"/>
      <c r="AY8" s="589"/>
      <c r="AZ8" s="589"/>
      <c r="BA8" s="589"/>
      <c r="BB8" s="589"/>
      <c r="BC8" s="589"/>
      <c r="BD8" s="589"/>
      <c r="BE8" s="589"/>
      <c r="BF8" s="589"/>
      <c r="BG8" s="589"/>
      <c r="BH8" s="591">
        <v>5</v>
      </c>
      <c r="BI8" s="589" t="str" cm="1">
        <f t="array" ref="BI8">H8</f>
        <v>Canada</v>
      </c>
      <c r="BJ8" s="719" cm="1">
        <f t="array" ref="BJ8">COUNTIFS('Inputs summary'!I$2:I$106,BI8)</f>
        <v>2</v>
      </c>
      <c r="BK8" s="719" cm="1">
        <f t="array" ref="BK8">COUNTIFS('Inputs summary'!J$2:K$106,BI8)</f>
        <v>1</v>
      </c>
      <c r="BL8" s="719" cm="1">
        <f t="array" ref="BL8">COUNTIFS('Inputs summary'!L$2:L$106,BI8)</f>
        <v>0</v>
      </c>
      <c r="BM8" s="719" cm="1">
        <f t="array" ref="BM8">BN8-BO8</f>
        <v>3</v>
      </c>
      <c r="BN8" s="719" cm="1">
        <f t="array" ref="BN8">SUMIF('Inputs summary'!$B$1:$B$106,$BI8,'Inputs summary'!$C$1:$C$106)+SUMIF('Inputs summary'!$E$1:$E$106,$BI8,'Inputs summary'!$D$1:$D$106)</f>
        <v>4</v>
      </c>
      <c r="BO8" s="719" cm="1">
        <f t="array" ref="BO8">SUMIF('Inputs summary'!$B$1:$B$106,$BI8,'Inputs summary'!$D$1:$D$106)+SUMIF('Inputs summary'!$E$1:$E$106,$BI8,'Inputs summary'!$C$1:$C$106)</f>
        <v>1</v>
      </c>
      <c r="BP8" s="734" cm="1">
        <f t="array" ref="BP8">BJ8*3+BK8*2+BM8/100+BN8/1000+Y8/100000+AA8/10000000</f>
        <v>8.0340329999999991</v>
      </c>
      <c r="BQ8" s="589"/>
      <c r="BR8" s="589"/>
      <c r="BS8" s="589"/>
    </row>
    <row r="9" spans="1:71" ht="14.25" customHeight="1">
      <c r="A9" s="589"/>
      <c r="B9" s="589"/>
      <c r="C9" s="589"/>
      <c r="D9" s="589"/>
      <c r="E9" s="589"/>
      <c r="F9" s="589"/>
      <c r="G9" s="591">
        <v>6</v>
      </c>
      <c r="H9" s="589" t="str" cm="1">
        <f t="array" ref="H9">'Groups Stage'!O13</f>
        <v>Bosnia</v>
      </c>
      <c r="I9" s="719" cm="1">
        <f t="array" ref="I9">IF(COUNTIF(AC1:AC51,$H9)&gt;0,I$2,0)</f>
        <v>0</v>
      </c>
      <c r="J9" s="719" cm="1">
        <f t="array" ref="J9">IF(COUNTIF(AD1:AD51,$H9)&gt;0,J$2,0)</f>
        <v>0</v>
      </c>
      <c r="K9" s="719" cm="1">
        <f t="array" ref="K9">IF(COUNTIF(AE1:AE51,$H9)&gt;0,K$2,0)</f>
        <v>0</v>
      </c>
      <c r="L9" s="719" cm="1">
        <f t="array" ref="L9">IF(COUNTIF(AF1:AF51,$H9)&gt;0,L$2,0)</f>
        <v>0</v>
      </c>
      <c r="M9" s="719" cm="1">
        <f t="array" ref="M9">IF(COUNTIF(AG1:AG51,$H9)&gt;0,M$2,0)</f>
        <v>0</v>
      </c>
      <c r="N9" s="719" cm="1">
        <f t="array" ref="N9">IF(COUNTIF(AH1:AH51,$H9)&gt;0,N$2,0)</f>
        <v>0</v>
      </c>
      <c r="O9" s="719" cm="1">
        <f t="array" ref="O9">IF(COUNTIF(AI1:AI51,$H9)&gt;0,O$2,0)</f>
        <v>0</v>
      </c>
      <c r="P9" s="719" cm="1">
        <f t="array" ref="P9">SUM(I9:O9)</f>
        <v>0</v>
      </c>
      <c r="Q9" s="719" cm="1">
        <f t="array" ref="Q9">COUNTIFS('Inputs summary'!I1:I234,$H9)</f>
        <v>0</v>
      </c>
      <c r="R9" s="719" cm="1">
        <f t="array" ref="R9">COUNTIFS('Inputs summary'!J1:K234,$H9)</f>
        <v>1</v>
      </c>
      <c r="S9" s="719" cm="1">
        <f t="array" ref="S9">COUNTIFS('Inputs summary'!L1:L234,$H9)</f>
        <v>2</v>
      </c>
      <c r="T9" s="719" cm="1">
        <f t="array" ref="T9">U9-V9</f>
        <v>-2</v>
      </c>
      <c r="U9" s="719" cm="1">
        <f t="array" ref="U9">SUMIF('Inputs summary'!B1:B234,H9,'Inputs summary'!C1:C234)+SUMIF('Inputs summary'!E1:E234,H9,'Inputs summary'!D1:D234)</f>
        <v>1</v>
      </c>
      <c r="V9" s="719" cm="1">
        <f t="array" ref="V9">SUMIF('Inputs summary'!B1:B234,H9,'Inputs summary'!D1:D234)+SUMIF('Inputs summary'!E1:E234,H9,'Inputs summary'!C1:C234)</f>
        <v>3</v>
      </c>
      <c r="W9" s="730" cm="1">
        <f t="array" ref="W9">P9*100+Q9*3+R9+T9/100+U9/10000+(1/AA9)/100000000</f>
        <v>0.98010000015384613</v>
      </c>
      <c r="X9" s="731" cm="1">
        <f t="array" ref="X9">SUMPRODUCT(I9:O9,$I$1:$O$1)</f>
        <v>0</v>
      </c>
      <c r="Y9" s="732" cm="1">
        <f t="array" ref="Y9">_xlfn.XLOOKUP(H9,AQ1:AQ51,AR1:AR51,"-",0)</f>
        <v>3</v>
      </c>
      <c r="Z9" s="731" cm="1">
        <f t="array" ref="Z9">W9+(1/Y9)*0.000001</f>
        <v>0.98010033348717951</v>
      </c>
      <c r="AA9" s="731" cm="1">
        <f t="array" ref="AA9">_xlfn.XLOOKUP(H9,'Ranking FIFA'!B1:B102,'Ranking FIFA'!A1:A102,"--",0)</f>
        <v>65</v>
      </c>
      <c r="AB9" s="589"/>
      <c r="AC9" s="589"/>
      <c r="AD9" s="589"/>
      <c r="AE9" s="589"/>
      <c r="AF9" s="589"/>
      <c r="AG9" s="589" t="str" cm="1">
        <f t="array" ref="AG9">'Quarter, Semis &amp; Final'!K5</f>
        <v>Inglaterra</v>
      </c>
      <c r="AH9" s="589" t="str" cm="1">
        <f t="array" ref="AH9">'Round of 32 &amp; Round of 16'!S21</f>
        <v>Ecuador</v>
      </c>
      <c r="AI9" s="589" t="str" cm="1">
        <f t="array" ref="AI9">'Round of 32 &amp; Round of 16'!E13</f>
        <v>Marruecos</v>
      </c>
      <c r="AJ9" s="589"/>
      <c r="AK9" s="589"/>
      <c r="AL9" s="589"/>
      <c r="AM9" s="589"/>
      <c r="AN9" s="589"/>
      <c r="AO9" s="589"/>
      <c r="AP9" s="592" cm="1">
        <f t="array" ref="AP9">_xlfn.XLOOKUP(AQ9,'Ranking FIFA'!B1:B102,'Ranking FIFA'!A1:A102,"--",0)</f>
        <v>6</v>
      </c>
      <c r="AQ9" s="691" t="s">
        <v>53</v>
      </c>
      <c r="AR9" s="592">
        <v>1</v>
      </c>
      <c r="AS9" s="592">
        <v>1</v>
      </c>
      <c r="AT9" s="733" cm="1">
        <f t="array" ref="AT9">SUMIF($H$4:$H$51,AQ9,$X$4:$X$51)</f>
        <v>1111</v>
      </c>
      <c r="AU9" s="734" cm="1">
        <f t="array" ref="AU9">SUMIF($H$4:$H$51,AQ9,$W$4:$W$51)</f>
        <v>418.08150000166665</v>
      </c>
      <c r="AV9" s="589"/>
      <c r="AW9" s="691" t="s">
        <v>851</v>
      </c>
      <c r="AX9" s="589" t="str" cm="1">
        <f t="array" ref="AX9">_xlfn.XLOOKUP(AX10,AU1:AU51,AQ1:AQ51,"-",0)</f>
        <v>Paises Bajos</v>
      </c>
      <c r="AY9" s="589"/>
      <c r="AZ9" s="589"/>
      <c r="BA9" s="589"/>
      <c r="BB9" s="589"/>
      <c r="BC9" s="589"/>
      <c r="BD9" s="589"/>
      <c r="BE9" s="589"/>
      <c r="BF9" s="589"/>
      <c r="BG9" s="589"/>
      <c r="BH9" s="591">
        <v>6</v>
      </c>
      <c r="BI9" s="589" t="str" cm="1">
        <f t="array" ref="BI9">H9</f>
        <v>Bosnia</v>
      </c>
      <c r="BJ9" s="719" cm="1">
        <f t="array" ref="BJ9">COUNTIFS('Inputs summary'!I$2:I$106,BI9)</f>
        <v>0</v>
      </c>
      <c r="BK9" s="719" cm="1">
        <f t="array" ref="BK9">COUNTIFS('Inputs summary'!J$2:K$106,BI9)</f>
        <v>1</v>
      </c>
      <c r="BL9" s="719" cm="1">
        <f t="array" ref="BL9">COUNTIFS('Inputs summary'!L$2:L$106,BI9)</f>
        <v>2</v>
      </c>
      <c r="BM9" s="719" cm="1">
        <f t="array" ref="BM9">BN9-BO9</f>
        <v>-2</v>
      </c>
      <c r="BN9" s="719" cm="1">
        <f t="array" ref="BN9">SUMIF('Inputs summary'!$B$1:$B$106,$BI9,'Inputs summary'!$C$1:$C$106)+SUMIF('Inputs summary'!$E$1:$E$106,$BI9,'Inputs summary'!$D$1:$D$106)</f>
        <v>1</v>
      </c>
      <c r="BO9" s="719" cm="1">
        <f t="array" ref="BO9">SUMIF('Inputs summary'!$B$1:$B$106,$BI9,'Inputs summary'!$D$1:$D$106)+SUMIF('Inputs summary'!$E$1:$E$106,$BI9,'Inputs summary'!$C$1:$C$106)</f>
        <v>3</v>
      </c>
      <c r="BP9" s="734" cm="1">
        <f t="array" ref="BP9">BJ9*3+BK9*2+BM9/100+BN9/1000+Y9/100000+AA9/10000000</f>
        <v>1.9810364999999999</v>
      </c>
      <c r="BQ9" s="589"/>
      <c r="BR9" s="589"/>
      <c r="BS9" s="589"/>
    </row>
    <row r="10" spans="1:71" ht="14.25" customHeight="1">
      <c r="A10" s="589"/>
      <c r="B10" s="589"/>
      <c r="C10" s="589"/>
      <c r="D10" s="589"/>
      <c r="E10" s="589"/>
      <c r="F10" s="589"/>
      <c r="G10" s="591">
        <v>7</v>
      </c>
      <c r="H10" s="589" t="str" cm="1">
        <f t="array" ref="H10">'Groups Stage'!O14</f>
        <v>Qatar</v>
      </c>
      <c r="I10" s="719" cm="1">
        <f t="array" ref="I10">IF(COUNTIF(AC1:AC51,$H10)&gt;0,I$2,0)</f>
        <v>0</v>
      </c>
      <c r="J10" s="719" cm="1">
        <f t="array" ref="J10">IF(COUNTIF(AD1:AD51,$H10)&gt;0,J$2,0)</f>
        <v>0</v>
      </c>
      <c r="K10" s="719" cm="1">
        <f t="array" ref="K10">IF(COUNTIF(AE1:AE51,$H10)&gt;0,K$2,0)</f>
        <v>0</v>
      </c>
      <c r="L10" s="719" cm="1">
        <f t="array" ref="L10">IF(COUNTIF(AF1:AF51,$H10)&gt;0,L$2,0)</f>
        <v>0</v>
      </c>
      <c r="M10" s="719" cm="1">
        <f t="array" ref="M10">IF(COUNTIF(AG1:AG51,$H10)&gt;0,M$2,0)</f>
        <v>0</v>
      </c>
      <c r="N10" s="719" cm="1">
        <f t="array" ref="N10">IF(COUNTIF(AH1:AH51,$H10)&gt;0,N$2,0)</f>
        <v>0</v>
      </c>
      <c r="O10" s="719" cm="1">
        <f t="array" ref="O10">IF(COUNTIF(AI1:AI51,$H10)&gt;0,O$2,0)</f>
        <v>0</v>
      </c>
      <c r="P10" s="719" cm="1">
        <f t="array" ref="P10">SUM(I10:O10)</f>
        <v>0</v>
      </c>
      <c r="Q10" s="719" cm="1">
        <f t="array" ref="Q10">COUNTIFS('Inputs summary'!I1:I234,$H10)</f>
        <v>0</v>
      </c>
      <c r="R10" s="719" cm="1">
        <f t="array" ref="R10">COUNTIFS('Inputs summary'!J1:K234,$H10)</f>
        <v>1</v>
      </c>
      <c r="S10" s="719" cm="1">
        <f t="array" ref="S10">COUNTIFS('Inputs summary'!L1:L234,$H10)</f>
        <v>2</v>
      </c>
      <c r="T10" s="719" cm="1">
        <f t="array" ref="T10">U10-V10</f>
        <v>-4</v>
      </c>
      <c r="U10" s="719" cm="1">
        <f t="array" ref="U10">SUMIF('Inputs summary'!B1:B234,H10,'Inputs summary'!C1:C234)+SUMIF('Inputs summary'!E1:E234,H10,'Inputs summary'!D1:D234)</f>
        <v>1</v>
      </c>
      <c r="V10" s="719" cm="1">
        <f t="array" ref="V10">SUMIF('Inputs summary'!B1:B234,H10,'Inputs summary'!D1:D234)+SUMIF('Inputs summary'!E1:E234,H10,'Inputs summary'!C1:C234)</f>
        <v>5</v>
      </c>
      <c r="W10" s="730" cm="1">
        <f t="array" ref="W10">P10*100+Q10*3+R10+T10/100+U10/10000+(1/AA10)/100000000</f>
        <v>0.96010000018181818</v>
      </c>
      <c r="X10" s="731" cm="1">
        <f t="array" ref="X10">SUMPRODUCT(I10:O10,$I$1:$O$1)</f>
        <v>0</v>
      </c>
      <c r="Y10" s="732" cm="1">
        <f t="array" ref="Y10">_xlfn.XLOOKUP(H10,AQ1:AQ51,AR1:AR51,"-",0)</f>
        <v>4</v>
      </c>
      <c r="Z10" s="731" cm="1">
        <f t="array" ref="Z10">W10+(1/Y10)*0.000001</f>
        <v>0.96010025018181822</v>
      </c>
      <c r="AA10" s="731" cm="1">
        <f t="array" ref="AA10">_xlfn.XLOOKUP(H10,'Ranking FIFA'!B1:B102,'Ranking FIFA'!A1:A102,"--",0)</f>
        <v>55</v>
      </c>
      <c r="AB10" s="589"/>
      <c r="AC10" s="589"/>
      <c r="AD10" s="589"/>
      <c r="AE10" s="589"/>
      <c r="AF10" s="589"/>
      <c r="AG10" s="589" t="str" cm="1">
        <f t="array" ref="AG10">'Quarter, Semis &amp; Final'!H9</f>
        <v>Argentina</v>
      </c>
      <c r="AH10" s="589" t="str" cm="1">
        <f t="array" ref="AH10">'Round of 32 &amp; Round of 16'!P29</f>
        <v>Mexico</v>
      </c>
      <c r="AI10" s="589" t="str" cm="1">
        <f t="array" ref="AI10">'Round of 32 &amp; Round of 16'!B17</f>
        <v>Brasil</v>
      </c>
      <c r="AJ10" s="589"/>
      <c r="AK10" s="589"/>
      <c r="AL10" s="589"/>
      <c r="AM10" s="589"/>
      <c r="AN10" s="589"/>
      <c r="AO10" s="589"/>
      <c r="AP10" s="592" cm="1">
        <f t="array" ref="AP10">_xlfn.XLOOKUP(AQ10,'Ranking FIFA'!B1:B102,'Ranking FIFA'!A1:A102,"--",0)</f>
        <v>7</v>
      </c>
      <c r="AQ10" s="691" t="s">
        <v>54</v>
      </c>
      <c r="AR10" s="592">
        <v>1</v>
      </c>
      <c r="AS10" s="592">
        <v>1</v>
      </c>
      <c r="AT10" s="733" cm="1">
        <f t="array" ref="AT10">SUMIF($H$4:$H$51,AQ10,$X$4:$X$51)</f>
        <v>1</v>
      </c>
      <c r="AU10" s="734" cm="1">
        <f t="array" ref="AU10">SUMIF($H$4:$H$51,AQ10,$W$4:$W$51)</f>
        <v>109.04070000142858</v>
      </c>
      <c r="AV10" s="589"/>
      <c r="AW10" s="691" t="s">
        <v>306</v>
      </c>
      <c r="AX10" s="744" cm="1">
        <f t="array" ref="AX10">_xlfn.MINIFS(AU1:AU51,AS1:AS51,1)</f>
        <v>109.04070000142858</v>
      </c>
      <c r="AY10" s="589"/>
      <c r="AZ10" s="589"/>
      <c r="BA10" s="589"/>
      <c r="BB10" s="589"/>
      <c r="BC10" s="589"/>
      <c r="BD10" s="589"/>
      <c r="BE10" s="589"/>
      <c r="BF10" s="589"/>
      <c r="BG10" s="589"/>
      <c r="BH10" s="591">
        <v>7</v>
      </c>
      <c r="BI10" s="589" t="str" cm="1">
        <f t="array" ref="BI10">H10</f>
        <v>Qatar</v>
      </c>
      <c r="BJ10" s="719" cm="1">
        <f t="array" ref="BJ10">COUNTIFS('Inputs summary'!I$2:I$106,BI10)</f>
        <v>0</v>
      </c>
      <c r="BK10" s="719" cm="1">
        <f t="array" ref="BK10">COUNTIFS('Inputs summary'!J$2:K$106,BI10)</f>
        <v>1</v>
      </c>
      <c r="BL10" s="719" cm="1">
        <f t="array" ref="BL10">COUNTIFS('Inputs summary'!L$2:L$106,BI10)</f>
        <v>2</v>
      </c>
      <c r="BM10" s="719" cm="1">
        <f t="array" ref="BM10">BN10-BO10</f>
        <v>-4</v>
      </c>
      <c r="BN10" s="719" cm="1">
        <f t="array" ref="BN10">SUMIF('Inputs summary'!$B$1:$B$106,$BI10,'Inputs summary'!$C$1:$C$106)+SUMIF('Inputs summary'!$E$1:$E$106,$BI10,'Inputs summary'!$D$1:$D$106)</f>
        <v>1</v>
      </c>
      <c r="BO10" s="719" cm="1">
        <f t="array" ref="BO10">SUMIF('Inputs summary'!$B$1:$B$106,$BI10,'Inputs summary'!$D$1:$D$106)+SUMIF('Inputs summary'!$E$1:$E$106,$BI10,'Inputs summary'!$C$1:$C$106)</f>
        <v>5</v>
      </c>
      <c r="BP10" s="734" cm="1">
        <f t="array" ref="BP10">BJ10*3+BK10*2+BM10/100+BN10/1000+Y10/100000+AA10/10000000</f>
        <v>1.9610455</v>
      </c>
      <c r="BQ10" s="589"/>
      <c r="BR10" s="589"/>
      <c r="BS10" s="589"/>
    </row>
    <row r="11" spans="1:71" ht="14.25" customHeight="1">
      <c r="A11" s="589"/>
      <c r="B11" s="589"/>
      <c r="C11" s="589"/>
      <c r="D11" s="589"/>
      <c r="E11" s="589"/>
      <c r="F11" s="589"/>
      <c r="G11" s="591">
        <v>8</v>
      </c>
      <c r="H11" s="589" t="str" cm="1">
        <f t="array" ref="H11">'Groups Stage'!O15</f>
        <v>Suiza</v>
      </c>
      <c r="I11" s="719" cm="1">
        <f t="array" ref="I11">IF(COUNTIF(AC1:AC51,$H11)&gt;0,I$2,0)</f>
        <v>0</v>
      </c>
      <c r="J11" s="719" cm="1">
        <f t="array" ref="J11">IF(COUNTIF(AD1:AD51,$H11)&gt;0,J$2,0)</f>
        <v>0</v>
      </c>
      <c r="K11" s="719" cm="1">
        <f t="array" ref="K11">IF(COUNTIF(AE1:AE51,$H11)&gt;0,K$2,0)</f>
        <v>0</v>
      </c>
      <c r="L11" s="719" cm="1">
        <f t="array" ref="L11">IF(COUNTIF(AF1:AF51,$H11)&gt;0,L$2,0)</f>
        <v>0</v>
      </c>
      <c r="M11" s="719" cm="1">
        <f t="array" ref="M11">IF(COUNTIF(AG1:AG51,$H11)&gt;0,M$2,0)</f>
        <v>0</v>
      </c>
      <c r="N11" s="719" cm="1">
        <f t="array" ref="N11">IF(COUNTIF(AH1:AH51,$H11)&gt;0,N$2,0)</f>
        <v>1</v>
      </c>
      <c r="O11" s="719" cm="1">
        <f t="array" ref="O11">IF(COUNTIF(AI1:AI51,$H11)&gt;0,O$2,0)</f>
        <v>1</v>
      </c>
      <c r="P11" s="719" cm="1">
        <f t="array" ref="P11">SUM(I11:O11)</f>
        <v>2</v>
      </c>
      <c r="Q11" s="719" cm="1">
        <f t="array" ref="Q11">COUNTIFS('Inputs summary'!I1:I234,$H11)</f>
        <v>3</v>
      </c>
      <c r="R11" s="719" cm="1">
        <f t="array" ref="R11">COUNTIFS('Inputs summary'!J1:K234,$H11)</f>
        <v>1</v>
      </c>
      <c r="S11" s="719" cm="1">
        <f t="array" ref="S11">COUNTIFS('Inputs summary'!L1:L234,$H11)</f>
        <v>1</v>
      </c>
      <c r="T11" s="719" cm="1">
        <f t="array" ref="T11">U11-V11</f>
        <v>3</v>
      </c>
      <c r="U11" s="719" cm="1">
        <f t="array" ref="U11">SUMIF('Inputs summary'!B1:B234,H11,'Inputs summary'!C1:C234)+SUMIF('Inputs summary'!E1:E234,H11,'Inputs summary'!D1:D234)</f>
        <v>6</v>
      </c>
      <c r="V11" s="719" cm="1">
        <f t="array" ref="V11">SUMIF('Inputs summary'!B1:B234,H11,'Inputs summary'!D1:D234)+SUMIF('Inputs summary'!E1:E234,H11,'Inputs summary'!C1:C234)</f>
        <v>3</v>
      </c>
      <c r="W11" s="730" cm="1">
        <f t="array" ref="W11">P11*100+Q11*3+R11+T11/100+U11/10000+(1/AA11)/100000000</f>
        <v>210.03060000052631</v>
      </c>
      <c r="X11" s="731" cm="1">
        <f t="array" ref="X11">SUMPRODUCT(I11:O11,$I$1:$O$1)</f>
        <v>11</v>
      </c>
      <c r="Y11" s="732" cm="1">
        <f t="array" ref="Y11">_xlfn.XLOOKUP(H11,AQ1:AQ51,AR1:AR51,"-",0)</f>
        <v>2</v>
      </c>
      <c r="Z11" s="731" cm="1">
        <f t="array" ref="Z11">W11+(1/Y11)*0.000001</f>
        <v>210.0306005005263</v>
      </c>
      <c r="AA11" s="731" cm="1">
        <f t="array" ref="AA11">_xlfn.XLOOKUP(H11,'Ranking FIFA'!B1:B102,'Ranking FIFA'!A1:A102,"--",0)</f>
        <v>19</v>
      </c>
      <c r="AB11" s="589"/>
      <c r="AC11" s="589"/>
      <c r="AD11" s="589"/>
      <c r="AE11" s="589"/>
      <c r="AF11" s="589"/>
      <c r="AG11" s="589" t="str" cm="1">
        <f t="array" ref="AG11">'Quarter, Semis &amp; Final'!K9</f>
        <v>Portugal</v>
      </c>
      <c r="AH11" s="589" t="str" cm="1">
        <f t="array" ref="AH11">'Round of 32 &amp; Round of 16'!S29</f>
        <v>Inglaterra</v>
      </c>
      <c r="AI11" s="589" t="str" cm="1">
        <f t="array" ref="AI11">'Round of 32 &amp; Round of 16'!E17</f>
        <v>Japon</v>
      </c>
      <c r="AJ11" s="589"/>
      <c r="AK11" s="589"/>
      <c r="AL11" s="589"/>
      <c r="AM11" s="589"/>
      <c r="AN11" s="589"/>
      <c r="AO11" s="589"/>
      <c r="AP11" s="592" cm="1">
        <f t="array" ref="AP11">_xlfn.XLOOKUP(AQ11,'Ranking FIFA'!B1:B102,'Ranking FIFA'!A1:A102,"--",0)</f>
        <v>9</v>
      </c>
      <c r="AQ11" s="691" t="s">
        <v>55</v>
      </c>
      <c r="AR11" s="592">
        <v>1</v>
      </c>
      <c r="AS11" s="592">
        <v>2</v>
      </c>
      <c r="AT11" s="733" cm="1">
        <f t="array" ref="AT11">SUMIF($H$4:$H$51,AQ11,$X$4:$X$51)</f>
        <v>111</v>
      </c>
      <c r="AU11" s="734" cm="1">
        <f t="array" ref="AU11">SUMIF($H$4:$H$51,AQ11,$W$4:$W$51)</f>
        <v>315.07110000111112</v>
      </c>
      <c r="AV11" s="589"/>
      <c r="AW11" s="691" t="s">
        <v>852</v>
      </c>
      <c r="AX11" s="744" cm="1">
        <f t="array" ref="AX11">_xlfn.XLOOKUP(AX10,AU1:AU51,AT1:AT51,"-",0)</f>
        <v>1</v>
      </c>
      <c r="AY11" s="735" t="str" cm="1">
        <f t="array" ref="AY11">IF(AX11&gt;=AY2,"-",AX9)</f>
        <v>Paises Bajos</v>
      </c>
      <c r="AZ11" s="589"/>
      <c r="BA11" s="589"/>
      <c r="BB11" s="589"/>
      <c r="BC11" s="589"/>
      <c r="BD11" s="589"/>
      <c r="BE11" s="589"/>
      <c r="BF11" s="589"/>
      <c r="BG11" s="589"/>
      <c r="BH11" s="591">
        <v>8</v>
      </c>
      <c r="BI11" s="589" t="str" cm="1">
        <f t="array" ref="BI11">H11</f>
        <v>Suiza</v>
      </c>
      <c r="BJ11" s="719" cm="1">
        <f t="array" ref="BJ11">COUNTIFS('Inputs summary'!I$2:I$106,BI11)</f>
        <v>2</v>
      </c>
      <c r="BK11" s="719" cm="1">
        <f t="array" ref="BK11">COUNTIFS('Inputs summary'!J$2:K$106,BI11)</f>
        <v>1</v>
      </c>
      <c r="BL11" s="719" cm="1">
        <f t="array" ref="BL11">COUNTIFS('Inputs summary'!L$2:L$106,BI11)</f>
        <v>0</v>
      </c>
      <c r="BM11" s="719" cm="1">
        <f t="array" ref="BM11">BN11-BO11</f>
        <v>3</v>
      </c>
      <c r="BN11" s="719" cm="1">
        <f t="array" ref="BN11">SUMIF('Inputs summary'!$B$1:$B$106,$BI11,'Inputs summary'!$C$1:$C$106)+SUMIF('Inputs summary'!$E$1:$E$106,$BI11,'Inputs summary'!$D$1:$D$106)</f>
        <v>4</v>
      </c>
      <c r="BO11" s="719" cm="1">
        <f t="array" ref="BO11">SUMIF('Inputs summary'!$B$1:$B$106,$BI11,'Inputs summary'!$D$1:$D$106)+SUMIF('Inputs summary'!$E$1:$E$106,$BI11,'Inputs summary'!$C$1:$C$106)</f>
        <v>1</v>
      </c>
      <c r="BP11" s="734" cm="1">
        <f t="array" ref="BP11">BJ11*3+BK11*2+BM11/100+BN11/1000+Y11/100000+AA11/10000000</f>
        <v>8.0340218999999991</v>
      </c>
      <c r="BQ11" s="589"/>
      <c r="BR11" s="589"/>
      <c r="BS11" s="589"/>
    </row>
    <row r="12" spans="1:71" ht="14.25" customHeight="1">
      <c r="A12" s="589"/>
      <c r="B12" s="589"/>
      <c r="C12" s="589"/>
      <c r="D12" s="589"/>
      <c r="E12" s="589"/>
      <c r="F12" s="589"/>
      <c r="G12" s="591">
        <v>9</v>
      </c>
      <c r="H12" s="589" t="str" cm="1">
        <f t="array" ref="H12">'Groups Stage'!O21</f>
        <v>Brasil</v>
      </c>
      <c r="I12" s="719" cm="1">
        <f t="array" ref="I12">IF(COUNTIF(AC1:AC51,$H12)&gt;0,I$2,0)</f>
        <v>0</v>
      </c>
      <c r="J12" s="719" cm="1">
        <f t="array" ref="J12">IF(COUNTIF(AD1:AD51,$H12)&gt;0,J$2,0)</f>
        <v>0</v>
      </c>
      <c r="K12" s="719" cm="1">
        <f t="array" ref="K12">IF(COUNTIF(AE1:AE51,$H12)&gt;0,K$2,0)</f>
        <v>0</v>
      </c>
      <c r="L12" s="719" cm="1">
        <f t="array" ref="L12">IF(COUNTIF(AF1:AF51,$H12)&gt;0,L$2,0)</f>
        <v>1</v>
      </c>
      <c r="M12" s="719" cm="1">
        <f t="array" ref="M12">IF(COUNTIF(AG1:AG51,$H12)&gt;0,M$2,0)</f>
        <v>1</v>
      </c>
      <c r="N12" s="719" cm="1">
        <f t="array" ref="N12">IF(COUNTIF(AH1:AH51,$H12)&gt;0,N$2,0)</f>
        <v>1</v>
      </c>
      <c r="O12" s="719" cm="1">
        <f t="array" ref="O12">IF(COUNTIF(AI1:AI51,$H12)&gt;0,O$2,0)</f>
        <v>1</v>
      </c>
      <c r="P12" s="719" cm="1">
        <f t="array" ref="P12">SUM(I12:O12)</f>
        <v>4</v>
      </c>
      <c r="Q12" s="719" cm="1">
        <f t="array" ref="Q12">COUNTIFS('Inputs summary'!I1:I234,$H12)</f>
        <v>6</v>
      </c>
      <c r="R12" s="719" cm="1">
        <f t="array" ref="R12">COUNTIFS('Inputs summary'!J1:K234,$H12)</f>
        <v>0</v>
      </c>
      <c r="S12" s="719" cm="1">
        <f t="array" ref="S12">COUNTIFS('Inputs summary'!L1:L234,$H12)</f>
        <v>2</v>
      </c>
      <c r="T12" s="719" cm="1">
        <f t="array" ref="T12">U12-V12</f>
        <v>8</v>
      </c>
      <c r="U12" s="719" cm="1">
        <f t="array" ref="U12">SUMIF('Inputs summary'!B1:B234,H12,'Inputs summary'!C1:C234)+SUMIF('Inputs summary'!E1:E234,H12,'Inputs summary'!D1:D234)</f>
        <v>15</v>
      </c>
      <c r="V12" s="719" cm="1">
        <f t="array" ref="V12">SUMIF('Inputs summary'!B1:B234,H12,'Inputs summary'!D1:D234)+SUMIF('Inputs summary'!E1:E234,H12,'Inputs summary'!C1:C234)</f>
        <v>7</v>
      </c>
      <c r="W12" s="730" cm="1">
        <f t="array" ref="W12">P12*100+Q12*3+R12+T12/100+U12/10000+(1/AA12)/100000000</f>
        <v>418.08150000166665</v>
      </c>
      <c r="X12" s="731" cm="1">
        <f t="array" ref="X12">SUMPRODUCT(I12:O12,$I$1:$O$1)</f>
        <v>1111</v>
      </c>
      <c r="Y12" s="732" cm="1">
        <f t="array" ref="Y12">_xlfn.XLOOKUP(H12,AQ1:AQ51,AR1:AR51,"-",0)</f>
        <v>1</v>
      </c>
      <c r="Z12" s="731" cm="1">
        <f t="array" ref="Z12">W12+(1/Y12)*0.000001</f>
        <v>418.08150100166665</v>
      </c>
      <c r="AA12" s="731" cm="1">
        <f t="array" ref="AA12">_xlfn.XLOOKUP(H12,'Ranking FIFA'!B1:B102,'Ranking FIFA'!A1:A102,"--",0)</f>
        <v>6</v>
      </c>
      <c r="AB12" s="589"/>
      <c r="AC12" s="589"/>
      <c r="AD12" s="589"/>
      <c r="AE12" s="589"/>
      <c r="AF12" s="589"/>
      <c r="AG12" s="589"/>
      <c r="AH12" s="589" t="str" cm="1">
        <f t="array" ref="AH12">'Round of 32 &amp; Round of 16'!V5</f>
        <v>Croacia</v>
      </c>
      <c r="AI12" s="589" t="str" cm="1">
        <f t="array" ref="AI12">'Round of 32 &amp; Round of 16'!B21</f>
        <v>Francia</v>
      </c>
      <c r="AJ12" s="589"/>
      <c r="AK12" s="589"/>
      <c r="AL12" s="589"/>
      <c r="AM12" s="589"/>
      <c r="AN12" s="589"/>
      <c r="AO12" s="589"/>
      <c r="AP12" s="592" cm="1">
        <f t="array" ref="AP12">_xlfn.XLOOKUP(AQ12,'Ranking FIFA'!B1:B102,'Ranking FIFA'!A1:A102,"--",0)</f>
        <v>10</v>
      </c>
      <c r="AQ12" s="691" t="s">
        <v>56</v>
      </c>
      <c r="AR12" s="592">
        <v>1</v>
      </c>
      <c r="AS12" s="592">
        <v>1</v>
      </c>
      <c r="AT12" s="733" cm="1">
        <f t="array" ref="AT12">SUMIF($H$4:$H$51,AQ12,$X$4:$X$51)</f>
        <v>11</v>
      </c>
      <c r="AU12" s="734" cm="1">
        <f t="array" ref="AU12">SUMIF($H$4:$H$51,AQ12,$W$4:$W$51)</f>
        <v>212.07110000099999</v>
      </c>
      <c r="AV12" s="589"/>
      <c r="AW12" s="589"/>
      <c r="AX12" s="589"/>
      <c r="AY12" s="589"/>
      <c r="AZ12" s="589"/>
      <c r="BA12" s="589"/>
      <c r="BB12" s="589"/>
      <c r="BC12" s="589"/>
      <c r="BD12" s="589"/>
      <c r="BE12" s="589"/>
      <c r="BF12" s="589"/>
      <c r="BG12" s="589"/>
      <c r="BH12" s="591">
        <v>9</v>
      </c>
      <c r="BI12" s="589" t="str" cm="1">
        <f t="array" ref="BI12">H12</f>
        <v>Brasil</v>
      </c>
      <c r="BJ12" s="719" cm="1">
        <f t="array" ref="BJ12">COUNTIFS('Inputs summary'!I$2:I$106,BI12)</f>
        <v>3</v>
      </c>
      <c r="BK12" s="719" cm="1">
        <f t="array" ref="BK12">COUNTIFS('Inputs summary'!J$2:K$106,BI12)</f>
        <v>0</v>
      </c>
      <c r="BL12" s="719" cm="1">
        <f t="array" ref="BL12">COUNTIFS('Inputs summary'!L$2:L$106,BI12)</f>
        <v>0</v>
      </c>
      <c r="BM12" s="719" cm="1">
        <f t="array" ref="BM12">BN12-BO12</f>
        <v>5</v>
      </c>
      <c r="BN12" s="719" cm="1">
        <f t="array" ref="BN12">SUMIF('Inputs summary'!$B$1:$B$106,$BI12,'Inputs summary'!$C$1:$C$106)+SUMIF('Inputs summary'!$E$1:$E$106,$BI12,'Inputs summary'!$D$1:$D$106)</f>
        <v>7</v>
      </c>
      <c r="BO12" s="719" cm="1">
        <f t="array" ref="BO12">SUMIF('Inputs summary'!$B$1:$B$106,$BI12,'Inputs summary'!$D$1:$D$106)+SUMIF('Inputs summary'!$E$1:$E$106,$BI12,'Inputs summary'!$C$1:$C$106)</f>
        <v>2</v>
      </c>
      <c r="BP12" s="734" cm="1">
        <f t="array" ref="BP12">BJ12*3+BK12*2+BM12/100+BN12/1000+Y12/100000+AA12/10000000</f>
        <v>9.0570105999999999</v>
      </c>
      <c r="BQ12" s="589"/>
      <c r="BR12" s="589"/>
      <c r="BS12" s="589"/>
    </row>
    <row r="13" spans="1:71" ht="14.25" customHeight="1">
      <c r="A13" s="589"/>
      <c r="B13" s="589"/>
      <c r="C13" s="589"/>
      <c r="D13" s="589"/>
      <c r="E13" s="589"/>
      <c r="F13" s="589"/>
      <c r="G13" s="591">
        <v>10</v>
      </c>
      <c r="H13" s="589" t="str" cm="1">
        <f t="array" ref="H13">'Groups Stage'!O22</f>
        <v>Marruecos</v>
      </c>
      <c r="I13" s="719" cm="1">
        <f t="array" ref="I13">IF(COUNTIF(AC1:AC51,$H13)&gt;0,I$2,0)</f>
        <v>0</v>
      </c>
      <c r="J13" s="719" cm="1">
        <f t="array" ref="J13">IF(COUNTIF(AD1:AD51,$H13)&gt;0,J$2,0)</f>
        <v>0</v>
      </c>
      <c r="K13" s="719" cm="1">
        <f t="array" ref="K13">IF(COUNTIF(AE1:AE51,$H13)&gt;0,K$2,0)</f>
        <v>0</v>
      </c>
      <c r="L13" s="719" cm="1">
        <f t="array" ref="L13">IF(COUNTIF(AF1:AF51,$H13)&gt;0,L$2,0)</f>
        <v>0</v>
      </c>
      <c r="M13" s="719" cm="1">
        <f t="array" ref="M13">IF(COUNTIF(AG1:AG51,$H13)&gt;0,M$2,0)</f>
        <v>1</v>
      </c>
      <c r="N13" s="719" cm="1">
        <f t="array" ref="N13">IF(COUNTIF(AH1:AH51,$H13)&gt;0,N$2,0)</f>
        <v>1</v>
      </c>
      <c r="O13" s="719" cm="1">
        <f t="array" ref="O13">IF(COUNTIF(AI1:AI51,$H13)&gt;0,O$2,0)</f>
        <v>1</v>
      </c>
      <c r="P13" s="719" cm="1">
        <f t="array" ref="P13">SUM(I13:O13)</f>
        <v>3</v>
      </c>
      <c r="Q13" s="719" cm="1">
        <f t="array" ref="Q13">COUNTIFS('Inputs summary'!I1:I234,$H13)</f>
        <v>4</v>
      </c>
      <c r="R13" s="719" cm="1">
        <f t="array" ref="R13">COUNTIFS('Inputs summary'!J1:K234,$H13)</f>
        <v>0</v>
      </c>
      <c r="S13" s="719" cm="1">
        <f t="array" ref="S13">COUNTIFS('Inputs summary'!L1:L234,$H13)</f>
        <v>2</v>
      </c>
      <c r="T13" s="719" cm="1">
        <f t="array" ref="T13">U13-V13</f>
        <v>4</v>
      </c>
      <c r="U13" s="719" cm="1">
        <f t="array" ref="U13">SUMIF('Inputs summary'!B1:B234,H13,'Inputs summary'!C1:C234)+SUMIF('Inputs summary'!E1:E234,H13,'Inputs summary'!D1:D234)</f>
        <v>11</v>
      </c>
      <c r="V13" s="719" cm="1">
        <f t="array" ref="V13">SUMIF('Inputs summary'!B1:B234,H13,'Inputs summary'!D1:D234)+SUMIF('Inputs summary'!E1:E234,H13,'Inputs summary'!C1:C234)</f>
        <v>7</v>
      </c>
      <c r="W13" s="730" cm="1">
        <f t="array" ref="W13">P13*100+Q13*3+R13+T13/100+U13/10000+(1/AA13)/100000000</f>
        <v>312.04110000125002</v>
      </c>
      <c r="X13" s="731" cm="1">
        <f t="array" ref="X13">SUMPRODUCT(I13:O13,$I$1:$O$1)</f>
        <v>111</v>
      </c>
      <c r="Y13" s="732" cm="1">
        <f t="array" ref="Y13">_xlfn.XLOOKUP(H13,AQ1:AQ51,AR1:AR51,"-",0)</f>
        <v>2</v>
      </c>
      <c r="Z13" s="731" cm="1">
        <f t="array" ref="Z13">W13+(1/Y13)*0.000001</f>
        <v>312.04110050125001</v>
      </c>
      <c r="AA13" s="731" cm="1">
        <f t="array" ref="AA13">_xlfn.XLOOKUP(H13,'Ranking FIFA'!B1:B102,'Ranking FIFA'!A1:A102,"--",0)</f>
        <v>8</v>
      </c>
      <c r="AB13" s="589"/>
      <c r="AC13" s="589"/>
      <c r="AD13" s="589"/>
      <c r="AE13" s="589"/>
      <c r="AF13" s="589"/>
      <c r="AG13" s="589"/>
      <c r="AH13" s="589" t="str" cm="1">
        <f t="array" ref="AH13">'Round of 32 &amp; Round of 16'!Y5</f>
        <v>España</v>
      </c>
      <c r="AI13" s="589" t="str" cm="1">
        <f t="array" ref="AI13">'Round of 32 &amp; Round of 16'!E21</f>
        <v>Suecia</v>
      </c>
      <c r="AJ13" s="589"/>
      <c r="AK13" s="589"/>
      <c r="AL13" s="589"/>
      <c r="AM13" s="589"/>
      <c r="AN13" s="589"/>
      <c r="AO13" s="589"/>
      <c r="AP13" s="592" cm="1">
        <f t="array" ref="AP13">_xlfn.XLOOKUP(AQ13,'Ranking FIFA'!B1:B102,'Ranking FIFA'!A1:A102,"--",0)</f>
        <v>11</v>
      </c>
      <c r="AQ13" s="691" t="s">
        <v>57</v>
      </c>
      <c r="AR13" s="592">
        <v>1</v>
      </c>
      <c r="AS13" s="592">
        <v>2</v>
      </c>
      <c r="AT13" s="733" cm="1">
        <f t="array" ref="AT13">SUMIF($H$4:$H$51,AQ13,$X$4:$X$51)</f>
        <v>11</v>
      </c>
      <c r="AU13" s="734" cm="1">
        <f t="array" ref="AU13">SUMIF($H$4:$H$51,AQ13,$W$4:$W$51)</f>
        <v>208.01060000090908</v>
      </c>
      <c r="AV13" s="589"/>
      <c r="AW13" s="691" t="s">
        <v>853</v>
      </c>
      <c r="AX13" s="589" t="str" cm="1">
        <f t="array" ref="AX13">_xlfn.XLOOKUP(AX14,AU1:AU51,AQ1:AQ51,"-",0)</f>
        <v>Uruguay</v>
      </c>
      <c r="AY13" s="589"/>
      <c r="AZ13" s="589"/>
      <c r="BA13" s="589"/>
      <c r="BB13" s="589"/>
      <c r="BC13" s="589"/>
      <c r="BD13" s="589"/>
      <c r="BE13" s="589"/>
      <c r="BF13" s="589"/>
      <c r="BG13" s="589"/>
      <c r="BH13" s="591">
        <v>10</v>
      </c>
      <c r="BI13" s="589" t="str" cm="1">
        <f t="array" ref="BI13">H13</f>
        <v>Marruecos</v>
      </c>
      <c r="BJ13" s="719" cm="1">
        <f t="array" ref="BJ13">COUNTIFS('Inputs summary'!I$2:I$106,BI13)</f>
        <v>2</v>
      </c>
      <c r="BK13" s="719" cm="1">
        <f t="array" ref="BK13">COUNTIFS('Inputs summary'!J$2:K$106,BI13)</f>
        <v>0</v>
      </c>
      <c r="BL13" s="719" cm="1">
        <f t="array" ref="BL13">COUNTIFS('Inputs summary'!L$2:L$106,BI13)</f>
        <v>1</v>
      </c>
      <c r="BM13" s="719" cm="1">
        <f t="array" ref="BM13">BN13-BO13</f>
        <v>3</v>
      </c>
      <c r="BN13" s="719" cm="1">
        <f t="array" ref="BN13">SUMIF('Inputs summary'!$B$1:$B$106,$BI13,'Inputs summary'!$C$1:$C$106)+SUMIF('Inputs summary'!$E$1:$E$106,$BI13,'Inputs summary'!$D$1:$D$106)</f>
        <v>6</v>
      </c>
      <c r="BO13" s="719" cm="1">
        <f t="array" ref="BO13">SUMIF('Inputs summary'!$B$1:$B$106,$BI13,'Inputs summary'!$D$1:$D$106)+SUMIF('Inputs summary'!$E$1:$E$106,$BI13,'Inputs summary'!$C$1:$C$106)</f>
        <v>3</v>
      </c>
      <c r="BP13" s="734" cm="1">
        <f t="array" ref="BP13">BJ13*3+BK13*2+BM13/100+BN13/1000+Y13/100000+AA13/10000000</f>
        <v>6.0360208000000002</v>
      </c>
      <c r="BQ13" s="589"/>
      <c r="BR13" s="589"/>
      <c r="BS13" s="589"/>
    </row>
    <row r="14" spans="1:71" ht="14.25" customHeight="1">
      <c r="A14" s="589"/>
      <c r="B14" s="589"/>
      <c r="C14" s="589"/>
      <c r="D14" s="589"/>
      <c r="E14" s="589"/>
      <c r="F14" s="589"/>
      <c r="G14" s="591">
        <v>11</v>
      </c>
      <c r="H14" s="589" t="str" cm="1">
        <f t="array" ref="H14">'Groups Stage'!O23</f>
        <v>Haiti</v>
      </c>
      <c r="I14" s="719" cm="1">
        <f t="array" ref="I14">IF(COUNTIF(AC1:AC51,$H14)&gt;0,I$2,0)</f>
        <v>0</v>
      </c>
      <c r="J14" s="719" cm="1">
        <f t="array" ref="J14">IF(COUNTIF(AD1:AD51,$H14)&gt;0,J$2,0)</f>
        <v>0</v>
      </c>
      <c r="K14" s="719" cm="1">
        <f t="array" ref="K14">IF(COUNTIF(AE1:AE51,$H14)&gt;0,K$2,0)</f>
        <v>0</v>
      </c>
      <c r="L14" s="719" cm="1">
        <f t="array" ref="L14">IF(COUNTIF(AF1:AF51,$H14)&gt;0,L$2,0)</f>
        <v>0</v>
      </c>
      <c r="M14" s="719" cm="1">
        <f t="array" ref="M14">IF(COUNTIF(AG1:AG51,$H14)&gt;0,M$2,0)</f>
        <v>0</v>
      </c>
      <c r="N14" s="719" cm="1">
        <f t="array" ref="N14">IF(COUNTIF(AH1:AH51,$H14)&gt;0,N$2,0)</f>
        <v>0</v>
      </c>
      <c r="O14" s="719" cm="1">
        <f t="array" ref="O14">IF(COUNTIF(AI1:AI51,$H14)&gt;0,O$2,0)</f>
        <v>0</v>
      </c>
      <c r="P14" s="719" cm="1">
        <f t="array" ref="P14">SUM(I14:O14)</f>
        <v>0</v>
      </c>
      <c r="Q14" s="719" cm="1">
        <f t="array" ref="Q14">COUNTIFS('Inputs summary'!I1:I234,$H14)</f>
        <v>0</v>
      </c>
      <c r="R14" s="719" cm="1">
        <f t="array" ref="R14">COUNTIFS('Inputs summary'!J1:K234,$H14)</f>
        <v>0</v>
      </c>
      <c r="S14" s="719" cm="1">
        <f t="array" ref="S14">COUNTIFS('Inputs summary'!L1:L234,$H14)</f>
        <v>3</v>
      </c>
      <c r="T14" s="719" cm="1">
        <f t="array" ref="T14">U14-V14</f>
        <v>-9</v>
      </c>
      <c r="U14" s="719" cm="1">
        <f t="array" ref="U14">SUMIF('Inputs summary'!B1:B234,H14,'Inputs summary'!C1:C234)+SUMIF('Inputs summary'!E1:E234,H14,'Inputs summary'!D1:D234)</f>
        <v>0</v>
      </c>
      <c r="V14" s="719" cm="1">
        <f t="array" ref="V14">SUMIF('Inputs summary'!B1:B234,H14,'Inputs summary'!D1:D234)+SUMIF('Inputs summary'!E1:E234,H14,'Inputs summary'!C1:C234)</f>
        <v>9</v>
      </c>
      <c r="W14" s="730" cm="1">
        <f t="array" ref="W14">P14*100+Q14*3+R14+T14/100+U14/10000+(1/AA14)/100000000</f>
        <v>-8.9999999879518067E-2</v>
      </c>
      <c r="X14" s="731" cm="1">
        <f t="array" ref="X14">SUMPRODUCT(I14:O14,$I$1:$O$1)</f>
        <v>0</v>
      </c>
      <c r="Y14" s="732" cm="1">
        <f t="array" ref="Y14">_xlfn.XLOOKUP(H14,AQ1:AQ51,AR1:AR51,"-",0)</f>
        <v>4</v>
      </c>
      <c r="Z14" s="731" cm="1">
        <f t="array" ref="Z14">W14+(1/Y14)*0.000001</f>
        <v>-8.9999749879518073E-2</v>
      </c>
      <c r="AA14" s="731" cm="1">
        <f t="array" ref="AA14">_xlfn.XLOOKUP(H14,'Ranking FIFA'!B1:B102,'Ranking FIFA'!A1:A102,"--",0)</f>
        <v>83</v>
      </c>
      <c r="AB14" s="589"/>
      <c r="AC14" s="589"/>
      <c r="AD14" s="589"/>
      <c r="AE14" s="589"/>
      <c r="AF14" s="589"/>
      <c r="AG14" s="589"/>
      <c r="AH14" s="589" t="str" cm="1">
        <f t="array" ref="AH14">'Round of 32 &amp; Round of 16'!V13</f>
        <v>Estados Unidos</v>
      </c>
      <c r="AI14" s="589" t="str" cm="1">
        <f t="array" ref="AI14">'Round of 32 &amp; Round of 16'!B25</f>
        <v>Ecuador</v>
      </c>
      <c r="AJ14" s="589"/>
      <c r="AK14" s="589"/>
      <c r="AL14" s="589"/>
      <c r="AM14" s="589"/>
      <c r="AN14" s="589"/>
      <c r="AO14" s="589"/>
      <c r="AP14" s="592" cm="1">
        <f t="array" ref="AP14">_xlfn.XLOOKUP(AQ14,'Ranking FIFA'!B1:B102,'Ranking FIFA'!A1:A102,"--",0)</f>
        <v>17</v>
      </c>
      <c r="AQ14" s="691" t="s">
        <v>58</v>
      </c>
      <c r="AR14" s="592">
        <v>1</v>
      </c>
      <c r="AS14" s="592">
        <v>2</v>
      </c>
      <c r="AT14" s="733" cm="1">
        <f t="array" ref="AT14">SUMIF($H$4:$H$51,AQ14,$X$4:$X$51)</f>
        <v>1</v>
      </c>
      <c r="AU14" s="734" cm="1">
        <f t="array" ref="AU14">SUMIF($H$4:$H$51,AQ14,$W$4:$W$51)</f>
        <v>107.02050000058823</v>
      </c>
      <c r="AV14" s="589"/>
      <c r="AW14" s="691" t="s">
        <v>306</v>
      </c>
      <c r="AX14" s="744" cm="1">
        <f t="array" ref="AX14">_xlfn.MINIFS(AU1:AU51,AS1:AS51,2)</f>
        <v>107.02050000058823</v>
      </c>
      <c r="AY14" s="589"/>
      <c r="AZ14" s="589"/>
      <c r="BA14" s="589"/>
      <c r="BB14" s="589"/>
      <c r="BC14" s="589"/>
      <c r="BD14" s="589"/>
      <c r="BE14" s="589"/>
      <c r="BF14" s="589"/>
      <c r="BG14" s="589"/>
      <c r="BH14" s="591">
        <v>11</v>
      </c>
      <c r="BI14" s="589" t="str" cm="1">
        <f t="array" ref="BI14">H14</f>
        <v>Haiti</v>
      </c>
      <c r="BJ14" s="719" cm="1">
        <f t="array" ref="BJ14">COUNTIFS('Inputs summary'!I$2:I$106,BI14)</f>
        <v>0</v>
      </c>
      <c r="BK14" s="719" cm="1">
        <f t="array" ref="BK14">COUNTIFS('Inputs summary'!J$2:K$106,BI14)</f>
        <v>0</v>
      </c>
      <c r="BL14" s="719" cm="1">
        <f t="array" ref="BL14">COUNTIFS('Inputs summary'!L$2:L$106,BI14)</f>
        <v>3</v>
      </c>
      <c r="BM14" s="719" cm="1">
        <f t="array" ref="BM14">BN14-BO14</f>
        <v>-9</v>
      </c>
      <c r="BN14" s="719" cm="1">
        <f t="array" ref="BN14">SUMIF('Inputs summary'!$B$1:$B$106,$BI14,'Inputs summary'!$C$1:$C$106)+SUMIF('Inputs summary'!$E$1:$E$106,$BI14,'Inputs summary'!$D$1:$D$106)</f>
        <v>0</v>
      </c>
      <c r="BO14" s="719" cm="1">
        <f t="array" ref="BO14">SUMIF('Inputs summary'!$B$1:$B$106,$BI14,'Inputs summary'!$D$1:$D$106)+SUMIF('Inputs summary'!$E$1:$E$106,$BI14,'Inputs summary'!$C$1:$C$106)</f>
        <v>9</v>
      </c>
      <c r="BP14" s="734" cm="1">
        <f t="array" ref="BP14">BJ14*3+BK14*2+BM14/100+BN14/1000+Y14/100000+AA14/10000000</f>
        <v>-8.9951699999999996E-2</v>
      </c>
      <c r="BQ14" s="589"/>
      <c r="BR14" s="589"/>
      <c r="BS14" s="589"/>
    </row>
    <row r="15" spans="1:71" ht="14.25" customHeight="1">
      <c r="A15" s="589"/>
      <c r="B15" s="589"/>
      <c r="C15" s="589"/>
      <c r="D15" s="589"/>
      <c r="E15" s="589"/>
      <c r="F15" s="589"/>
      <c r="G15" s="591">
        <v>12</v>
      </c>
      <c r="H15" s="589" t="str" cm="1">
        <f t="array" ref="H15">'Groups Stage'!O24</f>
        <v>Escocia</v>
      </c>
      <c r="I15" s="719" cm="1">
        <f t="array" ref="I15">IF(COUNTIF(AC1:AC51,$H15)&gt;0,I$2,0)</f>
        <v>0</v>
      </c>
      <c r="J15" s="719" cm="1">
        <f t="array" ref="J15">IF(COUNTIF(AD1:AD51,$H15)&gt;0,J$2,0)</f>
        <v>0</v>
      </c>
      <c r="K15" s="719" cm="1">
        <f t="array" ref="K15">IF(COUNTIF(AE1:AE51,$H15)&gt;0,K$2,0)</f>
        <v>0</v>
      </c>
      <c r="L15" s="719" cm="1">
        <f t="array" ref="L15">IF(COUNTIF(AF1:AF51,$H15)&gt;0,L$2,0)</f>
        <v>0</v>
      </c>
      <c r="M15" s="719" cm="1">
        <f t="array" ref="M15">IF(COUNTIF(AG1:AG51,$H15)&gt;0,M$2,0)</f>
        <v>0</v>
      </c>
      <c r="N15" s="719" cm="1">
        <f t="array" ref="N15">IF(COUNTIF(AH1:AH51,$H15)&gt;0,N$2,0)</f>
        <v>0</v>
      </c>
      <c r="O15" s="719" cm="1">
        <f t="array" ref="O15">IF(COUNTIF(AI1:AI51,$H15)&gt;0,O$2,0)</f>
        <v>1</v>
      </c>
      <c r="P15" s="719" cm="1">
        <f t="array" ref="P15">SUM(I15:O15)</f>
        <v>1</v>
      </c>
      <c r="Q15" s="719" cm="1">
        <f t="array" ref="Q15">COUNTIFS('Inputs summary'!I1:I234,$H15)</f>
        <v>1</v>
      </c>
      <c r="R15" s="719" cm="1">
        <f t="array" ref="R15">COUNTIFS('Inputs summary'!J1:K234,$H15)</f>
        <v>0</v>
      </c>
      <c r="S15" s="719" cm="1">
        <f t="array" ref="S15">COUNTIFS('Inputs summary'!L1:L234,$H15)</f>
        <v>3</v>
      </c>
      <c r="T15" s="719" cm="1">
        <f t="array" ref="T15">U15-V15</f>
        <v>0</v>
      </c>
      <c r="U15" s="719" cm="1">
        <f t="array" ref="U15">SUMIF('Inputs summary'!B1:B234,H15,'Inputs summary'!C1:C234)+SUMIF('Inputs summary'!E1:E234,H15,'Inputs summary'!D1:D234)</f>
        <v>6</v>
      </c>
      <c r="V15" s="719" cm="1">
        <f t="array" ref="V15">SUMIF('Inputs summary'!B1:B234,H15,'Inputs summary'!D1:D234)+SUMIF('Inputs summary'!E1:E234,H15,'Inputs summary'!C1:C234)</f>
        <v>6</v>
      </c>
      <c r="W15" s="730" cm="1">
        <f t="array" ref="W15">P15*100+Q15*3+R15+T15/100+U15/10000+(1/AA15)/100000000</f>
        <v>103.00060000023257</v>
      </c>
      <c r="X15" s="731" cm="1">
        <f t="array" ref="X15">SUMPRODUCT(I15:O15,$I$1:$O$1)</f>
        <v>1</v>
      </c>
      <c r="Y15" s="732" cm="1">
        <f t="array" ref="Y15">_xlfn.XLOOKUP(H15,AQ1:AQ51,AR1:AR51,"-",0)</f>
        <v>3</v>
      </c>
      <c r="Z15" s="731" cm="1">
        <f t="array" ref="Z15">W15+(1/Y15)*0.000001</f>
        <v>103.0006003335659</v>
      </c>
      <c r="AA15" s="731" cm="1">
        <f t="array" ref="AA15">_xlfn.XLOOKUP(H15,'Ranking FIFA'!B1:B102,'Ranking FIFA'!A1:A102,"--",0)</f>
        <v>43</v>
      </c>
      <c r="AB15" s="589"/>
      <c r="AC15" s="589"/>
      <c r="AD15" s="589"/>
      <c r="AE15" s="589"/>
      <c r="AF15" s="589"/>
      <c r="AG15" s="589"/>
      <c r="AH15" s="589" t="str" cm="1">
        <f t="array" ref="AH15">'Round of 32 &amp; Round of 16'!Y13</f>
        <v>Belgica</v>
      </c>
      <c r="AI15" s="589" t="str" cm="1">
        <f t="array" ref="AI15">'Round of 32 &amp; Round of 16'!E25</f>
        <v>Noruega</v>
      </c>
      <c r="AJ15" s="589"/>
      <c r="AK15" s="589"/>
      <c r="AL15" s="589"/>
      <c r="AM15" s="589"/>
      <c r="AN15" s="589"/>
      <c r="AO15" s="589"/>
      <c r="AP15" s="592" cm="1">
        <f t="array" ref="AP15">_xlfn.XLOOKUP(AQ15,'Ranking FIFA'!B1:B102,'Ranking FIFA'!A1:A102,"--",0)</f>
        <v>8</v>
      </c>
      <c r="AQ15" s="691" t="s">
        <v>59</v>
      </c>
      <c r="AR15" s="592">
        <v>2</v>
      </c>
      <c r="AS15" s="590"/>
      <c r="AT15" s="733" cm="1">
        <f t="array" ref="AT15">SUMIF($H$4:$H$51,AQ15,$X$4:$X$51)</f>
        <v>111</v>
      </c>
      <c r="AU15" s="734" cm="1">
        <f t="array" ref="AU15">SUMIF($H$4:$H$51,AQ15,$W$4:$W$51)</f>
        <v>312.04110000125002</v>
      </c>
      <c r="AV15" s="589"/>
      <c r="AW15" s="691" t="s">
        <v>852</v>
      </c>
      <c r="AX15" s="744" cm="1">
        <f t="array" ref="AX15">_xlfn.XLOOKUP(AX14,AU1:AU51,AT1:AT51,"-",0)</f>
        <v>1</v>
      </c>
      <c r="AY15" s="735" t="str" cm="1">
        <f t="array" ref="AY15">IF(AX15&gt;=AY2,"-",AX13)</f>
        <v>Uruguay</v>
      </c>
      <c r="AZ15" s="589"/>
      <c r="BA15" s="589"/>
      <c r="BB15" s="589"/>
      <c r="BC15" s="589"/>
      <c r="BD15" s="589"/>
      <c r="BE15" s="589"/>
      <c r="BF15" s="589"/>
      <c r="BG15" s="589"/>
      <c r="BH15" s="591">
        <v>12</v>
      </c>
      <c r="BI15" s="589" t="str" cm="1">
        <f t="array" ref="BI15">H15</f>
        <v>Escocia</v>
      </c>
      <c r="BJ15" s="719" cm="1">
        <f t="array" ref="BJ15">COUNTIFS('Inputs summary'!I$2:I$106,BI15)</f>
        <v>1</v>
      </c>
      <c r="BK15" s="719" cm="1">
        <f t="array" ref="BK15">COUNTIFS('Inputs summary'!J$2:K$106,BI15)</f>
        <v>0</v>
      </c>
      <c r="BL15" s="719" cm="1">
        <f t="array" ref="BL15">COUNTIFS('Inputs summary'!L$2:L$106,BI15)</f>
        <v>2</v>
      </c>
      <c r="BM15" s="719" cm="1">
        <f t="array" ref="BM15">BN15-BO15</f>
        <v>1</v>
      </c>
      <c r="BN15" s="719" cm="1">
        <f t="array" ref="BN15">SUMIF('Inputs summary'!$B$1:$B$106,$BI15,'Inputs summary'!$C$1:$C$106)+SUMIF('Inputs summary'!$E$1:$E$106,$BI15,'Inputs summary'!$D$1:$D$106)</f>
        <v>5</v>
      </c>
      <c r="BO15" s="719" cm="1">
        <f t="array" ref="BO15">SUMIF('Inputs summary'!$B$1:$B$106,$BI15,'Inputs summary'!$D$1:$D$106)+SUMIF('Inputs summary'!$E$1:$E$106,$BI15,'Inputs summary'!$C$1:$C$106)</f>
        <v>4</v>
      </c>
      <c r="BP15" s="734" cm="1">
        <f t="array" ref="BP15">BJ15*3+BK15*2+BM15/100+BN15/1000+Y15/100000+AA15/10000000</f>
        <v>3.0150342999999999</v>
      </c>
      <c r="BQ15" s="589"/>
      <c r="BR15" s="589"/>
      <c r="BS15" s="589"/>
    </row>
    <row r="16" spans="1:71" ht="14.25" customHeight="1">
      <c r="A16" s="589"/>
      <c r="B16" s="589"/>
      <c r="C16" s="589"/>
      <c r="D16" s="589"/>
      <c r="E16" s="589"/>
      <c r="F16" s="589"/>
      <c r="G16" s="591">
        <v>13</v>
      </c>
      <c r="H16" s="589" t="str" cm="1">
        <f t="array" ref="H16">'Groups Stage'!O30</f>
        <v>Estados Unidos</v>
      </c>
      <c r="I16" s="719" cm="1">
        <f t="array" ref="I16">IF(COUNTIF(AC1:AC51,$H16)&gt;0,I$2,0)</f>
        <v>0</v>
      </c>
      <c r="J16" s="719" cm="1">
        <f t="array" ref="J16">IF(COUNTIF(AD1:AD51,$H16)&gt;0,J$2,0)</f>
        <v>0</v>
      </c>
      <c r="K16" s="719" cm="1">
        <f t="array" ref="K16">IF(COUNTIF(AE1:AE51,$H16)&gt;0,K$2,0)</f>
        <v>0</v>
      </c>
      <c r="L16" s="719" cm="1">
        <f t="array" ref="L16">IF(COUNTIF(AF1:AF51,$H16)&gt;0,L$2,0)</f>
        <v>0</v>
      </c>
      <c r="M16" s="719" cm="1">
        <f t="array" ref="M16">IF(COUNTIF(AG1:AG51,$H16)&gt;0,M$2,0)</f>
        <v>0</v>
      </c>
      <c r="N16" s="719" cm="1">
        <f t="array" ref="N16">IF(COUNTIF(AH1:AH51,$H16)&gt;0,N$2,0)</f>
        <v>1</v>
      </c>
      <c r="O16" s="719" cm="1">
        <f t="array" ref="O16">IF(COUNTIF(AI1:AI51,$H16)&gt;0,O$2,0)</f>
        <v>1</v>
      </c>
      <c r="P16" s="719" cm="1">
        <f t="array" ref="P16">SUM(I16:O16)</f>
        <v>2</v>
      </c>
      <c r="Q16" s="719" cm="1">
        <f t="array" ref="Q16">COUNTIFS('Inputs summary'!I1:I234,$H16)</f>
        <v>3</v>
      </c>
      <c r="R16" s="719" cm="1">
        <f t="array" ref="R16">COUNTIFS('Inputs summary'!J1:K234,$H16)</f>
        <v>1</v>
      </c>
      <c r="S16" s="719" cm="1">
        <f t="array" ref="S16">COUNTIFS('Inputs summary'!L1:L234,$H16)</f>
        <v>1</v>
      </c>
      <c r="T16" s="719" cm="1">
        <f t="array" ref="T16">U16-V16</f>
        <v>2</v>
      </c>
      <c r="U16" s="719" cm="1">
        <f t="array" ref="U16">SUMIF('Inputs summary'!B1:B234,H16,'Inputs summary'!C1:C234)+SUMIF('Inputs summary'!E1:E234,H16,'Inputs summary'!D1:D234)</f>
        <v>6</v>
      </c>
      <c r="V16" s="719" cm="1">
        <f t="array" ref="V16">SUMIF('Inputs summary'!B1:B234,H16,'Inputs summary'!D1:D234)+SUMIF('Inputs summary'!E1:E234,H16,'Inputs summary'!C1:C234)</f>
        <v>4</v>
      </c>
      <c r="W16" s="730" cm="1">
        <f t="array" ref="W16">P16*100+Q16*3+R16+T16/100+U16/10000+(1/AA16)/100000000</f>
        <v>210.020600000625</v>
      </c>
      <c r="X16" s="731" cm="1">
        <f t="array" ref="X16">SUMPRODUCT(I16:O16,$I$1:$O$1)</f>
        <v>11</v>
      </c>
      <c r="Y16" s="732" cm="1">
        <f t="array" ref="Y16">_xlfn.XLOOKUP(H16,AQ1:AQ51,AR1:AR51,"-",0)</f>
        <v>2</v>
      </c>
      <c r="Z16" s="731" cm="1">
        <f t="array" ref="Z16">W16+(1/Y16)*0.000001</f>
        <v>210.02060050062499</v>
      </c>
      <c r="AA16" s="731" cm="1">
        <f t="array" ref="AA16">_xlfn.XLOOKUP(H16,'Ranking FIFA'!B1:B102,'Ranking FIFA'!A1:A102,"--",0)</f>
        <v>16</v>
      </c>
      <c r="AB16" s="589"/>
      <c r="AC16" s="589"/>
      <c r="AD16" s="589"/>
      <c r="AE16" s="589"/>
      <c r="AF16" s="589"/>
      <c r="AG16" s="589"/>
      <c r="AH16" s="589" t="str" cm="1">
        <f t="array" ref="AH16">'Round of 32 &amp; Round of 16'!V21</f>
        <v>Argentina</v>
      </c>
      <c r="AI16" s="589" t="str" cm="1">
        <f t="array" ref="AI16">'Round of 32 &amp; Round of 16'!B29</f>
        <v>Mexico</v>
      </c>
      <c r="AJ16" s="589"/>
      <c r="AK16" s="589"/>
      <c r="AL16" s="589"/>
      <c r="AM16" s="589"/>
      <c r="AN16" s="589"/>
      <c r="AO16" s="589"/>
      <c r="AP16" s="592" cm="1">
        <f t="array" ref="AP16">_xlfn.XLOOKUP(AQ16,'Ranking FIFA'!B1:B102,'Ranking FIFA'!A1:A102,"--",0)</f>
        <v>13</v>
      </c>
      <c r="AQ16" s="691" t="s">
        <v>60</v>
      </c>
      <c r="AR16" s="592">
        <v>2</v>
      </c>
      <c r="AS16" s="590"/>
      <c r="AT16" s="733" cm="1">
        <f t="array" ref="AT16">SUMIF($H$4:$H$51,AQ16,$X$4:$X$51)</f>
        <v>1</v>
      </c>
      <c r="AU16" s="734" cm="1">
        <f t="array" ref="AU16">SUMIF($H$4:$H$51,AQ16,$W$4:$W$51)</f>
        <v>107.03070000076923</v>
      </c>
      <c r="AV16" s="589"/>
      <c r="AW16" s="589"/>
      <c r="AX16" s="589"/>
      <c r="AY16" s="589"/>
      <c r="AZ16" s="589"/>
      <c r="BA16" s="589"/>
      <c r="BB16" s="589"/>
      <c r="BC16" s="589"/>
      <c r="BD16" s="589"/>
      <c r="BE16" s="589"/>
      <c r="BF16" s="589"/>
      <c r="BG16" s="589"/>
      <c r="BH16" s="591">
        <v>13</v>
      </c>
      <c r="BI16" s="589" t="str" cm="1">
        <f t="array" ref="BI16">H16</f>
        <v>Estados Unidos</v>
      </c>
      <c r="BJ16" s="719" cm="1">
        <f t="array" ref="BJ16">COUNTIFS('Inputs summary'!I$2:I$106,BI16)</f>
        <v>2</v>
      </c>
      <c r="BK16" s="719" cm="1">
        <f t="array" ref="BK16">COUNTIFS('Inputs summary'!J$2:K$106,BI16)</f>
        <v>1</v>
      </c>
      <c r="BL16" s="719" cm="1">
        <f t="array" ref="BL16">COUNTIFS('Inputs summary'!L$2:L$106,BI16)</f>
        <v>0</v>
      </c>
      <c r="BM16" s="719" cm="1">
        <f t="array" ref="BM16">BN16-BO16</f>
        <v>2</v>
      </c>
      <c r="BN16" s="719" cm="1">
        <f t="array" ref="BN16">SUMIF('Inputs summary'!$B$1:$B$106,$BI16,'Inputs summary'!$C$1:$C$106)+SUMIF('Inputs summary'!$E$1:$E$106,$BI16,'Inputs summary'!$D$1:$D$106)</f>
        <v>4</v>
      </c>
      <c r="BO16" s="719" cm="1">
        <f t="array" ref="BO16">SUMIF('Inputs summary'!$B$1:$B$106,$BI16,'Inputs summary'!$D$1:$D$106)+SUMIF('Inputs summary'!$E$1:$E$106,$BI16,'Inputs summary'!$C$1:$C$106)</f>
        <v>2</v>
      </c>
      <c r="BP16" s="734" cm="1">
        <f t="array" ref="BP16">BJ16*3+BK16*2+BM16/100+BN16/1000+Y16/100000+AA16/10000000</f>
        <v>8.0240215999999975</v>
      </c>
      <c r="BQ16" s="589"/>
      <c r="BR16" s="589"/>
      <c r="BS16" s="589"/>
    </row>
    <row r="17" spans="1:71" ht="14.25" customHeight="1">
      <c r="A17" s="589"/>
      <c r="B17" s="589"/>
      <c r="C17" s="589"/>
      <c r="D17" s="589"/>
      <c r="E17" s="589"/>
      <c r="F17" s="589"/>
      <c r="G17" s="591">
        <v>14</v>
      </c>
      <c r="H17" s="589" t="str" cm="1">
        <f t="array" ref="H17">'Groups Stage'!O31</f>
        <v>Paraguay</v>
      </c>
      <c r="I17" s="719" cm="1">
        <f t="array" ref="I17">IF(COUNTIF(AC1:AC51,$H17)&gt;0,I$2,0)</f>
        <v>0</v>
      </c>
      <c r="J17" s="719" cm="1">
        <f t="array" ref="J17">IF(COUNTIF(AD1:AD51,$H17)&gt;0,J$2,0)</f>
        <v>0</v>
      </c>
      <c r="K17" s="719" cm="1">
        <f t="array" ref="K17">IF(COUNTIF(AE1:AE51,$H17)&gt;0,K$2,0)</f>
        <v>0</v>
      </c>
      <c r="L17" s="719" cm="1">
        <f t="array" ref="L17">IF(COUNTIF(AF1:AF51,$H17)&gt;0,L$2,0)</f>
        <v>0</v>
      </c>
      <c r="M17" s="719" cm="1">
        <f t="array" ref="M17">IF(COUNTIF(AG1:AG51,$H17)&gt;0,M$2,0)</f>
        <v>0</v>
      </c>
      <c r="N17" s="719" cm="1">
        <f t="array" ref="N17">IF(COUNTIF(AH1:AH51,$H17)&gt;0,N$2,0)</f>
        <v>1</v>
      </c>
      <c r="O17" s="719" cm="1">
        <f t="array" ref="O17">IF(COUNTIF(AI1:AI51,$H17)&gt;0,O$2,0)</f>
        <v>1</v>
      </c>
      <c r="P17" s="719" cm="1">
        <f t="array" ref="P17">SUM(I17:O17)</f>
        <v>2</v>
      </c>
      <c r="Q17" s="719" cm="1">
        <f t="array" ref="Q17">COUNTIFS('Inputs summary'!I1:I234,$H17)</f>
        <v>2</v>
      </c>
      <c r="R17" s="719" cm="1">
        <f t="array" ref="R17">COUNTIFS('Inputs summary'!J1:K234,$H17)</f>
        <v>2</v>
      </c>
      <c r="S17" s="719" cm="1">
        <f t="array" ref="S17">COUNTIFS('Inputs summary'!L1:L234,$H17)</f>
        <v>1</v>
      </c>
      <c r="T17" s="719" cm="1">
        <f t="array" ref="T17">U17-V17</f>
        <v>0</v>
      </c>
      <c r="U17" s="719" cm="1">
        <f t="array" ref="U17">SUMIF('Inputs summary'!B1:B234,H17,'Inputs summary'!C1:C234)+SUMIF('Inputs summary'!E1:E234,H17,'Inputs summary'!D1:D234)</f>
        <v>6</v>
      </c>
      <c r="V17" s="719" cm="1">
        <f t="array" ref="V17">SUMIF('Inputs summary'!B1:B234,H17,'Inputs summary'!D1:D234)+SUMIF('Inputs summary'!E1:E234,H17,'Inputs summary'!C1:C234)</f>
        <v>6</v>
      </c>
      <c r="W17" s="730" cm="1">
        <f t="array" ref="W17">P17*100+Q17*3+R17+T17/100+U17/10000+(1/AA17)/100000000</f>
        <v>208.00060000024999</v>
      </c>
      <c r="X17" s="731" cm="1">
        <f t="array" ref="X17">SUMPRODUCT(I17:O17,$I$1:$O$1)</f>
        <v>11</v>
      </c>
      <c r="Y17" s="732" cm="1">
        <f t="array" ref="Y17">_xlfn.XLOOKUP(H17,AQ1:AQ51,AR1:AR51,"-",0)</f>
        <v>2</v>
      </c>
      <c r="Z17" s="731" cm="1">
        <f t="array" ref="Z17">W17+(1/Y17)*0.000001</f>
        <v>208.00060050024999</v>
      </c>
      <c r="AA17" s="731" cm="1">
        <f t="array" ref="AA17">_xlfn.XLOOKUP(H17,'Ranking FIFA'!B1:B102,'Ranking FIFA'!A1:A102,"--",0)</f>
        <v>40</v>
      </c>
      <c r="AB17" s="589"/>
      <c r="AC17" s="589"/>
      <c r="AD17" s="589"/>
      <c r="AE17" s="589"/>
      <c r="AF17" s="589"/>
      <c r="AG17" s="589"/>
      <c r="AH17" s="589" t="str" cm="1">
        <f t="array" ref="AH17">'Round of 32 &amp; Round of 16'!Y21</f>
        <v>Paraguay</v>
      </c>
      <c r="AI17" s="589" t="str" cm="1">
        <f t="array" ref="AI17">'Round of 32 &amp; Round of 16'!E29</f>
        <v>Escocia</v>
      </c>
      <c r="AJ17" s="589"/>
      <c r="AK17" s="589"/>
      <c r="AL17" s="589"/>
      <c r="AM17" s="589"/>
      <c r="AN17" s="589"/>
      <c r="AO17" s="589"/>
      <c r="AP17" s="592" cm="1">
        <f t="array" ref="AP17">_xlfn.XLOOKUP(AQ17,'Ranking FIFA'!B1:B102,'Ranking FIFA'!A1:A102,"--",0)</f>
        <v>14</v>
      </c>
      <c r="AQ17" s="691" t="s">
        <v>61</v>
      </c>
      <c r="AR17" s="592">
        <v>2</v>
      </c>
      <c r="AS17" s="590"/>
      <c r="AT17" s="733" cm="1">
        <f t="array" ref="AT17">SUMIF($H$4:$H$51,AQ17,$X$4:$X$51)</f>
        <v>1</v>
      </c>
      <c r="AU17" s="734" cm="1">
        <f t="array" ref="AU17">SUMIF($H$4:$H$51,AQ17,$W$4:$W$51)</f>
        <v>104.00060000071429</v>
      </c>
      <c r="AV17" s="589"/>
      <c r="AW17" s="589"/>
      <c r="AX17" s="589"/>
      <c r="AY17" s="735" t="str" cm="1">
        <f t="array" ref="AY17">IF(AY11="-",IF(AY15="-","-",AY15),IF(AY15="-",AY11,IF(AX11&lt;=AX15,AY11,AY15)))</f>
        <v>Paises Bajos</v>
      </c>
      <c r="AZ17" s="589"/>
      <c r="BA17" s="589"/>
      <c r="BB17" s="589"/>
      <c r="BC17" s="589"/>
      <c r="BD17" s="589"/>
      <c r="BE17" s="589"/>
      <c r="BF17" s="589"/>
      <c r="BG17" s="589"/>
      <c r="BH17" s="591">
        <v>14</v>
      </c>
      <c r="BI17" s="589" t="str" cm="1">
        <f t="array" ref="BI17">H17</f>
        <v>Paraguay</v>
      </c>
      <c r="BJ17" s="719" cm="1">
        <f t="array" ref="BJ17">COUNTIFS('Inputs summary'!I$2:I$106,BI17)</f>
        <v>1</v>
      </c>
      <c r="BK17" s="719" cm="1">
        <f t="array" ref="BK17">COUNTIFS('Inputs summary'!J$2:K$106,BI17)</f>
        <v>2</v>
      </c>
      <c r="BL17" s="719" cm="1">
        <f t="array" ref="BL17">COUNTIFS('Inputs summary'!L$2:L$106,BI17)</f>
        <v>0</v>
      </c>
      <c r="BM17" s="719" cm="1">
        <f t="array" ref="BM17">BN17-BO17</f>
        <v>1</v>
      </c>
      <c r="BN17" s="719" cm="1">
        <f t="array" ref="BN17">SUMIF('Inputs summary'!$B$1:$B$106,$BI17,'Inputs summary'!$C$1:$C$106)+SUMIF('Inputs summary'!$E$1:$E$106,$BI17,'Inputs summary'!$D$1:$D$106)</f>
        <v>4</v>
      </c>
      <c r="BO17" s="719" cm="1">
        <f t="array" ref="BO17">SUMIF('Inputs summary'!$B$1:$B$106,$BI17,'Inputs summary'!$D$1:$D$106)+SUMIF('Inputs summary'!$E$1:$E$106,$BI17,'Inputs summary'!$C$1:$C$106)</f>
        <v>3</v>
      </c>
      <c r="BP17" s="734" cm="1">
        <f t="array" ref="BP17">BJ17*3+BK17*2+BM17/100+BN17/1000+Y17/100000+AA17/10000000</f>
        <v>7.0140239999999991</v>
      </c>
      <c r="BQ17" s="589"/>
      <c r="BR17" s="589"/>
      <c r="BS17" s="589"/>
    </row>
    <row r="18" spans="1:71" ht="14.25" customHeight="1">
      <c r="A18" s="589"/>
      <c r="B18" s="589"/>
      <c r="C18" s="589"/>
      <c r="D18" s="589"/>
      <c r="E18" s="589"/>
      <c r="F18" s="589"/>
      <c r="G18" s="591">
        <v>15</v>
      </c>
      <c r="H18" s="589" t="str" cm="1">
        <f t="array" ref="H18">'Groups Stage'!O32</f>
        <v>Australia</v>
      </c>
      <c r="I18" s="719" cm="1">
        <f t="array" ref="I18">IF(COUNTIF(AC1:AC51,$H18)&gt;0,I$2,0)</f>
        <v>0</v>
      </c>
      <c r="J18" s="719" cm="1">
        <f t="array" ref="J18">IF(COUNTIF(AD1:AD51,$H18)&gt;0,J$2,0)</f>
        <v>0</v>
      </c>
      <c r="K18" s="719" cm="1">
        <f t="array" ref="K18">IF(COUNTIF(AE1:AE51,$H18)&gt;0,K$2,0)</f>
        <v>0</v>
      </c>
      <c r="L18" s="719" cm="1">
        <f t="array" ref="L18">IF(COUNTIF(AF1:AF51,$H18)&gt;0,L$2,0)</f>
        <v>0</v>
      </c>
      <c r="M18" s="719" cm="1">
        <f t="array" ref="M18">IF(COUNTIF(AG1:AG51,$H18)&gt;0,M$2,0)</f>
        <v>0</v>
      </c>
      <c r="N18" s="719" cm="1">
        <f t="array" ref="N18">IF(COUNTIF(AH1:AH51,$H18)&gt;0,N$2,0)</f>
        <v>0</v>
      </c>
      <c r="O18" s="719" cm="1">
        <f t="array" ref="O18">IF(COUNTIF(AI1:AI51,$H18)&gt;0,O$2,0)</f>
        <v>0</v>
      </c>
      <c r="P18" s="719" cm="1">
        <f t="array" ref="P18">SUM(I18:O18)</f>
        <v>0</v>
      </c>
      <c r="Q18" s="719" cm="1">
        <f t="array" ref="Q18">COUNTIFS('Inputs summary'!I1:I234,$H18)</f>
        <v>0</v>
      </c>
      <c r="R18" s="719" cm="1">
        <f t="array" ref="R18">COUNTIFS('Inputs summary'!J1:K234,$H18)</f>
        <v>0</v>
      </c>
      <c r="S18" s="719" cm="1">
        <f t="array" ref="S18">COUNTIFS('Inputs summary'!L1:L234,$H18)</f>
        <v>3</v>
      </c>
      <c r="T18" s="719" cm="1">
        <f t="array" ref="T18">U18-V18</f>
        <v>-3</v>
      </c>
      <c r="U18" s="719" cm="1">
        <f t="array" ref="U18">SUMIF('Inputs summary'!B1:B234,H18,'Inputs summary'!C1:C234)+SUMIF('Inputs summary'!E1:E234,H18,'Inputs summary'!D1:D234)</f>
        <v>2</v>
      </c>
      <c r="V18" s="719" cm="1">
        <f t="array" ref="V18">SUMIF('Inputs summary'!B1:B234,H18,'Inputs summary'!D1:D234)+SUMIF('Inputs summary'!E1:E234,H18,'Inputs summary'!C1:C234)</f>
        <v>5</v>
      </c>
      <c r="W18" s="730" cm="1">
        <f t="array" ref="W18">P18*100+Q18*3+R18+T18/100+U18/10000+(1/AA18)/100000000</f>
        <v>-2.979999962962963E-2</v>
      </c>
      <c r="X18" s="731" cm="1">
        <f t="array" ref="X18">SUMPRODUCT(I18:O18,$I$1:$O$1)</f>
        <v>0</v>
      </c>
      <c r="Y18" s="732" cm="1">
        <f t="array" ref="Y18">_xlfn.XLOOKUP(H18,AQ1:AQ51,AR1:AR51,"-",0)</f>
        <v>3</v>
      </c>
      <c r="Z18" s="731" cm="1">
        <f t="array" ref="Z18">W18+(1/Y18)*0.000001</f>
        <v>-2.9799666296296295E-2</v>
      </c>
      <c r="AA18" s="731" cm="1">
        <f t="array" ref="AA18">_xlfn.XLOOKUP(H18,'Ranking FIFA'!B1:B102,'Ranking FIFA'!A1:A102,"--",0)</f>
        <v>27</v>
      </c>
      <c r="AB18" s="589"/>
      <c r="AC18" s="589"/>
      <c r="AD18" s="589"/>
      <c r="AE18" s="589"/>
      <c r="AF18" s="589"/>
      <c r="AG18" s="589"/>
      <c r="AH18" s="589" t="str" cm="1">
        <f t="array" ref="AH18">'Round of 32 &amp; Round of 16'!V29</f>
        <v>Suiza</v>
      </c>
      <c r="AI18" s="589" t="str" cm="1">
        <f t="array" ref="AI18">'Round of 32 &amp; Round of 16'!B33</f>
        <v>Inglaterra</v>
      </c>
      <c r="AJ18" s="589"/>
      <c r="AK18" s="589"/>
      <c r="AL18" s="589"/>
      <c r="AM18" s="589"/>
      <c r="AN18" s="589"/>
      <c r="AO18" s="589"/>
      <c r="AP18" s="592" cm="1">
        <f t="array" ref="AP18">_xlfn.XLOOKUP(AQ18,'Ranking FIFA'!B1:B102,'Ranking FIFA'!A1:A102,"--",0)</f>
        <v>15</v>
      </c>
      <c r="AQ18" s="691" t="s">
        <v>62</v>
      </c>
      <c r="AR18" s="592">
        <v>2</v>
      </c>
      <c r="AS18" s="590"/>
      <c r="AT18" s="733" cm="1">
        <f t="array" ref="AT18">SUMIF($H$4:$H$51,AQ18,$X$4:$X$51)</f>
        <v>11</v>
      </c>
      <c r="AU18" s="734" cm="1">
        <f t="array" ref="AU18">SUMIF($H$4:$H$51,AQ18,$W$4:$W$51)</f>
        <v>212.04080000066665</v>
      </c>
      <c r="AV18" s="589"/>
      <c r="AW18" s="589"/>
      <c r="AX18" s="589"/>
      <c r="AY18" s="589"/>
      <c r="AZ18" s="589"/>
      <c r="BA18" s="589"/>
      <c r="BB18" s="589"/>
      <c r="BC18" s="589"/>
      <c r="BD18" s="589"/>
      <c r="BE18" s="589"/>
      <c r="BF18" s="589"/>
      <c r="BG18" s="589"/>
      <c r="BH18" s="591">
        <v>15</v>
      </c>
      <c r="BI18" s="589" t="str" cm="1">
        <f t="array" ref="BI18">H18</f>
        <v>Australia</v>
      </c>
      <c r="BJ18" s="719" cm="1">
        <f t="array" ref="BJ18">COUNTIFS('Inputs summary'!I$2:I$106,BI18)</f>
        <v>0</v>
      </c>
      <c r="BK18" s="719" cm="1">
        <f t="array" ref="BK18">COUNTIFS('Inputs summary'!J$2:K$106,BI18)</f>
        <v>0</v>
      </c>
      <c r="BL18" s="719" cm="1">
        <f t="array" ref="BL18">COUNTIFS('Inputs summary'!L$2:L$106,BI18)</f>
        <v>3</v>
      </c>
      <c r="BM18" s="719" cm="1">
        <f t="array" ref="BM18">BN18-BO18</f>
        <v>-3</v>
      </c>
      <c r="BN18" s="719" cm="1">
        <f t="array" ref="BN18">SUMIF('Inputs summary'!$B$1:$B$106,$BI18,'Inputs summary'!$C$1:$C$106)+SUMIF('Inputs summary'!$E$1:$E$106,$BI18,'Inputs summary'!$D$1:$D$106)</f>
        <v>2</v>
      </c>
      <c r="BO18" s="719" cm="1">
        <f t="array" ref="BO18">SUMIF('Inputs summary'!$B$1:$B$106,$BI18,'Inputs summary'!$D$1:$D$106)+SUMIF('Inputs summary'!$E$1:$E$106,$BI18,'Inputs summary'!$C$1:$C$106)</f>
        <v>5</v>
      </c>
      <c r="BP18" s="734" cm="1">
        <f t="array" ref="BP18">BJ18*3+BK18*2+BM18/100+BN18/1000+Y18/100000+AA18/10000000</f>
        <v>-2.7967299999999997E-2</v>
      </c>
      <c r="BQ18" s="589"/>
      <c r="BR18" s="589"/>
      <c r="BS18" s="589"/>
    </row>
    <row r="19" spans="1:71" ht="14.25" customHeight="1">
      <c r="A19" s="589"/>
      <c r="B19" s="589"/>
      <c r="C19" s="589"/>
      <c r="D19" s="589"/>
      <c r="E19" s="589"/>
      <c r="F19" s="589"/>
      <c r="G19" s="591">
        <v>16</v>
      </c>
      <c r="H19" s="589" t="str" cm="1">
        <f t="array" ref="H19">'Groups Stage'!O33</f>
        <v>Turquia</v>
      </c>
      <c r="I19" s="719" cm="1">
        <f t="array" ref="I19">IF(COUNTIF(AC1:AC51,$H19)&gt;0,I$2,0)</f>
        <v>0</v>
      </c>
      <c r="J19" s="719" cm="1">
        <f t="array" ref="J19">IF(COUNTIF(AD1:AD51,$H19)&gt;0,J$2,0)</f>
        <v>0</v>
      </c>
      <c r="K19" s="719" cm="1">
        <f t="array" ref="K19">IF(COUNTIF(AE1:AE51,$H19)&gt;0,K$2,0)</f>
        <v>0</v>
      </c>
      <c r="L19" s="719" cm="1">
        <f t="array" ref="L19">IF(COUNTIF(AF1:AF51,$H19)&gt;0,L$2,0)</f>
        <v>0</v>
      </c>
      <c r="M19" s="719" cm="1">
        <f t="array" ref="M19">IF(COUNTIF(AG1:AG51,$H19)&gt;0,M$2,0)</f>
        <v>0</v>
      </c>
      <c r="N19" s="719" cm="1">
        <f t="array" ref="N19">IF(COUNTIF(AH1:AH51,$H19)&gt;0,N$2,0)</f>
        <v>0</v>
      </c>
      <c r="O19" s="719" cm="1">
        <f t="array" ref="O19">IF(COUNTIF(AI1:AI51,$H19)&gt;0,O$2,0)</f>
        <v>1</v>
      </c>
      <c r="P19" s="719" cm="1">
        <f t="array" ref="P19">SUM(I19:O19)</f>
        <v>1</v>
      </c>
      <c r="Q19" s="719" cm="1">
        <f t="array" ref="Q19">COUNTIFS('Inputs summary'!I1:I234,$H19)</f>
        <v>1</v>
      </c>
      <c r="R19" s="719" cm="1">
        <f t="array" ref="R19">COUNTIFS('Inputs summary'!J1:K234,$H19)</f>
        <v>1</v>
      </c>
      <c r="S19" s="719" cm="1">
        <f t="array" ref="S19">COUNTIFS('Inputs summary'!L1:L234,$H19)</f>
        <v>2</v>
      </c>
      <c r="T19" s="719" cm="1">
        <f t="array" ref="T19">U19-V19</f>
        <v>-1</v>
      </c>
      <c r="U19" s="719" cm="1">
        <f t="array" ref="U19">SUMIF('Inputs summary'!B1:B234,H19,'Inputs summary'!C1:C234)+SUMIF('Inputs summary'!E1:E234,H19,'Inputs summary'!D1:D234)</f>
        <v>3</v>
      </c>
      <c r="V19" s="719" cm="1">
        <f t="array" ref="V19">SUMIF('Inputs summary'!B1:B234,H19,'Inputs summary'!D1:D234)+SUMIF('Inputs summary'!E1:E234,H19,'Inputs summary'!C1:C234)</f>
        <v>4</v>
      </c>
      <c r="W19" s="730" cm="1">
        <f t="array" ref="W19">P19*100+Q19*3+R19+T19/100+U19/10000+(1/AA19)/100000000</f>
        <v>103.99030000045454</v>
      </c>
      <c r="X19" s="731" cm="1">
        <f t="array" ref="X19">SUMPRODUCT(I19:O19,$I$1:$O$1)</f>
        <v>1</v>
      </c>
      <c r="Y19" s="732" cm="1">
        <f t="array" ref="Y19">_xlfn.XLOOKUP(H19,AQ1:AQ51,AR1:AR51,"-",0)</f>
        <v>2</v>
      </c>
      <c r="Z19" s="731" cm="1">
        <f t="array" ref="Z19">W19+(1/Y19)*0.000001</f>
        <v>103.99030050045454</v>
      </c>
      <c r="AA19" s="731" cm="1">
        <f t="array" ref="AA19">_xlfn.XLOOKUP(H19,'Ranking FIFA'!B1:B102,'Ranking FIFA'!A1:A102,"--",0)</f>
        <v>22</v>
      </c>
      <c r="AB19" s="589"/>
      <c r="AC19" s="589"/>
      <c r="AD19" s="589"/>
      <c r="AE19" s="589"/>
      <c r="AF19" s="589"/>
      <c r="AG19" s="589"/>
      <c r="AH19" s="589" t="str" cm="1">
        <f t="array" ref="AH19">'Round of 32 &amp; Round of 16'!Y29</f>
        <v>Portugal</v>
      </c>
      <c r="AI19" s="589" t="str" cm="1">
        <f t="array" ref="AI19">'Round of 32 &amp; Round of 16'!E33</f>
        <v>Senegal</v>
      </c>
      <c r="AJ19" s="589"/>
      <c r="AK19" s="589"/>
      <c r="AL19" s="589"/>
      <c r="AM19" s="589"/>
      <c r="AN19" s="589"/>
      <c r="AO19" s="589"/>
      <c r="AP19" s="592" cm="1">
        <f t="array" ref="AP19">_xlfn.XLOOKUP(AQ19,'Ranking FIFA'!B1:B102,'Ranking FIFA'!A1:A102,"--",0)</f>
        <v>16</v>
      </c>
      <c r="AQ19" s="691" t="s">
        <v>63</v>
      </c>
      <c r="AR19" s="592">
        <v>2</v>
      </c>
      <c r="AS19" s="590"/>
      <c r="AT19" s="733" cm="1">
        <f t="array" ref="AT19">SUMIF($H$4:$H$51,AQ19,$X$4:$X$51)</f>
        <v>11</v>
      </c>
      <c r="AU19" s="734" cm="1">
        <f t="array" ref="AU19">SUMIF($H$4:$H$51,AQ19,$W$4:$W$51)</f>
        <v>210.020600000625</v>
      </c>
      <c r="AV19" s="589"/>
      <c r="AW19" s="589"/>
      <c r="AX19" s="589"/>
      <c r="AY19" s="589"/>
      <c r="AZ19" s="589"/>
      <c r="BA19" s="589"/>
      <c r="BB19" s="589"/>
      <c r="BC19" s="589"/>
      <c r="BD19" s="589"/>
      <c r="BE19" s="589"/>
      <c r="BF19" s="589"/>
      <c r="BG19" s="589"/>
      <c r="BH19" s="591">
        <v>16</v>
      </c>
      <c r="BI19" s="589" t="str" cm="1">
        <f t="array" ref="BI19">H19</f>
        <v>Turquia</v>
      </c>
      <c r="BJ19" s="719" cm="1">
        <f t="array" ref="BJ19">COUNTIFS('Inputs summary'!I$2:I$106,BI19)</f>
        <v>1</v>
      </c>
      <c r="BK19" s="719" cm="1">
        <f t="array" ref="BK19">COUNTIFS('Inputs summary'!J$2:K$106,BI19)</f>
        <v>1</v>
      </c>
      <c r="BL19" s="719" cm="1">
        <f t="array" ref="BL19">COUNTIFS('Inputs summary'!L$2:L$106,BI19)</f>
        <v>1</v>
      </c>
      <c r="BM19" s="719" cm="1">
        <f t="array" ref="BM19">BN19-BO19</f>
        <v>0</v>
      </c>
      <c r="BN19" s="719" cm="1">
        <f t="array" ref="BN19">SUMIF('Inputs summary'!$B$1:$B$106,$BI19,'Inputs summary'!$C$1:$C$106)+SUMIF('Inputs summary'!$E$1:$E$106,$BI19,'Inputs summary'!$D$1:$D$106)</f>
        <v>2</v>
      </c>
      <c r="BO19" s="719" cm="1">
        <f t="array" ref="BO19">SUMIF('Inputs summary'!$B$1:$B$106,$BI19,'Inputs summary'!$D$1:$D$106)+SUMIF('Inputs summary'!$E$1:$E$106,$BI19,'Inputs summary'!$C$1:$C$106)</f>
        <v>2</v>
      </c>
      <c r="BP19" s="734" cm="1">
        <f t="array" ref="BP19">BJ19*3+BK19*2+BM19/100+BN19/1000+Y19/100000+AA19/10000000</f>
        <v>5.0020221999999999</v>
      </c>
      <c r="BQ19" s="589"/>
      <c r="BR19" s="589"/>
      <c r="BS19" s="589"/>
    </row>
    <row r="20" spans="1:71" ht="14.25" customHeight="1">
      <c r="A20" s="589"/>
      <c r="B20" s="589"/>
      <c r="C20" s="589"/>
      <c r="D20" s="589"/>
      <c r="E20" s="589"/>
      <c r="F20" s="589"/>
      <c r="G20" s="591">
        <v>17</v>
      </c>
      <c r="H20" s="589" t="str" cm="1">
        <f t="array" ref="H20">'Groups Stage'!O39</f>
        <v>Alemania</v>
      </c>
      <c r="I20" s="719" cm="1">
        <f t="array" ref="I20">IF(COUNTIF(AC1:AC51,$H20)&gt;0,I$2,0)</f>
        <v>0</v>
      </c>
      <c r="J20" s="719" cm="1">
        <f t="array" ref="J20">IF(COUNTIF(AD1:AD51,$H20)&gt;0,J$2,0)</f>
        <v>0</v>
      </c>
      <c r="K20" s="719" cm="1">
        <f t="array" ref="K20">IF(COUNTIF(AE1:AE51,$H20)&gt;0,K$2,0)</f>
        <v>0</v>
      </c>
      <c r="L20" s="719" cm="1">
        <f t="array" ref="L20">IF(COUNTIF(AF1:AF51,$H20)&gt;0,L$2,0)</f>
        <v>0</v>
      </c>
      <c r="M20" s="719" cm="1">
        <f t="array" ref="M20">IF(COUNTIF(AG1:AG51,$H20)&gt;0,M$2,0)</f>
        <v>0</v>
      </c>
      <c r="N20" s="719" cm="1">
        <f t="array" ref="N20">IF(COUNTIF(AH1:AH51,$H20)&gt;0,N$2,0)</f>
        <v>1</v>
      </c>
      <c r="O20" s="719" cm="1">
        <f t="array" ref="O20">IF(COUNTIF(AI1:AI51,$H20)&gt;0,O$2,0)</f>
        <v>1</v>
      </c>
      <c r="P20" s="719" cm="1">
        <f t="array" ref="P20">SUM(I20:O20)</f>
        <v>2</v>
      </c>
      <c r="Q20" s="719" cm="1">
        <f t="array" ref="Q20">COUNTIFS('Inputs summary'!I1:I234,$H20)</f>
        <v>4</v>
      </c>
      <c r="R20" s="719" cm="1">
        <f t="array" ref="R20">COUNTIFS('Inputs summary'!J1:K234,$H20)</f>
        <v>0</v>
      </c>
      <c r="S20" s="719" cm="1">
        <f t="array" ref="S20">COUNTIFS('Inputs summary'!L1:L234,$H20)</f>
        <v>1</v>
      </c>
      <c r="T20" s="719" cm="1">
        <f t="array" ref="T20">U20-V20</f>
        <v>7</v>
      </c>
      <c r="U20" s="719" cm="1">
        <f t="array" ref="U20">SUMIF('Inputs summary'!B1:B234,H20,'Inputs summary'!C1:C234)+SUMIF('Inputs summary'!E1:E234,H20,'Inputs summary'!D1:D234)</f>
        <v>11</v>
      </c>
      <c r="V20" s="719" cm="1">
        <f t="array" ref="V20">SUMIF('Inputs summary'!B1:B234,H20,'Inputs summary'!D1:D234)+SUMIF('Inputs summary'!E1:E234,H20,'Inputs summary'!C1:C234)</f>
        <v>4</v>
      </c>
      <c r="W20" s="730" cm="1">
        <f t="array" ref="W20">P20*100+Q20*3+R20+T20/100+U20/10000+(1/AA20)/100000000</f>
        <v>212.07110000099999</v>
      </c>
      <c r="X20" s="731" cm="1">
        <f t="array" ref="X20">SUMPRODUCT(I20:O20,$I$1:$O$1)</f>
        <v>11</v>
      </c>
      <c r="Y20" s="732" cm="1">
        <f t="array" ref="Y20">_xlfn.XLOOKUP(H20,AQ1:AQ51,AR1:AR51,"-",0)</f>
        <v>1</v>
      </c>
      <c r="Z20" s="731" cm="1">
        <f t="array" ref="Z20">W20+(1/Y20)*0.000001</f>
        <v>212.07110100099999</v>
      </c>
      <c r="AA20" s="731" cm="1">
        <f t="array" ref="AA20">_xlfn.XLOOKUP(H20,'Ranking FIFA'!B1:B102,'Ranking FIFA'!A1:A102,"--",0)</f>
        <v>10</v>
      </c>
      <c r="AB20" s="589"/>
      <c r="AC20" s="589"/>
      <c r="AD20" s="589"/>
      <c r="AE20" s="589"/>
      <c r="AF20" s="589"/>
      <c r="AG20" s="589"/>
      <c r="AH20" s="589"/>
      <c r="AI20" s="589" t="str" cm="1">
        <f t="array" ref="AI20">'Round of 32 &amp; Round of 16'!H5</f>
        <v>Estados Unidos</v>
      </c>
      <c r="AJ20" s="589"/>
      <c r="AK20" s="589"/>
      <c r="AL20" s="589"/>
      <c r="AM20" s="589"/>
      <c r="AN20" s="589"/>
      <c r="AO20" s="589"/>
      <c r="AP20" s="592" cm="1">
        <f t="array" ref="AP20">_xlfn.XLOOKUP(AQ20,'Ranking FIFA'!B1:B102,'Ranking FIFA'!A1:A102,"--",0)</f>
        <v>18</v>
      </c>
      <c r="AQ20" s="691" t="s">
        <v>64</v>
      </c>
      <c r="AR20" s="592">
        <v>2</v>
      </c>
      <c r="AS20" s="590"/>
      <c r="AT20" s="733" cm="1">
        <f t="array" ref="AT20">SUMIF($H$4:$H$51,AQ20,$X$4:$X$51)</f>
        <v>1</v>
      </c>
      <c r="AU20" s="734" cm="1">
        <f t="array" ref="AU20">SUMIF($H$4:$H$51,AQ20,$W$4:$W$51)</f>
        <v>103.99040000055555</v>
      </c>
      <c r="AV20" s="589"/>
      <c r="AW20" s="589"/>
      <c r="AX20" s="589"/>
      <c r="AY20" s="589"/>
      <c r="AZ20" s="589"/>
      <c r="BA20" s="589"/>
      <c r="BB20" s="589"/>
      <c r="BC20" s="589"/>
      <c r="BD20" s="589"/>
      <c r="BE20" s="589"/>
      <c r="BF20" s="589"/>
      <c r="BG20" s="589"/>
      <c r="BH20" s="591">
        <v>17</v>
      </c>
      <c r="BI20" s="589" t="str" cm="1">
        <f t="array" ref="BI20">H20</f>
        <v>Alemania</v>
      </c>
      <c r="BJ20" s="719" cm="1">
        <f t="array" ref="BJ20">COUNTIFS('Inputs summary'!I$2:I$106,BI20)</f>
        <v>3</v>
      </c>
      <c r="BK20" s="719" cm="1">
        <f t="array" ref="BK20">COUNTIFS('Inputs summary'!J$2:K$106,BI20)</f>
        <v>0</v>
      </c>
      <c r="BL20" s="719" cm="1">
        <f t="array" ref="BL20">COUNTIFS('Inputs summary'!L$2:L$106,BI20)</f>
        <v>0</v>
      </c>
      <c r="BM20" s="719" cm="1">
        <f t="array" ref="BM20">BN20-BO20</f>
        <v>7</v>
      </c>
      <c r="BN20" s="719" cm="1">
        <f t="array" ref="BN20">SUMIF('Inputs summary'!$B$1:$B$106,$BI20,'Inputs summary'!$C$1:$C$106)+SUMIF('Inputs summary'!$E$1:$E$106,$BI20,'Inputs summary'!$D$1:$D$106)</f>
        <v>8</v>
      </c>
      <c r="BO20" s="719" cm="1">
        <f t="array" ref="BO20">SUMIF('Inputs summary'!$B$1:$B$106,$BI20,'Inputs summary'!$D$1:$D$106)+SUMIF('Inputs summary'!$E$1:$E$106,$BI20,'Inputs summary'!$C$1:$C$106)</f>
        <v>1</v>
      </c>
      <c r="BP20" s="734" cm="1">
        <f t="array" ref="BP20">BJ20*3+BK20*2+BM20/100+BN20/1000+Y20/100000+AA20/10000000</f>
        <v>9.0780109999999983</v>
      </c>
      <c r="BQ20" s="589"/>
      <c r="BR20" s="589"/>
      <c r="BS20" s="589"/>
    </row>
    <row r="21" spans="1:71" ht="14.25" customHeight="1">
      <c r="A21" s="589"/>
      <c r="B21" s="589"/>
      <c r="C21" s="589"/>
      <c r="D21" s="589"/>
      <c r="E21" s="589"/>
      <c r="F21" s="589"/>
      <c r="G21" s="591">
        <v>18</v>
      </c>
      <c r="H21" s="589" t="str" cm="1">
        <f t="array" ref="H21">'Groups Stage'!O40</f>
        <v>Curazao</v>
      </c>
      <c r="I21" s="719" cm="1">
        <f t="array" ref="I21">IF(COUNTIF(AC1:AC51,$H21)&gt;0,I$2,0)</f>
        <v>0</v>
      </c>
      <c r="J21" s="719" cm="1">
        <f t="array" ref="J21">IF(COUNTIF(AD1:AD51,$H21)&gt;0,J$2,0)</f>
        <v>0</v>
      </c>
      <c r="K21" s="719" cm="1">
        <f t="array" ref="K21">IF(COUNTIF(AE1:AE51,$H21)&gt;0,K$2,0)</f>
        <v>0</v>
      </c>
      <c r="L21" s="719" cm="1">
        <f t="array" ref="L21">IF(COUNTIF(AF1:AF51,$H21)&gt;0,L$2,0)</f>
        <v>0</v>
      </c>
      <c r="M21" s="719" cm="1">
        <f t="array" ref="M21">IF(COUNTIF(AG1:AG51,$H21)&gt;0,M$2,0)</f>
        <v>0</v>
      </c>
      <c r="N21" s="719" cm="1">
        <f t="array" ref="N21">IF(COUNTIF(AH1:AH51,$H21)&gt;0,N$2,0)</f>
        <v>0</v>
      </c>
      <c r="O21" s="719" cm="1">
        <f t="array" ref="O21">IF(COUNTIF(AI1:AI51,$H21)&gt;0,O$2,0)</f>
        <v>0</v>
      </c>
      <c r="P21" s="719" cm="1">
        <f t="array" ref="P21">SUM(I21:O21)</f>
        <v>0</v>
      </c>
      <c r="Q21" s="719" cm="1">
        <f t="array" ref="Q21">COUNTIFS('Inputs summary'!I1:I234,$H21)</f>
        <v>0</v>
      </c>
      <c r="R21" s="719" cm="1">
        <f t="array" ref="R21">COUNTIFS('Inputs summary'!J1:K234,$H21)</f>
        <v>0</v>
      </c>
      <c r="S21" s="719" cm="1">
        <f t="array" ref="S21">COUNTIFS('Inputs summary'!L1:L234,$H21)</f>
        <v>3</v>
      </c>
      <c r="T21" s="719" cm="1">
        <f t="array" ref="T21">U21-V21</f>
        <v>-8</v>
      </c>
      <c r="U21" s="719" cm="1">
        <f t="array" ref="U21">SUMIF('Inputs summary'!B1:B234,H21,'Inputs summary'!C1:C234)+SUMIF('Inputs summary'!E1:E234,H21,'Inputs summary'!D1:D234)</f>
        <v>0</v>
      </c>
      <c r="V21" s="719" cm="1">
        <f t="array" ref="V21">SUMIF('Inputs summary'!B1:B234,H21,'Inputs summary'!D1:D234)+SUMIF('Inputs summary'!E1:E234,H21,'Inputs summary'!C1:C234)</f>
        <v>8</v>
      </c>
      <c r="W21" s="730" cm="1">
        <f t="array" ref="W21">P21*100+Q21*3+R21+T21/100+U21/10000+(1/AA21)/100000000</f>
        <v>-7.9999999878048789E-2</v>
      </c>
      <c r="X21" s="731" cm="1">
        <f t="array" ref="X21">SUMPRODUCT(I21:O21,$I$1:$O$1)</f>
        <v>0</v>
      </c>
      <c r="Y21" s="732" cm="1">
        <f t="array" ref="Y21">_xlfn.XLOOKUP(H21,AQ1:AQ51,AR1:AR51,"-",0)</f>
        <v>4</v>
      </c>
      <c r="Z21" s="731" cm="1">
        <f t="array" ref="Z21">W21+(1/Y21)*0.000001</f>
        <v>-7.9999749878048795E-2</v>
      </c>
      <c r="AA21" s="731" cm="1">
        <f t="array" ref="AA21">_xlfn.XLOOKUP(H21,'Ranking FIFA'!B1:B102,'Ranking FIFA'!A1:A102,"--",0)</f>
        <v>82</v>
      </c>
      <c r="AB21" s="589"/>
      <c r="AC21" s="589"/>
      <c r="AD21" s="589"/>
      <c r="AE21" s="589"/>
      <c r="AF21" s="589"/>
      <c r="AG21" s="589"/>
      <c r="AH21" s="589"/>
      <c r="AI21" s="589" t="str" cm="1">
        <f t="array" ref="AI21">'Round of 32 &amp; Round of 16'!K5</f>
        <v>Costa de Marfil</v>
      </c>
      <c r="AJ21" s="589"/>
      <c r="AK21" s="589"/>
      <c r="AL21" s="589"/>
      <c r="AM21" s="589"/>
      <c r="AN21" s="589"/>
      <c r="AO21" s="589"/>
      <c r="AP21" s="592" cm="1">
        <f t="array" ref="AP21">_xlfn.XLOOKUP(AQ21,'Ranking FIFA'!B1:B102,'Ranking FIFA'!A1:A102,"--",0)</f>
        <v>19</v>
      </c>
      <c r="AQ21" s="745" t="s">
        <v>65</v>
      </c>
      <c r="AR21" s="592">
        <v>2</v>
      </c>
      <c r="AS21" s="590"/>
      <c r="AT21" s="733" cm="1">
        <f t="array" ref="AT21">SUMIF($H$4:$H$51,AQ21,$X$4:$X$51)</f>
        <v>11</v>
      </c>
      <c r="AU21" s="734" cm="1">
        <f t="array" ref="AU21">SUMIF($H$4:$H$51,AQ21,$W$4:$W$51)</f>
        <v>210.03060000052631</v>
      </c>
      <c r="AV21" s="589"/>
      <c r="AW21" s="691" t="s">
        <v>32</v>
      </c>
      <c r="AX21" s="589"/>
      <c r="AY21" s="589"/>
      <c r="AZ21" s="589"/>
      <c r="BA21" s="589"/>
      <c r="BB21" s="589"/>
      <c r="BC21" s="589"/>
      <c r="BD21" s="589"/>
      <c r="BE21" s="589"/>
      <c r="BF21" s="589"/>
      <c r="BG21" s="589"/>
      <c r="BH21" s="591">
        <v>18</v>
      </c>
      <c r="BI21" s="589" t="str" cm="1">
        <f t="array" ref="BI21">H21</f>
        <v>Curazao</v>
      </c>
      <c r="BJ21" s="719" cm="1">
        <f t="array" ref="BJ21">COUNTIFS('Inputs summary'!I$2:I$106,BI21)</f>
        <v>0</v>
      </c>
      <c r="BK21" s="719" cm="1">
        <f t="array" ref="BK21">COUNTIFS('Inputs summary'!J$2:K$106,BI21)</f>
        <v>0</v>
      </c>
      <c r="BL21" s="719" cm="1">
        <f t="array" ref="BL21">COUNTIFS('Inputs summary'!L$2:L$106,BI21)</f>
        <v>3</v>
      </c>
      <c r="BM21" s="719" cm="1">
        <f t="array" ref="BM21">BN21-BO21</f>
        <v>-8</v>
      </c>
      <c r="BN21" s="719" cm="1">
        <f t="array" ref="BN21">SUMIF('Inputs summary'!$B$1:$B$106,$BI21,'Inputs summary'!$C$1:$C$106)+SUMIF('Inputs summary'!$E$1:$E$106,$BI21,'Inputs summary'!$D$1:$D$106)</f>
        <v>0</v>
      </c>
      <c r="BO21" s="719" cm="1">
        <f t="array" ref="BO21">SUMIF('Inputs summary'!$B$1:$B$106,$BI21,'Inputs summary'!$D$1:$D$106)+SUMIF('Inputs summary'!$E$1:$E$106,$BI21,'Inputs summary'!$C$1:$C$106)</f>
        <v>8</v>
      </c>
      <c r="BP21" s="734" cm="1">
        <f t="array" ref="BP21">BJ21*3+BK21*2+BM21/100+BN21/1000+Y21/100000+AA21/10000000</f>
        <v>-7.9951800000000003E-2</v>
      </c>
      <c r="BQ21" s="589"/>
      <c r="BR21" s="589"/>
      <c r="BS21" s="589"/>
    </row>
    <row r="22" spans="1:71" ht="14.25" customHeight="1">
      <c r="A22" s="589"/>
      <c r="B22" s="589"/>
      <c r="C22" s="589"/>
      <c r="D22" s="589"/>
      <c r="E22" s="589"/>
      <c r="F22" s="589"/>
      <c r="G22" s="591">
        <v>19</v>
      </c>
      <c r="H22" s="589" t="str" cm="1">
        <f t="array" ref="H22">'Groups Stage'!O41</f>
        <v>Costa de Marfil</v>
      </c>
      <c r="I22" s="719" cm="1">
        <f t="array" ref="I22">IF(COUNTIF(AC1:AC51,$H22)&gt;0,I$2,0)</f>
        <v>0</v>
      </c>
      <c r="J22" s="719" cm="1">
        <f t="array" ref="J22">IF(COUNTIF(AD1:AD51,$H22)&gt;0,J$2,0)</f>
        <v>0</v>
      </c>
      <c r="K22" s="719" cm="1">
        <f t="array" ref="K22">IF(COUNTIF(AE1:AE51,$H22)&gt;0,K$2,0)</f>
        <v>0</v>
      </c>
      <c r="L22" s="719" cm="1">
        <f t="array" ref="L22">IF(COUNTIF(AF1:AF51,$H22)&gt;0,L$2,0)</f>
        <v>0</v>
      </c>
      <c r="M22" s="719" cm="1">
        <f t="array" ref="M22">IF(COUNTIF(AG1:AG51,$H22)&gt;0,M$2,0)</f>
        <v>0</v>
      </c>
      <c r="N22" s="719" cm="1">
        <f t="array" ref="N22">IF(COUNTIF(AH1:AH51,$H22)&gt;0,N$2,0)</f>
        <v>0</v>
      </c>
      <c r="O22" s="719" cm="1">
        <f t="array" ref="O22">IF(COUNTIF(AI1:AI51,$H22)&gt;0,O$2,0)</f>
        <v>1</v>
      </c>
      <c r="P22" s="719" cm="1">
        <f t="array" ref="P22">SUM(I22:O22)</f>
        <v>1</v>
      </c>
      <c r="Q22" s="719" cm="1">
        <f t="array" ref="Q22">COUNTIFS('Inputs summary'!I1:I234,$H22)</f>
        <v>1</v>
      </c>
      <c r="R22" s="719" cm="1">
        <f t="array" ref="R22">COUNTIFS('Inputs summary'!J1:K234,$H22)</f>
        <v>1</v>
      </c>
      <c r="S22" s="719" cm="1">
        <f t="array" ref="S22">COUNTIFS('Inputs summary'!L1:L234,$H22)</f>
        <v>2</v>
      </c>
      <c r="T22" s="719" cm="1">
        <f t="array" ref="T22">U22-V22</f>
        <v>-1</v>
      </c>
      <c r="U22" s="719" cm="1">
        <f t="array" ref="U22">SUMIF('Inputs summary'!B1:B234,H22,'Inputs summary'!C1:C234)+SUMIF('Inputs summary'!E1:E234,H22,'Inputs summary'!D1:D234)</f>
        <v>3</v>
      </c>
      <c r="V22" s="719" cm="1">
        <f t="array" ref="V22">SUMIF('Inputs summary'!B1:B234,H22,'Inputs summary'!D1:D234)+SUMIF('Inputs summary'!E1:E234,H22,'Inputs summary'!C1:C234)</f>
        <v>4</v>
      </c>
      <c r="W22" s="730" cm="1">
        <f t="array" ref="W22">P22*100+Q22*3+R22+T22/100+U22/10000+(1/AA22)/100000000</f>
        <v>103.99030000029411</v>
      </c>
      <c r="X22" s="731" cm="1">
        <f t="array" ref="X22">SUMPRODUCT(I22:O22,$I$1:$O$1)</f>
        <v>1</v>
      </c>
      <c r="Y22" s="732" cm="1">
        <f t="array" ref="Y22">_xlfn.XLOOKUP(H22,AQ1:AQ51,AR1:AR51,"-",0)</f>
        <v>3</v>
      </c>
      <c r="Z22" s="731" cm="1">
        <f t="array" ref="Z22">W22+(1/Y22)*0.000001</f>
        <v>103.99030033362745</v>
      </c>
      <c r="AA22" s="731" cm="1">
        <f t="array" ref="AA22">_xlfn.XLOOKUP(H22,'Ranking FIFA'!B1:B102,'Ranking FIFA'!A1:A102,"--",0)</f>
        <v>34</v>
      </c>
      <c r="AB22" s="589"/>
      <c r="AC22" s="589"/>
      <c r="AD22" s="589"/>
      <c r="AE22" s="589"/>
      <c r="AF22" s="589"/>
      <c r="AG22" s="589"/>
      <c r="AH22" s="589"/>
      <c r="AI22" s="589" t="str" cm="1">
        <f t="array" ref="AI22">'Round of 32 &amp; Round of 16'!H9</f>
        <v>Belgica</v>
      </c>
      <c r="AJ22" s="589"/>
      <c r="AK22" s="589"/>
      <c r="AL22" s="589"/>
      <c r="AM22" s="589"/>
      <c r="AN22" s="589"/>
      <c r="AO22" s="589"/>
      <c r="AP22" s="746" cm="1">
        <f t="array" ref="AP22">_xlfn.XLOOKUP(AQ22,'Ranking FIFA'!B1:B102,'Ranking FIFA'!A1:A102,"--",0)</f>
        <v>22</v>
      </c>
      <c r="AQ22" s="747" t="s">
        <v>66</v>
      </c>
      <c r="AR22" s="748">
        <v>2</v>
      </c>
      <c r="AS22" s="590"/>
      <c r="AT22" s="733" cm="1">
        <f t="array" ref="AT22">SUMIF($H$4:$H$51,AQ22,$X$4:$X$51)</f>
        <v>1</v>
      </c>
      <c r="AU22" s="734" cm="1">
        <f t="array" ref="AU22">SUMIF($H$4:$H$51,AQ22,$W$4:$W$51)</f>
        <v>103.99030000045454</v>
      </c>
      <c r="AV22" s="589"/>
      <c r="AW22" s="749" cm="1">
        <f t="array" ref="AW22">SMALL($Z$3:$Z$51,1)</f>
        <v>-8.9999749879518073E-2</v>
      </c>
      <c r="AX22" s="589" t="str" cm="1">
        <f t="array" ref="AX22">_xlfn.XLOOKUP(AW22,Z1:Z51,H1:H51,"-",0)</f>
        <v>Haiti</v>
      </c>
      <c r="AY22" s="589"/>
      <c r="AZ22" s="589"/>
      <c r="BA22" s="589"/>
      <c r="BB22" s="589"/>
      <c r="BC22" s="589"/>
      <c r="BD22" s="589"/>
      <c r="BE22" s="589"/>
      <c r="BF22" s="589"/>
      <c r="BG22" s="589"/>
      <c r="BH22" s="591">
        <v>19</v>
      </c>
      <c r="BI22" s="589" t="str" cm="1">
        <f t="array" ref="BI22">H22</f>
        <v>Costa de Marfil</v>
      </c>
      <c r="BJ22" s="719" cm="1">
        <f t="array" ref="BJ22">COUNTIFS('Inputs summary'!I$2:I$106,BI22)</f>
        <v>1</v>
      </c>
      <c r="BK22" s="719" cm="1">
        <f t="array" ref="BK22">COUNTIFS('Inputs summary'!J$2:K$106,BI22)</f>
        <v>1</v>
      </c>
      <c r="BL22" s="719" cm="1">
        <f t="array" ref="BL22">COUNTIFS('Inputs summary'!L$2:L$106,BI22)</f>
        <v>1</v>
      </c>
      <c r="BM22" s="719" cm="1">
        <f t="array" ref="BM22">BN22-BO22</f>
        <v>0</v>
      </c>
      <c r="BN22" s="719" cm="1">
        <f t="array" ref="BN22">SUMIF('Inputs summary'!$B$1:$B$106,$BI22,'Inputs summary'!$C$1:$C$106)+SUMIF('Inputs summary'!$E$1:$E$106,$BI22,'Inputs summary'!$D$1:$D$106)</f>
        <v>3</v>
      </c>
      <c r="BO22" s="719" cm="1">
        <f t="array" ref="BO22">SUMIF('Inputs summary'!$B$1:$B$106,$BI22,'Inputs summary'!$D$1:$D$106)+SUMIF('Inputs summary'!$E$1:$E$106,$BI22,'Inputs summary'!$C$1:$C$106)</f>
        <v>3</v>
      </c>
      <c r="BP22" s="734" cm="1">
        <f t="array" ref="BP22">BJ22*3+BK22*2+BM22/100+BN22/1000+Y22/100000+AA22/10000000</f>
        <v>5.0030333999999996</v>
      </c>
      <c r="BQ22" s="589"/>
      <c r="BR22" s="589"/>
      <c r="BS22" s="589"/>
    </row>
    <row r="23" spans="1:71" ht="14.25" customHeight="1">
      <c r="A23" s="589"/>
      <c r="B23" s="589"/>
      <c r="C23" s="589"/>
      <c r="D23" s="589"/>
      <c r="E23" s="589"/>
      <c r="F23" s="589"/>
      <c r="G23" s="591">
        <v>20</v>
      </c>
      <c r="H23" s="589" t="str" cm="1">
        <f t="array" ref="H23">'Groups Stage'!O42</f>
        <v>Ecuador</v>
      </c>
      <c r="I23" s="719" cm="1">
        <f t="array" ref="I23">IF(COUNTIF(AC1:AC51,$H23)&gt;0,I$2,0)</f>
        <v>0</v>
      </c>
      <c r="J23" s="719" cm="1">
        <f t="array" ref="J23">IF(COUNTIF(AD1:AD51,$H23)&gt;0,J$2,0)</f>
        <v>0</v>
      </c>
      <c r="K23" s="719" cm="1">
        <f t="array" ref="K23">IF(COUNTIF(AE1:AE51,$H23)&gt;0,K$2,0)</f>
        <v>0</v>
      </c>
      <c r="L23" s="719" cm="1">
        <f t="array" ref="L23">IF(COUNTIF(AF1:AF51,$H23)&gt;0,L$2,0)</f>
        <v>0</v>
      </c>
      <c r="M23" s="719" cm="1">
        <f t="array" ref="M23">IF(COUNTIF(AG1:AG51,$H23)&gt;0,M$2,0)</f>
        <v>0</v>
      </c>
      <c r="N23" s="719" cm="1">
        <f t="array" ref="N23">IF(COUNTIF(AH1:AH51,$H23)&gt;0,N$2,0)</f>
        <v>1</v>
      </c>
      <c r="O23" s="719" cm="1">
        <f t="array" ref="O23">IF(COUNTIF(AI1:AI51,$H23)&gt;0,O$2,0)</f>
        <v>1</v>
      </c>
      <c r="P23" s="719" cm="1">
        <f t="array" ref="P23">SUM(I23:O23)</f>
        <v>2</v>
      </c>
      <c r="Q23" s="719" cm="1">
        <f t="array" ref="Q23">COUNTIFS('Inputs summary'!I1:I234,$H23)</f>
        <v>2</v>
      </c>
      <c r="R23" s="719" cm="1">
        <f t="array" ref="R23">COUNTIFS('Inputs summary'!J1:K234,$H23)</f>
        <v>1</v>
      </c>
      <c r="S23" s="719" cm="1">
        <f t="array" ref="S23">COUNTIFS('Inputs summary'!L1:L234,$H23)</f>
        <v>2</v>
      </c>
      <c r="T23" s="719" cm="1">
        <f t="array" ref="T23">U23-V23</f>
        <v>0</v>
      </c>
      <c r="U23" s="719" cm="1">
        <f t="array" ref="U23">SUMIF('Inputs summary'!B1:B234,H23,'Inputs summary'!C1:C234)+SUMIF('Inputs summary'!E1:E234,H23,'Inputs summary'!D1:D234)</f>
        <v>6</v>
      </c>
      <c r="V23" s="719" cm="1">
        <f t="array" ref="V23">SUMIF('Inputs summary'!B1:B234,H23,'Inputs summary'!D1:D234)+SUMIF('Inputs summary'!E1:E234,H23,'Inputs summary'!C1:C234)</f>
        <v>6</v>
      </c>
      <c r="W23" s="730" cm="1">
        <f t="array" ref="W23">P23*100+Q23*3+R23+T23/100+U23/10000+(1/AA23)/100000000</f>
        <v>207.00060000043479</v>
      </c>
      <c r="X23" s="731" cm="1">
        <f t="array" ref="X23">SUMPRODUCT(I23:O23,$I$1:$O$1)</f>
        <v>11</v>
      </c>
      <c r="Y23" s="732" cm="1">
        <f t="array" ref="Y23">_xlfn.XLOOKUP(H23,AQ1:AQ51,AR1:AR51,"-",0)</f>
        <v>2</v>
      </c>
      <c r="Z23" s="731" cm="1">
        <f t="array" ref="Z23">W23+(1/Y23)*0.000001</f>
        <v>207.00060050043479</v>
      </c>
      <c r="AA23" s="731" cm="1">
        <f t="array" ref="AA23">_xlfn.XLOOKUP(H23,'Ranking FIFA'!B1:B102,'Ranking FIFA'!A1:A102,"--",0)</f>
        <v>23</v>
      </c>
      <c r="AB23" s="589"/>
      <c r="AC23" s="589"/>
      <c r="AD23" s="589"/>
      <c r="AE23" s="589"/>
      <c r="AF23" s="589"/>
      <c r="AG23" s="589"/>
      <c r="AH23" s="589"/>
      <c r="AI23" s="589" t="str" cm="1">
        <f t="array" ref="AI23">'Round of 32 &amp; Round of 16'!K9</f>
        <v>Repubilca Checa</v>
      </c>
      <c r="AJ23" s="589"/>
      <c r="AK23" s="589"/>
      <c r="AL23" s="589"/>
      <c r="AM23" s="589"/>
      <c r="AN23" s="589"/>
      <c r="AO23" s="589"/>
      <c r="AP23" s="592" cm="1">
        <f t="array" ref="AP23">_xlfn.XLOOKUP(AQ23,'Ranking FIFA'!B1:B102,'Ranking FIFA'!A1:A102,"--",0)</f>
        <v>23</v>
      </c>
      <c r="AQ23" s="750" t="s">
        <v>67</v>
      </c>
      <c r="AR23" s="592">
        <v>2</v>
      </c>
      <c r="AS23" s="590"/>
      <c r="AT23" s="733" cm="1">
        <f t="array" ref="AT23">SUMIF($H$4:$H$51,AQ23,$X$4:$X$51)</f>
        <v>11</v>
      </c>
      <c r="AU23" s="734" cm="1">
        <f t="array" ref="AU23">SUMIF($H$4:$H$51,AQ23,$W$4:$W$51)</f>
        <v>207.00060000043479</v>
      </c>
      <c r="AV23" s="589"/>
      <c r="AW23" s="589"/>
      <c r="AX23" s="589"/>
      <c r="AY23" s="589"/>
      <c r="AZ23" s="589"/>
      <c r="BA23" s="589"/>
      <c r="BB23" s="589"/>
      <c r="BC23" s="589"/>
      <c r="BD23" s="589"/>
      <c r="BE23" s="589"/>
      <c r="BF23" s="589"/>
      <c r="BG23" s="589"/>
      <c r="BH23" s="591">
        <v>20</v>
      </c>
      <c r="BI23" s="589" t="str" cm="1">
        <f t="array" ref="BI23">H23</f>
        <v>Ecuador</v>
      </c>
      <c r="BJ23" s="719" cm="1">
        <f t="array" ref="BJ23">COUNTIFS('Inputs summary'!I$2:I$106,BI23)</f>
        <v>1</v>
      </c>
      <c r="BK23" s="719" cm="1">
        <f t="array" ref="BK23">COUNTIFS('Inputs summary'!J$2:K$106,BI23)</f>
        <v>1</v>
      </c>
      <c r="BL23" s="719" cm="1">
        <f t="array" ref="BL23">COUNTIFS('Inputs summary'!L$2:L$106,BI23)</f>
        <v>1</v>
      </c>
      <c r="BM23" s="719" cm="1">
        <f t="array" ref="BM23">BN23-BO23</f>
        <v>1</v>
      </c>
      <c r="BN23" s="719" cm="1">
        <f t="array" ref="BN23">SUMIF('Inputs summary'!$B$1:$B$106,$BI23,'Inputs summary'!$C$1:$C$106)+SUMIF('Inputs summary'!$E$1:$E$106,$BI23,'Inputs summary'!$D$1:$D$106)</f>
        <v>4</v>
      </c>
      <c r="BO23" s="719" cm="1">
        <f t="array" ref="BO23">SUMIF('Inputs summary'!$B$1:$B$106,$BI23,'Inputs summary'!$D$1:$D$106)+SUMIF('Inputs summary'!$E$1:$E$106,$BI23,'Inputs summary'!$C$1:$C$106)</f>
        <v>3</v>
      </c>
      <c r="BP23" s="734" cm="1">
        <f t="array" ref="BP23">BJ23*3+BK23*2+BM23/100+BN23/1000+Y23/100000+AA23/10000000</f>
        <v>5.0140222999999997</v>
      </c>
      <c r="BQ23" s="589"/>
      <c r="BR23" s="589"/>
      <c r="BS23" s="589"/>
    </row>
    <row r="24" spans="1:71" ht="14.25" customHeight="1">
      <c r="A24" s="589"/>
      <c r="B24" s="589"/>
      <c r="C24" s="589"/>
      <c r="D24" s="589"/>
      <c r="E24" s="589"/>
      <c r="F24" s="589"/>
      <c r="G24" s="591">
        <v>21</v>
      </c>
      <c r="H24" s="589" t="str" cm="1">
        <f t="array" ref="H24">'Groups Stage'!O48</f>
        <v>Paises Bajos</v>
      </c>
      <c r="I24" s="719" cm="1">
        <f t="array" ref="I24">IF(COUNTIF(AC1:AC51,$H24)&gt;0,I$2,0)</f>
        <v>0</v>
      </c>
      <c r="J24" s="719" cm="1">
        <f t="array" ref="J24">IF(COUNTIF(AD1:AD51,$H24)&gt;0,J$2,0)</f>
        <v>0</v>
      </c>
      <c r="K24" s="719" cm="1">
        <f t="array" ref="K24">IF(COUNTIF(AE1:AE51,$H24)&gt;0,K$2,0)</f>
        <v>0</v>
      </c>
      <c r="L24" s="719" cm="1">
        <f t="array" ref="L24">IF(COUNTIF(AF1:AF51,$H24)&gt;0,L$2,0)</f>
        <v>0</v>
      </c>
      <c r="M24" s="719" cm="1">
        <f t="array" ref="M24">IF(COUNTIF(AG1:AG51,$H24)&gt;0,M$2,0)</f>
        <v>0</v>
      </c>
      <c r="N24" s="719" cm="1">
        <f t="array" ref="N24">IF(COUNTIF(AH1:AH51,$H24)&gt;0,N$2,0)</f>
        <v>0</v>
      </c>
      <c r="O24" s="719" cm="1">
        <f t="array" ref="O24">IF(COUNTIF(AI1:AI51,$H24)&gt;0,O$2,0)</f>
        <v>1</v>
      </c>
      <c r="P24" s="719" cm="1">
        <f t="array" ref="P24">SUM(I24:O24)</f>
        <v>1</v>
      </c>
      <c r="Q24" s="719" cm="1">
        <f t="array" ref="Q24">COUNTIFS('Inputs summary'!I1:I234,$H24)</f>
        <v>3</v>
      </c>
      <c r="R24" s="719" cm="1">
        <f t="array" ref="R24">COUNTIFS('Inputs summary'!J1:K234,$H24)</f>
        <v>0</v>
      </c>
      <c r="S24" s="719" cm="1">
        <f t="array" ref="S24">COUNTIFS('Inputs summary'!L1:L234,$H24)</f>
        <v>1</v>
      </c>
      <c r="T24" s="719" cm="1">
        <f t="array" ref="T24">U24-V24</f>
        <v>4</v>
      </c>
      <c r="U24" s="719" cm="1">
        <f t="array" ref="U24">SUMIF('Inputs summary'!B1:B234,H24,'Inputs summary'!C1:C234)+SUMIF('Inputs summary'!E1:E234,H24,'Inputs summary'!D1:D234)</f>
        <v>7</v>
      </c>
      <c r="V24" s="719" cm="1">
        <f t="array" ref="V24">SUMIF('Inputs summary'!B1:B234,H24,'Inputs summary'!D1:D234)+SUMIF('Inputs summary'!E1:E234,H24,'Inputs summary'!C1:C234)</f>
        <v>3</v>
      </c>
      <c r="W24" s="730" cm="1">
        <f t="array" ref="W24">P24*100+Q24*3+R24+T24/100+U24/10000+(1/AA24)/100000000</f>
        <v>109.04070000142858</v>
      </c>
      <c r="X24" s="731" cm="1">
        <f t="array" ref="X24">SUMPRODUCT(I24:O24,$I$1:$O$1)</f>
        <v>1</v>
      </c>
      <c r="Y24" s="732" cm="1">
        <f t="array" ref="Y24">_xlfn.XLOOKUP(H24,AQ1:AQ51,AR1:AR51,"-",0)</f>
        <v>1</v>
      </c>
      <c r="Z24" s="731" cm="1">
        <f t="array" ref="Z24">W24+(1/Y24)*0.000001</f>
        <v>109.04070100142857</v>
      </c>
      <c r="AA24" s="731" cm="1">
        <f t="array" ref="AA24">_xlfn.XLOOKUP(H24,'Ranking FIFA'!B1:B102,'Ranking FIFA'!A1:A102,"--",0)</f>
        <v>7</v>
      </c>
      <c r="AB24" s="589"/>
      <c r="AC24" s="589"/>
      <c r="AD24" s="589"/>
      <c r="AE24" s="589"/>
      <c r="AF24" s="589"/>
      <c r="AG24" s="589"/>
      <c r="AH24" s="589"/>
      <c r="AI24" s="589" t="str" cm="1">
        <f t="array" ref="AI24">'Round of 32 &amp; Round of 16'!H13</f>
        <v>Colombia</v>
      </c>
      <c r="AJ24" s="589"/>
      <c r="AK24" s="589"/>
      <c r="AL24" s="589"/>
      <c r="AM24" s="589"/>
      <c r="AN24" s="589"/>
      <c r="AO24" s="589"/>
      <c r="AP24" s="592" cm="1">
        <f t="array" ref="AP24">_xlfn.XLOOKUP(AQ24,'Ranking FIFA'!B1:B102,'Ranking FIFA'!A1:A102,"--",0)</f>
        <v>25</v>
      </c>
      <c r="AQ24" s="691" t="s">
        <v>68</v>
      </c>
      <c r="AR24" s="592">
        <v>2</v>
      </c>
      <c r="AS24" s="590"/>
      <c r="AT24" s="733" cm="1">
        <f t="array" ref="AT24">SUMIF($H$4:$H$51,AQ24,$X$4:$X$51)</f>
        <v>11</v>
      </c>
      <c r="AU24" s="734" cm="1">
        <f t="array" ref="AU24">SUMIF($H$4:$H$51,AQ24,$W$4:$W$51)</f>
        <v>207.0005000004</v>
      </c>
      <c r="AV24" s="589"/>
      <c r="AW24" s="589"/>
      <c r="AX24" s="589"/>
      <c r="AY24" s="589"/>
      <c r="AZ24" s="589"/>
      <c r="BA24" s="589"/>
      <c r="BB24" s="589"/>
      <c r="BC24" s="589"/>
      <c r="BD24" s="589"/>
      <c r="BE24" s="589"/>
      <c r="BF24" s="589"/>
      <c r="BG24" s="589"/>
      <c r="BH24" s="591">
        <v>21</v>
      </c>
      <c r="BI24" s="589" t="str" cm="1">
        <f t="array" ref="BI24">H24</f>
        <v>Paises Bajos</v>
      </c>
      <c r="BJ24" s="719" cm="1">
        <f t="array" ref="BJ24">COUNTIFS('Inputs summary'!I$2:I$106,BI24)</f>
        <v>3</v>
      </c>
      <c r="BK24" s="719" cm="1">
        <f t="array" ref="BK24">COUNTIFS('Inputs summary'!J$2:K$106,BI24)</f>
        <v>0</v>
      </c>
      <c r="BL24" s="719" cm="1">
        <f t="array" ref="BL24">COUNTIFS('Inputs summary'!L$2:L$106,BI24)</f>
        <v>0</v>
      </c>
      <c r="BM24" s="719" cm="1">
        <f t="array" ref="BM24">BN24-BO24</f>
        <v>5</v>
      </c>
      <c r="BN24" s="719" cm="1">
        <f t="array" ref="BN24">SUMIF('Inputs summary'!$B$1:$B$106,$BI24,'Inputs summary'!$C$1:$C$106)+SUMIF('Inputs summary'!$E$1:$E$106,$BI24,'Inputs summary'!$D$1:$D$106)</f>
        <v>6</v>
      </c>
      <c r="BO24" s="719" cm="1">
        <f t="array" ref="BO24">SUMIF('Inputs summary'!$B$1:$B$106,$BI24,'Inputs summary'!$D$1:$D$106)+SUMIF('Inputs summary'!$E$1:$E$106,$BI24,'Inputs summary'!$C$1:$C$106)</f>
        <v>1</v>
      </c>
      <c r="BP24" s="734" cm="1">
        <f t="array" ref="BP24">BJ24*3+BK24*2+BM24/100+BN24/1000+Y24/100000+AA24/10000000</f>
        <v>9.0560106999999999</v>
      </c>
      <c r="BQ24" s="589"/>
      <c r="BR24" s="589"/>
      <c r="BS24" s="589"/>
    </row>
    <row r="25" spans="1:71" ht="14.25" customHeight="1">
      <c r="A25" s="589"/>
      <c r="B25" s="589"/>
      <c r="C25" s="589"/>
      <c r="D25" s="589"/>
      <c r="E25" s="589"/>
      <c r="F25" s="589"/>
      <c r="G25" s="591">
        <v>22</v>
      </c>
      <c r="H25" s="589" t="str" cm="1">
        <f t="array" ref="H25">'Groups Stage'!O49</f>
        <v>Japon</v>
      </c>
      <c r="I25" s="719" cm="1">
        <f t="array" ref="I25">IF(COUNTIF(AC1:AC51,$H25)&gt;0,I$2,0)</f>
        <v>0</v>
      </c>
      <c r="J25" s="719" cm="1">
        <f t="array" ref="J25">IF(COUNTIF(AD1:AD51,$H25)&gt;0,J$2,0)</f>
        <v>0</v>
      </c>
      <c r="K25" s="719" cm="1">
        <f t="array" ref="K25">IF(COUNTIF(AE1:AE51,$H25)&gt;0,K$2,0)</f>
        <v>0</v>
      </c>
      <c r="L25" s="719" cm="1">
        <f t="array" ref="L25">IF(COUNTIF(AF1:AF51,$H25)&gt;0,L$2,0)</f>
        <v>0</v>
      </c>
      <c r="M25" s="719" cm="1">
        <f t="array" ref="M25">IF(COUNTIF(AG1:AG51,$H25)&gt;0,M$2,0)</f>
        <v>0</v>
      </c>
      <c r="N25" s="719" cm="1">
        <f t="array" ref="N25">IF(COUNTIF(AH1:AH51,$H25)&gt;0,N$2,0)</f>
        <v>0</v>
      </c>
      <c r="O25" s="719" cm="1">
        <f t="array" ref="O25">IF(COUNTIF(AI1:AI51,$H25)&gt;0,O$2,0)</f>
        <v>1</v>
      </c>
      <c r="P25" s="719" cm="1">
        <f t="array" ref="P25">SUM(I25:O25)</f>
        <v>1</v>
      </c>
      <c r="Q25" s="719" cm="1">
        <f t="array" ref="Q25">COUNTIFS('Inputs summary'!I1:I234,$H25)</f>
        <v>1</v>
      </c>
      <c r="R25" s="719" cm="1">
        <f t="array" ref="R25">COUNTIFS('Inputs summary'!J1:K234,$H25)</f>
        <v>1</v>
      </c>
      <c r="S25" s="719" cm="1">
        <f t="array" ref="S25">COUNTIFS('Inputs summary'!L1:L234,$H25)</f>
        <v>2</v>
      </c>
      <c r="T25" s="719" cm="1">
        <f t="array" ref="T25">U25-V25</f>
        <v>-1</v>
      </c>
      <c r="U25" s="719" cm="1">
        <f t="array" ref="U25">SUMIF('Inputs summary'!B1:B234,H25,'Inputs summary'!C1:C234)+SUMIF('Inputs summary'!E1:E234,H25,'Inputs summary'!D1:D234)</f>
        <v>4</v>
      </c>
      <c r="V25" s="719" cm="1">
        <f t="array" ref="V25">SUMIF('Inputs summary'!B1:B234,H25,'Inputs summary'!D1:D234)+SUMIF('Inputs summary'!E1:E234,H25,'Inputs summary'!C1:C234)</f>
        <v>5</v>
      </c>
      <c r="W25" s="730" cm="1">
        <f t="array" ref="W25">P25*100+Q25*3+R25+T25/100+U25/10000+(1/AA25)/100000000</f>
        <v>103.99040000055555</v>
      </c>
      <c r="X25" s="731" cm="1">
        <f t="array" ref="X25">SUMPRODUCT(I25:O25,$I$1:$O$1)</f>
        <v>1</v>
      </c>
      <c r="Y25" s="732" cm="1">
        <f t="array" ref="Y25">_xlfn.XLOOKUP(H25,AQ1:AQ51,AR1:AR51,"-",0)</f>
        <v>2</v>
      </c>
      <c r="Z25" s="731" cm="1">
        <f t="array" ref="Z25">W25+(1/Y25)*0.000001</f>
        <v>103.99040050055555</v>
      </c>
      <c r="AA25" s="731" cm="1">
        <f t="array" ref="AA25">_xlfn.XLOOKUP(H25,'Ranking FIFA'!B1:B102,'Ranking FIFA'!A1:A102,"--",0)</f>
        <v>18</v>
      </c>
      <c r="AB25" s="589"/>
      <c r="AC25" s="589"/>
      <c r="AD25" s="589"/>
      <c r="AE25" s="589"/>
      <c r="AF25" s="589"/>
      <c r="AG25" s="589"/>
      <c r="AH25" s="589"/>
      <c r="AI25" s="589" t="str" cm="1">
        <f t="array" ref="AI25">'Round of 32 &amp; Round of 16'!K13</f>
        <v>Croacia</v>
      </c>
      <c r="AJ25" s="589"/>
      <c r="AK25" s="589"/>
      <c r="AL25" s="589"/>
      <c r="AM25" s="589"/>
      <c r="AN25" s="589"/>
      <c r="AO25" s="589"/>
      <c r="AP25" s="592" cm="1">
        <f t="array" ref="AP25">_xlfn.XLOOKUP(AQ25,'Ranking FIFA'!B1:B102,'Ranking FIFA'!A1:A102,"--",0)</f>
        <v>31</v>
      </c>
      <c r="AQ25" s="745" t="s">
        <v>69</v>
      </c>
      <c r="AR25" s="592">
        <v>2</v>
      </c>
      <c r="AS25" s="590"/>
      <c r="AT25" s="733" cm="1">
        <f t="array" ref="AT25">SUMIF($H$4:$H$51,AQ25,$X$4:$X$51)</f>
        <v>1</v>
      </c>
      <c r="AU25" s="734" cm="1">
        <f t="array" ref="AU25">SUMIF($H$4:$H$51,AQ25,$W$4:$W$51)</f>
        <v>104.00060000032259</v>
      </c>
      <c r="AV25" s="589"/>
      <c r="AW25" s="589"/>
      <c r="AX25" s="589"/>
      <c r="AY25" s="589"/>
      <c r="AZ25" s="589"/>
      <c r="BA25" s="589"/>
      <c r="BB25" s="589"/>
      <c r="BC25" s="589"/>
      <c r="BD25" s="589"/>
      <c r="BE25" s="589"/>
      <c r="BF25" s="589"/>
      <c r="BG25" s="589"/>
      <c r="BH25" s="591">
        <v>22</v>
      </c>
      <c r="BI25" s="589" t="str" cm="1">
        <f t="array" ref="BI25">H25</f>
        <v>Japon</v>
      </c>
      <c r="BJ25" s="719" cm="1">
        <f t="array" ref="BJ25">COUNTIFS('Inputs summary'!I$2:I$106,BI25)</f>
        <v>1</v>
      </c>
      <c r="BK25" s="719" cm="1">
        <f t="array" ref="BK25">COUNTIFS('Inputs summary'!J$2:K$106,BI25)</f>
        <v>1</v>
      </c>
      <c r="BL25" s="719" cm="1">
        <f t="array" ref="BL25">COUNTIFS('Inputs summary'!L$2:L$106,BI25)</f>
        <v>1</v>
      </c>
      <c r="BM25" s="719" cm="1">
        <f t="array" ref="BM25">BN25-BO25</f>
        <v>1</v>
      </c>
      <c r="BN25" s="719" cm="1">
        <f t="array" ref="BN25">SUMIF('Inputs summary'!$B$1:$B$106,$BI25,'Inputs summary'!$C$1:$C$106)+SUMIF('Inputs summary'!$E$1:$E$106,$BI25,'Inputs summary'!$D$1:$D$106)</f>
        <v>4</v>
      </c>
      <c r="BO25" s="719" cm="1">
        <f t="array" ref="BO25">SUMIF('Inputs summary'!$B$1:$B$106,$BI25,'Inputs summary'!$D$1:$D$106)+SUMIF('Inputs summary'!$E$1:$E$106,$BI25,'Inputs summary'!$C$1:$C$106)</f>
        <v>3</v>
      </c>
      <c r="BP25" s="734" cm="1">
        <f t="array" ref="BP25">BJ25*3+BK25*2+BM25/100+BN25/1000+Y25/100000+AA25/10000000</f>
        <v>5.0140217999999992</v>
      </c>
      <c r="BQ25" s="589"/>
      <c r="BR25" s="589"/>
      <c r="BS25" s="589"/>
    </row>
    <row r="26" spans="1:71" ht="14.25" customHeight="1">
      <c r="A26" s="589"/>
      <c r="B26" s="589"/>
      <c r="C26" s="589"/>
      <c r="D26" s="589"/>
      <c r="E26" s="589"/>
      <c r="F26" s="589"/>
      <c r="G26" s="591">
        <v>23</v>
      </c>
      <c r="H26" s="589" t="str" cm="1">
        <f t="array" ref="H26">'Groups Stage'!O50</f>
        <v>Suecia</v>
      </c>
      <c r="I26" s="719" cm="1">
        <f t="array" ref="I26">IF(COUNTIF(AC1:AC51,$H26)&gt;0,I$2,0)</f>
        <v>0</v>
      </c>
      <c r="J26" s="719" cm="1">
        <f t="array" ref="J26">IF(COUNTIF(AD1:AD51,$H26)&gt;0,J$2,0)</f>
        <v>0</v>
      </c>
      <c r="K26" s="719" cm="1">
        <f t="array" ref="K26">IF(COUNTIF(AE1:AE51,$H26)&gt;0,K$2,0)</f>
        <v>0</v>
      </c>
      <c r="L26" s="719" cm="1">
        <f t="array" ref="L26">IF(COUNTIF(AF1:AF51,$H26)&gt;0,L$2,0)</f>
        <v>0</v>
      </c>
      <c r="M26" s="719" cm="1">
        <f t="array" ref="M26">IF(COUNTIF(AG1:AG51,$H26)&gt;0,M$2,0)</f>
        <v>0</v>
      </c>
      <c r="N26" s="719" cm="1">
        <f t="array" ref="N26">IF(COUNTIF(AH1:AH51,$H26)&gt;0,N$2,0)</f>
        <v>0</v>
      </c>
      <c r="O26" s="719" cm="1">
        <f t="array" ref="O26">IF(COUNTIF(AI1:AI51,$H26)&gt;0,O$2,0)</f>
        <v>1</v>
      </c>
      <c r="P26" s="719" cm="1">
        <f t="array" ref="P26">SUM(I26:O26)</f>
        <v>1</v>
      </c>
      <c r="Q26" s="719" cm="1">
        <f t="array" ref="Q26">COUNTIFS('Inputs summary'!I1:I234,$H26)</f>
        <v>1</v>
      </c>
      <c r="R26" s="719" cm="1">
        <f t="array" ref="R26">COUNTIFS('Inputs summary'!J1:K234,$H26)</f>
        <v>1</v>
      </c>
      <c r="S26" s="719" cm="1">
        <f t="array" ref="S26">COUNTIFS('Inputs summary'!L1:L234,$H26)</f>
        <v>2</v>
      </c>
      <c r="T26" s="719" cm="1">
        <f t="array" ref="T26">U26-V26</f>
        <v>-2</v>
      </c>
      <c r="U26" s="719" cm="1">
        <f t="array" ref="U26">SUMIF('Inputs summary'!B1:B234,H26,'Inputs summary'!C1:C234)+SUMIF('Inputs summary'!E1:E234,H26,'Inputs summary'!D1:D234)</f>
        <v>4</v>
      </c>
      <c r="V26" s="719" cm="1">
        <f t="array" ref="V26">SUMIF('Inputs summary'!B1:B234,H26,'Inputs summary'!D1:D234)+SUMIF('Inputs summary'!E1:E234,H26,'Inputs summary'!C1:C234)</f>
        <v>6</v>
      </c>
      <c r="W26" s="730" cm="1">
        <f t="array" ref="W26">P26*100+Q26*3+R26+T26/100+U26/10000+(1/AA26)/100000000</f>
        <v>103.98040000026316</v>
      </c>
      <c r="X26" s="731" cm="1">
        <f t="array" ref="X26">SUMPRODUCT(I26:O26,$I$1:$O$1)</f>
        <v>1</v>
      </c>
      <c r="Y26" s="732" cm="1">
        <f t="array" ref="Y26">_xlfn.XLOOKUP(H26,AQ1:AQ51,AR1:AR51,"-",0)</f>
        <v>2</v>
      </c>
      <c r="Z26" s="731" cm="1">
        <f t="array" ref="Z26">W26+(1/Y26)*0.000001</f>
        <v>103.98040050026316</v>
      </c>
      <c r="AA26" s="731" cm="1">
        <f t="array" ref="AA26">_xlfn.XLOOKUP(H26,'Ranking FIFA'!B1:B102,'Ranking FIFA'!A1:A102,"--",0)</f>
        <v>38</v>
      </c>
      <c r="AB26" s="589"/>
      <c r="AC26" s="589"/>
      <c r="AD26" s="589"/>
      <c r="AE26" s="589"/>
      <c r="AF26" s="589"/>
      <c r="AG26" s="589"/>
      <c r="AH26" s="589"/>
      <c r="AI26" s="589" t="str" cm="1">
        <f t="array" ref="AI26">'Round of 32 &amp; Round of 16'!H17</f>
        <v>España</v>
      </c>
      <c r="AJ26" s="589"/>
      <c r="AK26" s="589"/>
      <c r="AL26" s="589"/>
      <c r="AM26" s="589"/>
      <c r="AN26" s="589"/>
      <c r="AO26" s="589"/>
      <c r="AP26" s="746" cm="1">
        <f t="array" ref="AP26">_xlfn.XLOOKUP(AQ26,'Ranking FIFA'!B1:B102,'Ranking FIFA'!A1:A102,"--",0)</f>
        <v>38</v>
      </c>
      <c r="AQ26" s="747" t="s">
        <v>70</v>
      </c>
      <c r="AR26" s="748">
        <v>2</v>
      </c>
      <c r="AS26" s="590"/>
      <c r="AT26" s="733" cm="1">
        <f t="array" ref="AT26">SUMIF($H$4:$H$51,AQ26,$X$4:$X$51)</f>
        <v>1</v>
      </c>
      <c r="AU26" s="734" cm="1">
        <f t="array" ref="AU26">SUMIF($H$4:$H$51,AQ26,$W$4:$W$51)</f>
        <v>103.98040000026316</v>
      </c>
      <c r="AV26" s="589"/>
      <c r="AW26" s="589"/>
      <c r="AX26" s="589"/>
      <c r="AY26" s="589"/>
      <c r="AZ26" s="589"/>
      <c r="BA26" s="589"/>
      <c r="BB26" s="589"/>
      <c r="BC26" s="589"/>
      <c r="BD26" s="589"/>
      <c r="BE26" s="589"/>
      <c r="BF26" s="589"/>
      <c r="BG26" s="589"/>
      <c r="BH26" s="591">
        <v>23</v>
      </c>
      <c r="BI26" s="589" t="str" cm="1">
        <f t="array" ref="BI26">H26</f>
        <v>Suecia</v>
      </c>
      <c r="BJ26" s="719" cm="1">
        <f t="array" ref="BJ26">COUNTIFS('Inputs summary'!I$2:I$106,BI26)</f>
        <v>1</v>
      </c>
      <c r="BK26" s="719" cm="1">
        <f t="array" ref="BK26">COUNTIFS('Inputs summary'!J$2:K$106,BI26)</f>
        <v>1</v>
      </c>
      <c r="BL26" s="719" cm="1">
        <f t="array" ref="BL26">COUNTIFS('Inputs summary'!L$2:L$106,BI26)</f>
        <v>1</v>
      </c>
      <c r="BM26" s="719" cm="1">
        <f t="array" ref="BM26">BN26-BO26</f>
        <v>0</v>
      </c>
      <c r="BN26" s="719" cm="1">
        <f t="array" ref="BN26">SUMIF('Inputs summary'!$B$1:$B$106,$BI26,'Inputs summary'!$C$1:$C$106)+SUMIF('Inputs summary'!$E$1:$E$106,$BI26,'Inputs summary'!$D$1:$D$106)</f>
        <v>3</v>
      </c>
      <c r="BO26" s="719" cm="1">
        <f t="array" ref="BO26">SUMIF('Inputs summary'!$B$1:$B$106,$BI26,'Inputs summary'!$D$1:$D$106)+SUMIF('Inputs summary'!$E$1:$E$106,$BI26,'Inputs summary'!$C$1:$C$106)</f>
        <v>3</v>
      </c>
      <c r="BP26" s="734" cm="1">
        <f t="array" ref="BP26">BJ26*3+BK26*2+BM26/100+BN26/1000+Y26/100000+AA26/10000000</f>
        <v>5.0030238000000002</v>
      </c>
      <c r="BQ26" s="589"/>
      <c r="BR26" s="589"/>
      <c r="BS26" s="589"/>
    </row>
    <row r="27" spans="1:71" ht="14.25" customHeight="1">
      <c r="A27" s="589"/>
      <c r="B27" s="589"/>
      <c r="C27" s="589"/>
      <c r="D27" s="589"/>
      <c r="E27" s="589"/>
      <c r="F27" s="589"/>
      <c r="G27" s="591">
        <v>24</v>
      </c>
      <c r="H27" s="589" t="str" cm="1">
        <f t="array" ref="H27">'Groups Stage'!O51</f>
        <v>Tunez</v>
      </c>
      <c r="I27" s="719" cm="1">
        <f t="array" ref="I27">IF(COUNTIF(AC1:AC51,$H27)&gt;0,I$2,0)</f>
        <v>0</v>
      </c>
      <c r="J27" s="719" cm="1">
        <f t="array" ref="J27">IF(COUNTIF(AD1:AD51,$H27)&gt;0,J$2,0)</f>
        <v>0</v>
      </c>
      <c r="K27" s="719" cm="1">
        <f t="array" ref="K27">IF(COUNTIF(AE1:AE51,$H27)&gt;0,K$2,0)</f>
        <v>0</v>
      </c>
      <c r="L27" s="719" cm="1">
        <f t="array" ref="L27">IF(COUNTIF(AF1:AF51,$H27)&gt;0,L$2,0)</f>
        <v>0</v>
      </c>
      <c r="M27" s="719" cm="1">
        <f t="array" ref="M27">IF(COUNTIF(AG1:AG51,$H27)&gt;0,M$2,0)</f>
        <v>0</v>
      </c>
      <c r="N27" s="719" cm="1">
        <f t="array" ref="N27">IF(COUNTIF(AH1:AH51,$H27)&gt;0,N$2,0)</f>
        <v>0</v>
      </c>
      <c r="O27" s="719" cm="1">
        <f t="array" ref="O27">IF(COUNTIF(AI1:AI51,$H27)&gt;0,O$2,0)</f>
        <v>0</v>
      </c>
      <c r="P27" s="719" cm="1">
        <f t="array" ref="P27">SUM(I27:O27)</f>
        <v>0</v>
      </c>
      <c r="Q27" s="719" cm="1">
        <f t="array" ref="Q27">COUNTIFS('Inputs summary'!I1:I234,$H27)</f>
        <v>0</v>
      </c>
      <c r="R27" s="719" cm="1">
        <f t="array" ref="R27">COUNTIFS('Inputs summary'!J1:K234,$H27)</f>
        <v>0</v>
      </c>
      <c r="S27" s="719" cm="1">
        <f t="array" ref="S27">COUNTIFS('Inputs summary'!L1:L234,$H27)</f>
        <v>3</v>
      </c>
      <c r="T27" s="719" cm="1">
        <f t="array" ref="T27">U27-V27</f>
        <v>-6</v>
      </c>
      <c r="U27" s="719" cm="1">
        <f t="array" ref="U27">SUMIF('Inputs summary'!B1:B234,H27,'Inputs summary'!C1:C234)+SUMIF('Inputs summary'!E1:E234,H27,'Inputs summary'!D1:D234)</f>
        <v>0</v>
      </c>
      <c r="V27" s="719" cm="1">
        <f t="array" ref="V27">SUMIF('Inputs summary'!B1:B234,H27,'Inputs summary'!D1:D234)+SUMIF('Inputs summary'!E1:E234,H27,'Inputs summary'!C1:C234)</f>
        <v>6</v>
      </c>
      <c r="W27" s="730" cm="1">
        <f t="array" ref="W27">P27*100+Q27*3+R27+T27/100+U27/10000+(1/AA27)/100000000</f>
        <v>-5.9999999772727269E-2</v>
      </c>
      <c r="X27" s="731" cm="1">
        <f t="array" ref="X27">SUMPRODUCT(I27:O27,$I$1:$O$1)</f>
        <v>0</v>
      </c>
      <c r="Y27" s="732" cm="1">
        <f t="array" ref="Y27">_xlfn.XLOOKUP(H27,AQ1:AQ51,AR1:AR51,"-",0)</f>
        <v>3</v>
      </c>
      <c r="Z27" s="731" cm="1">
        <f t="array" ref="Z27">W27+(1/Y27)*0.000001</f>
        <v>-5.9999666439393938E-2</v>
      </c>
      <c r="AA27" s="731" cm="1">
        <f t="array" ref="AA27">_xlfn.XLOOKUP(H27,'Ranking FIFA'!B1:B102,'Ranking FIFA'!A1:A102,"--",0)</f>
        <v>44</v>
      </c>
      <c r="AB27" s="589"/>
      <c r="AC27" s="589"/>
      <c r="AD27" s="589"/>
      <c r="AE27" s="589"/>
      <c r="AF27" s="589"/>
      <c r="AG27" s="589"/>
      <c r="AH27" s="589"/>
      <c r="AI27" s="589" t="str" cm="1">
        <f t="array" ref="AI27">'Round of 32 &amp; Round of 16'!K17</f>
        <v>Austria</v>
      </c>
      <c r="AJ27" s="589"/>
      <c r="AK27" s="589"/>
      <c r="AL27" s="589"/>
      <c r="AM27" s="589"/>
      <c r="AN27" s="589"/>
      <c r="AO27" s="589"/>
      <c r="AP27" s="592" cm="1">
        <f t="array" ref="AP27">_xlfn.XLOOKUP(AQ27,'Ranking FIFA'!B1:B102,'Ranking FIFA'!A1:A102,"--",0)</f>
        <v>40</v>
      </c>
      <c r="AQ27" s="750" t="s">
        <v>71</v>
      </c>
      <c r="AR27" s="592">
        <v>2</v>
      </c>
      <c r="AS27" s="590"/>
      <c r="AT27" s="733" cm="1">
        <f t="array" ref="AT27">SUMIF($H$4:$H$51,AQ27,$X$4:$X$51)</f>
        <v>11</v>
      </c>
      <c r="AU27" s="734" cm="1">
        <f t="array" ref="AU27">SUMIF($H$4:$H$51,AQ27,$W$4:$W$51)</f>
        <v>208.00060000024999</v>
      </c>
      <c r="AV27" s="589"/>
      <c r="AW27" s="589"/>
      <c r="AX27" s="589"/>
      <c r="AY27" s="589"/>
      <c r="AZ27" s="589"/>
      <c r="BA27" s="589"/>
      <c r="BB27" s="589"/>
      <c r="BC27" s="589"/>
      <c r="BD27" s="589"/>
      <c r="BE27" s="589"/>
      <c r="BF27" s="589"/>
      <c r="BG27" s="589"/>
      <c r="BH27" s="591">
        <v>24</v>
      </c>
      <c r="BI27" s="589" t="str" cm="1">
        <f t="array" ref="BI27">H27</f>
        <v>Tunez</v>
      </c>
      <c r="BJ27" s="719" cm="1">
        <f t="array" ref="BJ27">COUNTIFS('Inputs summary'!I$2:I$106,BI27)</f>
        <v>0</v>
      </c>
      <c r="BK27" s="719" cm="1">
        <f t="array" ref="BK27">COUNTIFS('Inputs summary'!J$2:K$106,BI27)</f>
        <v>0</v>
      </c>
      <c r="BL27" s="719" cm="1">
        <f t="array" ref="BL27">COUNTIFS('Inputs summary'!L$2:L$106,BI27)</f>
        <v>3</v>
      </c>
      <c r="BM27" s="719" cm="1">
        <f t="array" ref="BM27">BN27-BO27</f>
        <v>-6</v>
      </c>
      <c r="BN27" s="719" cm="1">
        <f t="array" ref="BN27">SUMIF('Inputs summary'!$B$1:$B$106,$BI27,'Inputs summary'!$C$1:$C$106)+SUMIF('Inputs summary'!$E$1:$E$106,$BI27,'Inputs summary'!$D$1:$D$106)</f>
        <v>0</v>
      </c>
      <c r="BO27" s="719" cm="1">
        <f t="array" ref="BO27">SUMIF('Inputs summary'!$B$1:$B$106,$BI27,'Inputs summary'!$D$1:$D$106)+SUMIF('Inputs summary'!$E$1:$E$106,$BI27,'Inputs summary'!$C$1:$C$106)</f>
        <v>6</v>
      </c>
      <c r="BP27" s="734" cm="1">
        <f t="array" ref="BP27">BJ27*3+BK27*2+BM27/100+BN27/1000+Y27/100000+AA27/10000000</f>
        <v>-5.9965599999999994E-2</v>
      </c>
      <c r="BQ27" s="589"/>
      <c r="BR27" s="589"/>
      <c r="BS27" s="589"/>
    </row>
    <row r="28" spans="1:71" ht="14.25" customHeight="1">
      <c r="A28" s="589"/>
      <c r="B28" s="589"/>
      <c r="C28" s="589"/>
      <c r="D28" s="589"/>
      <c r="E28" s="589"/>
      <c r="F28" s="589"/>
      <c r="G28" s="591">
        <v>25</v>
      </c>
      <c r="H28" s="589" t="str" cm="1">
        <f t="array" ref="H28">'Groups Stage'!O57</f>
        <v>Iran</v>
      </c>
      <c r="I28" s="719" cm="1">
        <f t="array" ref="I28">IF(COUNTIF(AC1:AC51,$H28)&gt;0,I$2,0)</f>
        <v>0</v>
      </c>
      <c r="J28" s="719" cm="1">
        <f t="array" ref="J28">IF(COUNTIF(AD1:AD51,$H28)&gt;0,J$2,0)</f>
        <v>0</v>
      </c>
      <c r="K28" s="719" cm="1">
        <f t="array" ref="K28">IF(COUNTIF(AE1:AE51,$H28)&gt;0,K$2,0)</f>
        <v>0</v>
      </c>
      <c r="L28" s="719" cm="1">
        <f t="array" ref="L28">IF(COUNTIF(AF1:AF51,$H28)&gt;0,L$2,0)</f>
        <v>0</v>
      </c>
      <c r="M28" s="719" cm="1">
        <f t="array" ref="M28">IF(COUNTIF(AG1:AG51,$H28)&gt;0,M$2,0)</f>
        <v>0</v>
      </c>
      <c r="N28" s="719" cm="1">
        <f t="array" ref="N28">IF(COUNTIF(AH1:AH51,$H28)&gt;0,N$2,0)</f>
        <v>0</v>
      </c>
      <c r="O28" s="719" cm="1">
        <f t="array" ref="O28">IF(COUNTIF(AI1:AI51,$H28)&gt;0,O$2,0)</f>
        <v>0</v>
      </c>
      <c r="P28" s="719" cm="1">
        <f t="array" ref="P28">SUM(I28:O28)</f>
        <v>0</v>
      </c>
      <c r="Q28" s="719" cm="1">
        <f t="array" ref="Q28">COUNTIFS('Inputs summary'!I1:I234,$H28)</f>
        <v>0</v>
      </c>
      <c r="R28" s="719" cm="1">
        <f t="array" ref="R28">COUNTIFS('Inputs summary'!J1:K234,$H28)</f>
        <v>1</v>
      </c>
      <c r="S28" s="719" cm="1">
        <f t="array" ref="S28">COUNTIFS('Inputs summary'!L1:L234,$H28)</f>
        <v>2</v>
      </c>
      <c r="T28" s="719" cm="1">
        <f t="array" ref="T28">U28-V28</f>
        <v>-3</v>
      </c>
      <c r="U28" s="719" cm="1">
        <f t="array" ref="U28">SUMIF('Inputs summary'!B1:B234,H28,'Inputs summary'!C1:C234)+SUMIF('Inputs summary'!E1:E234,H28,'Inputs summary'!D1:D234)</f>
        <v>3</v>
      </c>
      <c r="V28" s="719" cm="1">
        <f t="array" ref="V28">SUMIF('Inputs summary'!B1:B234,H28,'Inputs summary'!D1:D234)+SUMIF('Inputs summary'!E1:E234,H28,'Inputs summary'!C1:C234)</f>
        <v>6</v>
      </c>
      <c r="W28" s="730" cm="1">
        <f t="array" ref="W28">P28*100+Q28*3+R28+T28/100+U28/10000+(1/AA28)/100000000</f>
        <v>0.97030000047619047</v>
      </c>
      <c r="X28" s="731" cm="1">
        <f t="array" ref="X28">SUMPRODUCT(I28:O28,$I$1:$O$1)</f>
        <v>0</v>
      </c>
      <c r="Y28" s="732" cm="1">
        <f t="array" ref="Y28">_xlfn.XLOOKUP(H28,AQ1:AQ51,AR1:AR51,"-",0)</f>
        <v>3</v>
      </c>
      <c r="Z28" s="731" cm="1">
        <f t="array" ref="Z28">W28+(1/Y28)*0.000001</f>
        <v>0.97030033380952385</v>
      </c>
      <c r="AA28" s="731" cm="1">
        <f t="array" ref="AA28">_xlfn.XLOOKUP(H28,'Ranking FIFA'!B1:B102,'Ranking FIFA'!A1:A102,"--",0)</f>
        <v>21</v>
      </c>
      <c r="AB28" s="589"/>
      <c r="AC28" s="589"/>
      <c r="AD28" s="589"/>
      <c r="AE28" s="589"/>
      <c r="AF28" s="589"/>
      <c r="AG28" s="589"/>
      <c r="AH28" s="589"/>
      <c r="AI28" s="589" t="str" cm="1">
        <f t="array" ref="AI28">'Round of 32 &amp; Round of 16'!H21</f>
        <v>Suiza</v>
      </c>
      <c r="AJ28" s="589"/>
      <c r="AK28" s="589"/>
      <c r="AL28" s="589"/>
      <c r="AM28" s="589"/>
      <c r="AN28" s="589"/>
      <c r="AO28" s="589"/>
      <c r="AP28" s="592" cm="1">
        <f t="array" ref="AP28">_xlfn.XLOOKUP(AQ28,'Ranking FIFA'!B1:B102,'Ranking FIFA'!A1:A102,"--",0)</f>
        <v>24</v>
      </c>
      <c r="AQ28" s="691" t="s">
        <v>72</v>
      </c>
      <c r="AR28" s="592">
        <v>3</v>
      </c>
      <c r="AS28" s="590"/>
      <c r="AT28" s="733" cm="1">
        <f t="array" ref="AT28">SUMIF($H$4:$H$51,AQ28,$X$4:$X$51)</f>
        <v>1</v>
      </c>
      <c r="AU28" s="734" cm="1">
        <f t="array" ref="AU28">SUMIF($H$4:$H$51,AQ28,$W$4:$W$51)</f>
        <v>103.98030000041666</v>
      </c>
      <c r="AV28" s="589"/>
      <c r="AW28" s="589"/>
      <c r="AX28" s="589"/>
      <c r="AY28" s="589"/>
      <c r="AZ28" s="589"/>
      <c r="BA28" s="589"/>
      <c r="BB28" s="589"/>
      <c r="BC28" s="589"/>
      <c r="BD28" s="589"/>
      <c r="BE28" s="589"/>
      <c r="BF28" s="589"/>
      <c r="BG28" s="589"/>
      <c r="BH28" s="591">
        <v>25</v>
      </c>
      <c r="BI28" s="589" t="str" cm="1">
        <f t="array" ref="BI28">H28</f>
        <v>Iran</v>
      </c>
      <c r="BJ28" s="719" cm="1">
        <f t="array" ref="BJ28">COUNTIFS('Inputs summary'!I$2:I$106,BI28)</f>
        <v>0</v>
      </c>
      <c r="BK28" s="719" cm="1">
        <f t="array" ref="BK28">COUNTIFS('Inputs summary'!J$2:K$106,BI28)</f>
        <v>1</v>
      </c>
      <c r="BL28" s="719" cm="1">
        <f t="array" ref="BL28">COUNTIFS('Inputs summary'!L$2:L$106,BI28)</f>
        <v>2</v>
      </c>
      <c r="BM28" s="719" cm="1">
        <f t="array" ref="BM28">BN28-BO28</f>
        <v>-3</v>
      </c>
      <c r="BN28" s="719" cm="1">
        <f t="array" ref="BN28">SUMIF('Inputs summary'!$B$1:$B$106,$BI28,'Inputs summary'!$C$1:$C$106)+SUMIF('Inputs summary'!$E$1:$E$106,$BI28,'Inputs summary'!$D$1:$D$106)</f>
        <v>3</v>
      </c>
      <c r="BO28" s="719" cm="1">
        <f t="array" ref="BO28">SUMIF('Inputs summary'!$B$1:$B$106,$BI28,'Inputs summary'!$D$1:$D$106)+SUMIF('Inputs summary'!$E$1:$E$106,$BI28,'Inputs summary'!$C$1:$C$106)</f>
        <v>6</v>
      </c>
      <c r="BP28" s="734" cm="1">
        <f t="array" ref="BP28">BJ28*3+BK28*2+BM28/100+BN28/1000+Y28/100000+AA28/10000000</f>
        <v>1.9730320999999997</v>
      </c>
      <c r="BQ28" s="589"/>
      <c r="BR28" s="589"/>
      <c r="BS28" s="589"/>
    </row>
    <row r="29" spans="1:71" ht="14.25" customHeight="1">
      <c r="A29" s="589"/>
      <c r="B29" s="589"/>
      <c r="C29" s="589"/>
      <c r="D29" s="589"/>
      <c r="E29" s="589"/>
      <c r="F29" s="589"/>
      <c r="G29" s="591">
        <v>26</v>
      </c>
      <c r="H29" s="589" t="str" cm="1">
        <f t="array" ref="H29">'Groups Stage'!O58</f>
        <v>Nueva Zelanda</v>
      </c>
      <c r="I29" s="719" cm="1">
        <f t="array" ref="I29">IF(COUNTIF(AC1:AC51,$H29)&gt;0,I$2,0)</f>
        <v>0</v>
      </c>
      <c r="J29" s="719" cm="1">
        <f t="array" ref="J29">IF(COUNTIF(AD1:AD51,$H29)&gt;0,J$2,0)</f>
        <v>0</v>
      </c>
      <c r="K29" s="719" cm="1">
        <f t="array" ref="K29">IF(COUNTIF(AE1:AE51,$H29)&gt;0,K$2,0)</f>
        <v>0</v>
      </c>
      <c r="L29" s="719" cm="1">
        <f t="array" ref="L29">IF(COUNTIF(AF1:AF51,$H29)&gt;0,L$2,0)</f>
        <v>0</v>
      </c>
      <c r="M29" s="719" cm="1">
        <f t="array" ref="M29">IF(COUNTIF(AG1:AG51,$H29)&gt;0,M$2,0)</f>
        <v>0</v>
      </c>
      <c r="N29" s="719" cm="1">
        <f t="array" ref="N29">IF(COUNTIF(AH1:AH51,$H29)&gt;0,N$2,0)</f>
        <v>0</v>
      </c>
      <c r="O29" s="719" cm="1">
        <f t="array" ref="O29">IF(COUNTIF(AI1:AI51,$H29)&gt;0,O$2,0)</f>
        <v>0</v>
      </c>
      <c r="P29" s="719" cm="1">
        <f t="array" ref="P29">SUM(I29:O29)</f>
        <v>0</v>
      </c>
      <c r="Q29" s="719" cm="1">
        <f t="array" ref="Q29">COUNTIFS('Inputs summary'!I1:I234,$H29)</f>
        <v>0</v>
      </c>
      <c r="R29" s="719" cm="1">
        <f t="array" ref="R29">COUNTIFS('Inputs summary'!J1:K234,$H29)</f>
        <v>1</v>
      </c>
      <c r="S29" s="719" cm="1">
        <f t="array" ref="S29">COUNTIFS('Inputs summary'!L1:L234,$H29)</f>
        <v>2</v>
      </c>
      <c r="T29" s="719" cm="1">
        <f t="array" ref="T29">U29-V29</f>
        <v>-3</v>
      </c>
      <c r="U29" s="719" cm="1">
        <f t="array" ref="U29">SUMIF('Inputs summary'!B1:B234,H29,'Inputs summary'!C1:C234)+SUMIF('Inputs summary'!E1:E234,H29,'Inputs summary'!D1:D234)</f>
        <v>2</v>
      </c>
      <c r="V29" s="719" cm="1">
        <f t="array" ref="V29">SUMIF('Inputs summary'!B1:B234,H29,'Inputs summary'!D1:D234)+SUMIF('Inputs summary'!E1:E234,H29,'Inputs summary'!C1:C234)</f>
        <v>5</v>
      </c>
      <c r="W29" s="730" cm="1">
        <f t="array" ref="W29">P29*100+Q29*3+R29+T29/100+U29/10000+(1/AA29)/100000000</f>
        <v>0.97020000011764707</v>
      </c>
      <c r="X29" s="731" cm="1">
        <f t="array" ref="X29">SUMPRODUCT(I29:O29,$I$1:$O$1)</f>
        <v>0</v>
      </c>
      <c r="Y29" s="732" cm="1">
        <f t="array" ref="Y29">_xlfn.XLOOKUP(H29,AQ1:AQ51,AR1:AR51,"-",0)</f>
        <v>4</v>
      </c>
      <c r="Z29" s="731" cm="1">
        <f t="array" ref="Z29">W29+(1/Y29)*0.000001</f>
        <v>0.9702002501176471</v>
      </c>
      <c r="AA29" s="731" cm="1">
        <f t="array" ref="AA29">_xlfn.XLOOKUP(H29,'Ranking FIFA'!B1:B102,'Ranking FIFA'!A1:A102,"--",0)</f>
        <v>85</v>
      </c>
      <c r="AB29" s="589"/>
      <c r="AC29" s="589"/>
      <c r="AD29" s="589"/>
      <c r="AE29" s="589"/>
      <c r="AF29" s="589"/>
      <c r="AG29" s="589"/>
      <c r="AH29" s="589"/>
      <c r="AI29" s="589" t="str" cm="1">
        <f t="array" ref="AI29">'Round of 32 &amp; Round of 16'!K21</f>
        <v>Argelia</v>
      </c>
      <c r="AJ29" s="589"/>
      <c r="AK29" s="589"/>
      <c r="AL29" s="589"/>
      <c r="AM29" s="589"/>
      <c r="AN29" s="589"/>
      <c r="AO29" s="589"/>
      <c r="AP29" s="592" cm="1">
        <f t="array" ref="AP29">_xlfn.XLOOKUP(AQ29,'Ranking FIFA'!B1:B102,'Ranking FIFA'!A1:A102,"--",0)</f>
        <v>27</v>
      </c>
      <c r="AQ29" s="691" t="s">
        <v>73</v>
      </c>
      <c r="AR29" s="592">
        <v>3</v>
      </c>
      <c r="AS29" s="590"/>
      <c r="AT29" s="733" cm="1">
        <f t="array" ref="AT29">SUMIF($H$4:$H$51,AQ29,$X$4:$X$51)</f>
        <v>0</v>
      </c>
      <c r="AU29" s="734" cm="1">
        <f t="array" ref="AU29">SUMIF($H$4:$H$51,AQ29,$W$4:$W$51)</f>
        <v>-2.979999962962963E-2</v>
      </c>
      <c r="AV29" s="589"/>
      <c r="AW29" s="589"/>
      <c r="AX29" s="589"/>
      <c r="AY29" s="589"/>
      <c r="AZ29" s="589"/>
      <c r="BA29" s="589"/>
      <c r="BB29" s="589"/>
      <c r="BC29" s="589"/>
      <c r="BD29" s="589"/>
      <c r="BE29" s="589"/>
      <c r="BF29" s="589"/>
      <c r="BG29" s="589"/>
      <c r="BH29" s="591">
        <v>26</v>
      </c>
      <c r="BI29" s="589" t="str" cm="1">
        <f t="array" ref="BI29">H29</f>
        <v>Nueva Zelanda</v>
      </c>
      <c r="BJ29" s="719" cm="1">
        <f t="array" ref="BJ29">COUNTIFS('Inputs summary'!I$2:I$106,BI29)</f>
        <v>0</v>
      </c>
      <c r="BK29" s="719" cm="1">
        <f t="array" ref="BK29">COUNTIFS('Inputs summary'!J$2:K$106,BI29)</f>
        <v>1</v>
      </c>
      <c r="BL29" s="719" cm="1">
        <f t="array" ref="BL29">COUNTIFS('Inputs summary'!L$2:L$106,BI29)</f>
        <v>2</v>
      </c>
      <c r="BM29" s="719" cm="1">
        <f t="array" ref="BM29">BN29-BO29</f>
        <v>-3</v>
      </c>
      <c r="BN29" s="719" cm="1">
        <f t="array" ref="BN29">SUMIF('Inputs summary'!$B$1:$B$106,$BI29,'Inputs summary'!$C$1:$C$106)+SUMIF('Inputs summary'!$E$1:$E$106,$BI29,'Inputs summary'!$D$1:$D$106)</f>
        <v>2</v>
      </c>
      <c r="BO29" s="719" cm="1">
        <f t="array" ref="BO29">SUMIF('Inputs summary'!$B$1:$B$106,$BI29,'Inputs summary'!$D$1:$D$106)+SUMIF('Inputs summary'!$E$1:$E$106,$BI29,'Inputs summary'!$C$1:$C$106)</f>
        <v>5</v>
      </c>
      <c r="BP29" s="734" cm="1">
        <f t="array" ref="BP29">BJ29*3+BK29*2+BM29/100+BN29/1000+Y29/100000+AA29/10000000</f>
        <v>1.9720485000000001</v>
      </c>
      <c r="BQ29" s="589"/>
      <c r="BR29" s="589"/>
      <c r="BS29" s="589"/>
    </row>
    <row r="30" spans="1:71" ht="14.25" customHeight="1">
      <c r="A30" s="589"/>
      <c r="B30" s="589"/>
      <c r="C30" s="589"/>
      <c r="D30" s="589"/>
      <c r="E30" s="589"/>
      <c r="F30" s="589"/>
      <c r="G30" s="591">
        <v>27</v>
      </c>
      <c r="H30" s="589" t="str" cm="1">
        <f t="array" ref="H30">'Groups Stage'!O59</f>
        <v>Belgica</v>
      </c>
      <c r="I30" s="719" cm="1">
        <f t="array" ref="I30">IF(COUNTIF(AC1:AC51,$H30)&gt;0,I$2,0)</f>
        <v>0</v>
      </c>
      <c r="J30" s="719" cm="1">
        <f t="array" ref="J30">IF(COUNTIF(AD1:AD51,$H30)&gt;0,J$2,0)</f>
        <v>0</v>
      </c>
      <c r="K30" s="719" cm="1">
        <f t="array" ref="K30">IF(COUNTIF(AE1:AE51,$H30)&gt;0,K$2,0)</f>
        <v>0</v>
      </c>
      <c r="L30" s="719" cm="1">
        <f t="array" ref="L30">IF(COUNTIF(AF1:AF51,$H30)&gt;0,L$2,0)</f>
        <v>0</v>
      </c>
      <c r="M30" s="719" cm="1">
        <f t="array" ref="M30">IF(COUNTIF(AG1:AG51,$H30)&gt;0,M$2,0)</f>
        <v>1</v>
      </c>
      <c r="N30" s="719" cm="1">
        <f t="array" ref="N30">IF(COUNTIF(AH1:AH51,$H30)&gt;0,N$2,0)</f>
        <v>1</v>
      </c>
      <c r="O30" s="719" cm="1">
        <f t="array" ref="O30">IF(COUNTIF(AI1:AI51,$H30)&gt;0,O$2,0)</f>
        <v>1</v>
      </c>
      <c r="P30" s="719" cm="1">
        <f t="array" ref="P30">SUM(I30:O30)</f>
        <v>3</v>
      </c>
      <c r="Q30" s="719" cm="1">
        <f t="array" ref="Q30">COUNTIFS('Inputs summary'!I1:I234,$H30)</f>
        <v>5</v>
      </c>
      <c r="R30" s="719" cm="1">
        <f t="array" ref="R30">COUNTIFS('Inputs summary'!J1:K234,$H30)</f>
        <v>0</v>
      </c>
      <c r="S30" s="719" cm="1">
        <f t="array" ref="S30">COUNTIFS('Inputs summary'!L1:L234,$H30)</f>
        <v>1</v>
      </c>
      <c r="T30" s="719" cm="1">
        <f t="array" ref="T30">U30-V30</f>
        <v>7</v>
      </c>
      <c r="U30" s="719" cm="1">
        <f t="array" ref="U30">SUMIF('Inputs summary'!B1:B234,H30,'Inputs summary'!C1:C234)+SUMIF('Inputs summary'!E1:E234,H30,'Inputs summary'!D1:D234)</f>
        <v>11</v>
      </c>
      <c r="V30" s="719" cm="1">
        <f t="array" ref="V30">SUMIF('Inputs summary'!B1:B234,H30,'Inputs summary'!D1:D234)+SUMIF('Inputs summary'!E1:E234,H30,'Inputs summary'!C1:C234)</f>
        <v>4</v>
      </c>
      <c r="W30" s="730" cm="1">
        <f t="array" ref="W30">P30*100+Q30*3+R30+T30/100+U30/10000+(1/AA30)/100000000</f>
        <v>315.07110000111112</v>
      </c>
      <c r="X30" s="731" cm="1">
        <f t="array" ref="X30">SUMPRODUCT(I30:O30,$I$1:$O$1)</f>
        <v>111</v>
      </c>
      <c r="Y30" s="732" cm="1">
        <f t="array" ref="Y30">_xlfn.XLOOKUP(H30,AQ1:AQ51,AR1:AR51,"-",0)</f>
        <v>1</v>
      </c>
      <c r="Z30" s="731" cm="1">
        <f t="array" ref="Z30">W30+(1/Y30)*0.000001</f>
        <v>315.07110100111112</v>
      </c>
      <c r="AA30" s="731" cm="1">
        <f t="array" ref="AA30">_xlfn.XLOOKUP(H30,'Ranking FIFA'!B1:B102,'Ranking FIFA'!A1:A102,"--",0)</f>
        <v>9</v>
      </c>
      <c r="AB30" s="589"/>
      <c r="AC30" s="589"/>
      <c r="AD30" s="589"/>
      <c r="AE30" s="589"/>
      <c r="AF30" s="589"/>
      <c r="AG30" s="589"/>
      <c r="AH30" s="589"/>
      <c r="AI30" s="589" t="str" cm="1">
        <f t="array" ref="AI30">'Round of 32 &amp; Round of 16'!H25</f>
        <v>Argentina</v>
      </c>
      <c r="AJ30" s="589"/>
      <c r="AK30" s="589"/>
      <c r="AL30" s="589"/>
      <c r="AM30" s="589"/>
      <c r="AN30" s="589"/>
      <c r="AO30" s="589"/>
      <c r="AP30" s="592" cm="1">
        <f t="array" ref="AP30">_xlfn.XLOOKUP(AQ30,'Ranking FIFA'!B1:B102,'Ranking FIFA'!A1:A102,"--",0)</f>
        <v>28</v>
      </c>
      <c r="AQ30" s="691" t="s">
        <v>74</v>
      </c>
      <c r="AR30" s="592">
        <v>3</v>
      </c>
      <c r="AS30" s="590"/>
      <c r="AT30" s="733" cm="1">
        <f t="array" ref="AT30">SUMIF($H$4:$H$51,AQ30,$X$4:$X$51)</f>
        <v>1</v>
      </c>
      <c r="AU30" s="734" cm="1">
        <f t="array" ref="AU30">SUMIF($H$4:$H$51,AQ30,$W$4:$W$51)</f>
        <v>103.98010000035715</v>
      </c>
      <c r="AV30" s="589"/>
      <c r="AW30" s="589"/>
      <c r="AX30" s="589"/>
      <c r="AY30" s="589"/>
      <c r="AZ30" s="589"/>
      <c r="BA30" s="589"/>
      <c r="BB30" s="589"/>
      <c r="BC30" s="589"/>
      <c r="BD30" s="589"/>
      <c r="BE30" s="589"/>
      <c r="BF30" s="589"/>
      <c r="BG30" s="589"/>
      <c r="BH30" s="591">
        <v>27</v>
      </c>
      <c r="BI30" s="589" t="str" cm="1">
        <f t="array" ref="BI30">H30</f>
        <v>Belgica</v>
      </c>
      <c r="BJ30" s="719" cm="1">
        <f t="array" ref="BJ30">COUNTIFS('Inputs summary'!I$2:I$106,BI30)</f>
        <v>3</v>
      </c>
      <c r="BK30" s="719" cm="1">
        <f t="array" ref="BK30">COUNTIFS('Inputs summary'!J$2:K$106,BI30)</f>
        <v>0</v>
      </c>
      <c r="BL30" s="719" cm="1">
        <f t="array" ref="BL30">COUNTIFS('Inputs summary'!L$2:L$106,BI30)</f>
        <v>0</v>
      </c>
      <c r="BM30" s="719" cm="1">
        <f t="array" ref="BM30">BN30-BO30</f>
        <v>6</v>
      </c>
      <c r="BN30" s="719" cm="1">
        <f t="array" ref="BN30">SUMIF('Inputs summary'!$B$1:$B$106,$BI30,'Inputs summary'!$C$1:$C$106)+SUMIF('Inputs summary'!$E$1:$E$106,$BI30,'Inputs summary'!$D$1:$D$106)</f>
        <v>7</v>
      </c>
      <c r="BO30" s="719" cm="1">
        <f t="array" ref="BO30">SUMIF('Inputs summary'!$B$1:$B$106,$BI30,'Inputs summary'!$D$1:$D$106)+SUMIF('Inputs summary'!$E$1:$E$106,$BI30,'Inputs summary'!$C$1:$C$106)</f>
        <v>1</v>
      </c>
      <c r="BP30" s="734" cm="1">
        <f t="array" ref="BP30">BJ30*3+BK30*2+BM30/100+BN30/1000+Y30/100000+AA30/10000000</f>
        <v>9.0670108999999997</v>
      </c>
      <c r="BQ30" s="589"/>
      <c r="BR30" s="589"/>
      <c r="BS30" s="589"/>
    </row>
    <row r="31" spans="1:71" ht="14.25" customHeight="1">
      <c r="A31" s="589"/>
      <c r="B31" s="589"/>
      <c r="C31" s="589"/>
      <c r="D31" s="589"/>
      <c r="E31" s="589"/>
      <c r="F31" s="589"/>
      <c r="G31" s="591">
        <v>28</v>
      </c>
      <c r="H31" s="589" t="str" cm="1">
        <f t="array" ref="H31">'Groups Stage'!O60</f>
        <v>Egipto</v>
      </c>
      <c r="I31" s="719" cm="1">
        <f t="array" ref="I31">IF(COUNTIF(AC1:AC51,$H31)&gt;0,I$2,0)</f>
        <v>0</v>
      </c>
      <c r="J31" s="719" cm="1">
        <f t="array" ref="J31">IF(COUNTIF(AD1:AD51,$H31)&gt;0,J$2,0)</f>
        <v>0</v>
      </c>
      <c r="K31" s="719" cm="1">
        <f t="array" ref="K31">IF(COUNTIF(AE1:AE51,$H31)&gt;0,K$2,0)</f>
        <v>0</v>
      </c>
      <c r="L31" s="719" cm="1">
        <f t="array" ref="L31">IF(COUNTIF(AF1:AF51,$H31)&gt;0,L$2,0)</f>
        <v>0</v>
      </c>
      <c r="M31" s="719" cm="1">
        <f t="array" ref="M31">IF(COUNTIF(AG1:AG51,$H31)&gt;0,M$2,0)</f>
        <v>0</v>
      </c>
      <c r="N31" s="719" cm="1">
        <f t="array" ref="N31">IF(COUNTIF(AH1:AH51,$H31)&gt;0,N$2,0)</f>
        <v>0</v>
      </c>
      <c r="O31" s="719" cm="1">
        <f t="array" ref="O31">IF(COUNTIF(AI1:AI51,$H31)&gt;0,O$2,0)</f>
        <v>1</v>
      </c>
      <c r="P31" s="719" cm="1">
        <f t="array" ref="P31">SUM(I31:O31)</f>
        <v>1</v>
      </c>
      <c r="Q31" s="719" cm="1">
        <f t="array" ref="Q31">COUNTIFS('Inputs summary'!I1:I234,$H31)</f>
        <v>2</v>
      </c>
      <c r="R31" s="719" cm="1">
        <f t="array" ref="R31">COUNTIFS('Inputs summary'!J1:K234,$H31)</f>
        <v>0</v>
      </c>
      <c r="S31" s="719" cm="1">
        <f t="array" ref="S31">COUNTIFS('Inputs summary'!L1:L234,$H31)</f>
        <v>2</v>
      </c>
      <c r="T31" s="719" cm="1">
        <f t="array" ref="T31">U31-V31</f>
        <v>-1</v>
      </c>
      <c r="U31" s="719" cm="1">
        <f t="array" ref="U31">SUMIF('Inputs summary'!B1:B234,H31,'Inputs summary'!C1:C234)+SUMIF('Inputs summary'!E1:E234,H31,'Inputs summary'!D1:D234)</f>
        <v>5</v>
      </c>
      <c r="V31" s="719" cm="1">
        <f t="array" ref="V31">SUMIF('Inputs summary'!B1:B234,H31,'Inputs summary'!D1:D234)+SUMIF('Inputs summary'!E1:E234,H31,'Inputs summary'!C1:C234)</f>
        <v>6</v>
      </c>
      <c r="W31" s="730" cm="1">
        <f t="array" ref="W31">P31*100+Q31*3+R31+T31/100+U31/10000+(1/AA31)/100000000</f>
        <v>105.99050000034482</v>
      </c>
      <c r="X31" s="731" cm="1">
        <f t="array" ref="X31">SUMPRODUCT(I31:O31,$I$1:$O$1)</f>
        <v>1</v>
      </c>
      <c r="Y31" s="732" cm="1">
        <f t="array" ref="Y31">_xlfn.XLOOKUP(H31,AQ1:AQ51,AR1:AR51,"-",0)</f>
        <v>3</v>
      </c>
      <c r="Z31" s="731" cm="1">
        <f t="array" ref="Z31">W31+(1/Y31)*0.000001</f>
        <v>105.99050033367816</v>
      </c>
      <c r="AA31" s="731" cm="1">
        <f t="array" ref="AA31">_xlfn.XLOOKUP(H31,'Ranking FIFA'!B1:B102,'Ranking FIFA'!A1:A102,"--",0)</f>
        <v>29</v>
      </c>
      <c r="AB31" s="589"/>
      <c r="AC31" s="589"/>
      <c r="AD31" s="589"/>
      <c r="AE31" s="589"/>
      <c r="AF31" s="589"/>
      <c r="AG31" s="589"/>
      <c r="AH31" s="589"/>
      <c r="AI31" s="589" t="str" cm="1">
        <f t="array" ref="AI31">'Round of 32 &amp; Round of 16'!K25</f>
        <v>Uruguay</v>
      </c>
      <c r="AJ31" s="589"/>
      <c r="AK31" s="589"/>
      <c r="AL31" s="589"/>
      <c r="AM31" s="589"/>
      <c r="AN31" s="589"/>
      <c r="AO31" s="589"/>
      <c r="AP31" s="592" cm="1">
        <f t="array" ref="AP31">_xlfn.XLOOKUP(AQ31,'Ranking FIFA'!B1:B102,'Ranking FIFA'!A1:A102,"--",0)</f>
        <v>29</v>
      </c>
      <c r="AQ31" s="691" t="s">
        <v>75</v>
      </c>
      <c r="AR31" s="592">
        <v>3</v>
      </c>
      <c r="AS31" s="590"/>
      <c r="AT31" s="733" cm="1">
        <f t="array" ref="AT31">SUMIF($H$4:$H$51,AQ31,$X$4:$X$51)</f>
        <v>1</v>
      </c>
      <c r="AU31" s="734" cm="1">
        <f t="array" ref="AU31">SUMIF($H$4:$H$51,AQ31,$W$4:$W$51)</f>
        <v>105.99050000034482</v>
      </c>
      <c r="AV31" s="589"/>
      <c r="AW31" s="589"/>
      <c r="AX31" s="589"/>
      <c r="AY31" s="589"/>
      <c r="AZ31" s="589"/>
      <c r="BA31" s="589"/>
      <c r="BB31" s="589"/>
      <c r="BC31" s="589"/>
      <c r="BD31" s="589"/>
      <c r="BE31" s="589"/>
      <c r="BF31" s="589"/>
      <c r="BG31" s="589"/>
      <c r="BH31" s="591">
        <v>28</v>
      </c>
      <c r="BI31" s="589" t="str" cm="1">
        <f t="array" ref="BI31">H31</f>
        <v>Egipto</v>
      </c>
      <c r="BJ31" s="719" cm="1">
        <f t="array" ref="BJ31">COUNTIFS('Inputs summary'!I$2:I$106,BI31)</f>
        <v>2</v>
      </c>
      <c r="BK31" s="719" cm="1">
        <f t="array" ref="BK31">COUNTIFS('Inputs summary'!J$2:K$106,BI31)</f>
        <v>0</v>
      </c>
      <c r="BL31" s="719" cm="1">
        <f t="array" ref="BL31">COUNTIFS('Inputs summary'!L$2:L$106,BI31)</f>
        <v>1</v>
      </c>
      <c r="BM31" s="719" cm="1">
        <f t="array" ref="BM31">BN31-BO31</f>
        <v>0</v>
      </c>
      <c r="BN31" s="719" cm="1">
        <f t="array" ref="BN31">SUMIF('Inputs summary'!$B$1:$B$106,$BI31,'Inputs summary'!$C$1:$C$106)+SUMIF('Inputs summary'!$E$1:$E$106,$BI31,'Inputs summary'!$D$1:$D$106)</f>
        <v>4</v>
      </c>
      <c r="BO31" s="719" cm="1">
        <f t="array" ref="BO31">SUMIF('Inputs summary'!$B$1:$B$106,$BI31,'Inputs summary'!$D$1:$D$106)+SUMIF('Inputs summary'!$E$1:$E$106,$BI31,'Inputs summary'!$C$1:$C$106)</f>
        <v>4</v>
      </c>
      <c r="BP31" s="734" cm="1">
        <f t="array" ref="BP31">BJ31*3+BK31*2+BM31/100+BN31/1000+Y31/100000+AA31/10000000</f>
        <v>6.0040328999999995</v>
      </c>
      <c r="BQ31" s="589"/>
      <c r="BR31" s="589"/>
      <c r="BS31" s="589"/>
    </row>
    <row r="32" spans="1:71" ht="14.25" customHeight="1">
      <c r="A32" s="589"/>
      <c r="B32" s="589"/>
      <c r="C32" s="589"/>
      <c r="D32" s="589"/>
      <c r="E32" s="589"/>
      <c r="F32" s="589"/>
      <c r="G32" s="591">
        <v>29</v>
      </c>
      <c r="H32" s="589" t="str" cm="1">
        <f t="array" ref="H32">'Groups Stage'!O66</f>
        <v>España</v>
      </c>
      <c r="I32" s="719" cm="1">
        <f t="array" ref="I32">IF(COUNTIF(AC1:AC51,$H32)&gt;0,I$2,0)</f>
        <v>2</v>
      </c>
      <c r="J32" s="719" cm="1">
        <f t="array" ref="J32">IF(COUNTIF(AD1:AD51,$H32)&gt;0,J$2,0)</f>
        <v>2</v>
      </c>
      <c r="K32" s="719" cm="1">
        <f t="array" ref="K32">IF(COUNTIF(AE1:AE51,$H32)&gt;0,K$2,0)</f>
        <v>0</v>
      </c>
      <c r="L32" s="719" cm="1">
        <f t="array" ref="L32">IF(COUNTIF(AF1:AF51,$H32)&gt;0,L$2,0)</f>
        <v>1</v>
      </c>
      <c r="M32" s="719" cm="1">
        <f t="array" ref="M32">IF(COUNTIF(AG1:AG51,$H32)&gt;0,M$2,0)</f>
        <v>1</v>
      </c>
      <c r="N32" s="719" cm="1">
        <f t="array" ref="N32">IF(COUNTIF(AH1:AH51,$H32)&gt;0,N$2,0)</f>
        <v>1</v>
      </c>
      <c r="O32" s="719" cm="1">
        <f t="array" ref="O32">IF(COUNTIF(AI1:AI51,$H32)&gt;0,O$2,0)</f>
        <v>1</v>
      </c>
      <c r="P32" s="719" cm="1">
        <f t="array" ref="P32">SUM(I32:O32)</f>
        <v>8</v>
      </c>
      <c r="Q32" s="719" cm="1">
        <f t="array" ref="Q32">COUNTIFS('Inputs summary'!I1:I234,$H32)</f>
        <v>7</v>
      </c>
      <c r="R32" s="719" cm="1">
        <f t="array" ref="R32">COUNTIFS('Inputs summary'!J1:K234,$H32)</f>
        <v>1</v>
      </c>
      <c r="S32" s="719" cm="1">
        <f t="array" ref="S32">COUNTIFS('Inputs summary'!L1:L234,$H32)</f>
        <v>0</v>
      </c>
      <c r="T32" s="719" cm="1">
        <f t="array" ref="T32">U32-V32</f>
        <v>13</v>
      </c>
      <c r="U32" s="719" cm="1">
        <f t="array" ref="U32">SUMIF('Inputs summary'!B1:B234,H32,'Inputs summary'!C1:C234)+SUMIF('Inputs summary'!E1:E234,H32,'Inputs summary'!D1:D234)</f>
        <v>15</v>
      </c>
      <c r="V32" s="719" cm="1">
        <f t="array" ref="V32">SUMIF('Inputs summary'!B1:B234,H32,'Inputs summary'!D1:D234)+SUMIF('Inputs summary'!E1:E234,H32,'Inputs summary'!C1:C234)</f>
        <v>2</v>
      </c>
      <c r="W32" s="730" cm="1">
        <f t="array" ref="W32">P32*100+Q32*3+R32+T32/100+U32/10000+(1/AA32)/100000000</f>
        <v>822.13150000499991</v>
      </c>
      <c r="X32" s="731" cm="1">
        <f t="array" ref="X32">SUMPRODUCT(I32:O32,$I$1:$O$1)</f>
        <v>2201111</v>
      </c>
      <c r="Y32" s="732" cm="1">
        <f t="array" ref="Y32">_xlfn.XLOOKUP(H32,AQ1:AQ51,AR1:AR51,"-",0)</f>
        <v>1</v>
      </c>
      <c r="Z32" s="731" cm="1">
        <f t="array" ref="Z32">W32+(1/Y32)*0.000001</f>
        <v>822.1315010049999</v>
      </c>
      <c r="AA32" s="731" cm="1">
        <f t="array" ref="AA32">_xlfn.XLOOKUP(H32,'Ranking FIFA'!B1:B102,'Ranking FIFA'!A1:A102,"--",0)</f>
        <v>2</v>
      </c>
      <c r="AB32" s="589"/>
      <c r="AC32" s="589"/>
      <c r="AD32" s="589"/>
      <c r="AE32" s="589"/>
      <c r="AF32" s="589"/>
      <c r="AG32" s="589"/>
      <c r="AH32" s="589"/>
      <c r="AI32" s="589" t="str" cm="1">
        <f t="array" ref="AI32">'Round of 32 &amp; Round of 16'!H29</f>
        <v>Portugal</v>
      </c>
      <c r="AJ32" s="589"/>
      <c r="AK32" s="589"/>
      <c r="AL32" s="589"/>
      <c r="AM32" s="589"/>
      <c r="AN32" s="589"/>
      <c r="AO32" s="589"/>
      <c r="AP32" s="592" cm="1">
        <f t="array" ref="AP32">_xlfn.XLOOKUP(AQ32,'Ranking FIFA'!B1:B102,'Ranking FIFA'!A1:A102,"--",0)</f>
        <v>30</v>
      </c>
      <c r="AQ32" s="691" t="s">
        <v>76</v>
      </c>
      <c r="AR32" s="592">
        <v>3</v>
      </c>
      <c r="AS32" s="590"/>
      <c r="AT32" s="733" cm="1">
        <f t="array" ref="AT32">SUMIF($H$4:$H$51,AQ32,$X$4:$X$51)</f>
        <v>1</v>
      </c>
      <c r="AU32" s="734" cm="1">
        <f t="array" ref="AU32">SUMIF($H$4:$H$51,AQ32,$W$4:$W$51)</f>
        <v>107.02040000033332</v>
      </c>
      <c r="AV32" s="589"/>
      <c r="AW32" s="589"/>
      <c r="AX32" s="589"/>
      <c r="AY32" s="589"/>
      <c r="AZ32" s="589"/>
      <c r="BA32" s="589"/>
      <c r="BB32" s="589"/>
      <c r="BC32" s="589"/>
      <c r="BD32" s="589"/>
      <c r="BE32" s="589"/>
      <c r="BF32" s="589"/>
      <c r="BG32" s="589"/>
      <c r="BH32" s="591">
        <v>29</v>
      </c>
      <c r="BI32" s="589" t="str" cm="1">
        <f t="array" ref="BI32">H32</f>
        <v>España</v>
      </c>
      <c r="BJ32" s="719" cm="1">
        <f t="array" ref="BJ32">COUNTIFS('Inputs summary'!I$2:I$106,BI32)</f>
        <v>2</v>
      </c>
      <c r="BK32" s="719" cm="1">
        <f t="array" ref="BK32">COUNTIFS('Inputs summary'!J$2:K$106,BI32)</f>
        <v>1</v>
      </c>
      <c r="BL32" s="719" cm="1">
        <f t="array" ref="BL32">COUNTIFS('Inputs summary'!L$2:L$106,BI32)</f>
        <v>0</v>
      </c>
      <c r="BM32" s="719" cm="1">
        <f t="array" ref="BM32">BN32-BO32</f>
        <v>6</v>
      </c>
      <c r="BN32" s="719" cm="1">
        <f t="array" ref="BN32">SUMIF('Inputs summary'!$B$1:$B$106,$BI32,'Inputs summary'!$C$1:$C$106)+SUMIF('Inputs summary'!$E$1:$E$106,$BI32,'Inputs summary'!$D$1:$D$106)</f>
        <v>7</v>
      </c>
      <c r="BO32" s="719" cm="1">
        <f t="array" ref="BO32">SUMIF('Inputs summary'!$B$1:$B$106,$BI32,'Inputs summary'!$D$1:$D$106)+SUMIF('Inputs summary'!$E$1:$E$106,$BI32,'Inputs summary'!$C$1:$C$106)</f>
        <v>1</v>
      </c>
      <c r="BP32" s="734" cm="1">
        <f t="array" ref="BP32">BJ32*3+BK32*2+BM32/100+BN32/1000+Y32/100000+AA32/10000000</f>
        <v>8.0670102000000004</v>
      </c>
      <c r="BQ32" s="589"/>
      <c r="BR32" s="589"/>
      <c r="BS32" s="589"/>
    </row>
    <row r="33" spans="1:71" ht="14.25" customHeight="1">
      <c r="A33" s="589"/>
      <c r="B33" s="589"/>
      <c r="C33" s="589"/>
      <c r="D33" s="589"/>
      <c r="E33" s="589"/>
      <c r="F33" s="589"/>
      <c r="G33" s="591">
        <v>30</v>
      </c>
      <c r="H33" s="589" t="str" cm="1">
        <f t="array" ref="H33">'Groups Stage'!O67</f>
        <v>Cabo Verde</v>
      </c>
      <c r="I33" s="719" cm="1">
        <f t="array" ref="I33">IF(COUNTIF(AC1:AC51,$H33)&gt;0,I$2,0)</f>
        <v>0</v>
      </c>
      <c r="J33" s="719" cm="1">
        <f t="array" ref="J33">IF(COUNTIF(AD1:AD51,$H33)&gt;0,J$2,0)</f>
        <v>0</v>
      </c>
      <c r="K33" s="719" cm="1">
        <f t="array" ref="K33">IF(COUNTIF(AE1:AE51,$H33)&gt;0,K$2,0)</f>
        <v>0</v>
      </c>
      <c r="L33" s="719" cm="1">
        <f t="array" ref="L33">IF(COUNTIF(AF1:AF51,$H33)&gt;0,L$2,0)</f>
        <v>0</v>
      </c>
      <c r="M33" s="719" cm="1">
        <f t="array" ref="M33">IF(COUNTIF(AG1:AG51,$H33)&gt;0,M$2,0)</f>
        <v>0</v>
      </c>
      <c r="N33" s="719" cm="1">
        <f t="array" ref="N33">IF(COUNTIF(AH1:AH51,$H33)&gt;0,N$2,0)</f>
        <v>0</v>
      </c>
      <c r="O33" s="719" cm="1">
        <f t="array" ref="O33">IF(COUNTIF(AI1:AI51,$H33)&gt;0,O$2,0)</f>
        <v>0</v>
      </c>
      <c r="P33" s="719" cm="1">
        <f t="array" ref="P33">SUM(I33:O33)</f>
        <v>0</v>
      </c>
      <c r="Q33" s="719" cm="1">
        <f t="array" ref="Q33">COUNTIFS('Inputs summary'!I1:I234,$H33)</f>
        <v>0</v>
      </c>
      <c r="R33" s="719" cm="1">
        <f t="array" ref="R33">COUNTIFS('Inputs summary'!J1:K234,$H33)</f>
        <v>0</v>
      </c>
      <c r="S33" s="719" cm="1">
        <f t="array" ref="S33">COUNTIFS('Inputs summary'!L1:L234,$H33)</f>
        <v>3</v>
      </c>
      <c r="T33" s="719" cm="1">
        <f t="array" ref="T33">U33-V33</f>
        <v>-8</v>
      </c>
      <c r="U33" s="719" cm="1">
        <f t="array" ref="U33">SUMIF('Inputs summary'!B1:B234,H33,'Inputs summary'!C1:C234)+SUMIF('Inputs summary'!E1:E234,H33,'Inputs summary'!D1:D234)</f>
        <v>0</v>
      </c>
      <c r="V33" s="719" cm="1">
        <f t="array" ref="V33">SUMIF('Inputs summary'!B1:B234,H33,'Inputs summary'!D1:D234)+SUMIF('Inputs summary'!E1:E234,H33,'Inputs summary'!C1:C234)</f>
        <v>8</v>
      </c>
      <c r="W33" s="730" cm="1">
        <f t="array" ref="W33">P33*100+Q33*3+R33+T33/100+U33/10000+(1/AA33)/100000000</f>
        <v>-7.9999999855072459E-2</v>
      </c>
      <c r="X33" s="731" cm="1">
        <f t="array" ref="X33">SUMPRODUCT(I33:O33,$I$1:$O$1)</f>
        <v>0</v>
      </c>
      <c r="Y33" s="732" cm="1">
        <f t="array" ref="Y33">_xlfn.XLOOKUP(H33,AQ1:AQ51,AR1:AR51,"-",0)</f>
        <v>4</v>
      </c>
      <c r="Z33" s="731" cm="1">
        <f t="array" ref="Z33">W33+(1/Y33)*0.000001</f>
        <v>-7.9999749855072466E-2</v>
      </c>
      <c r="AA33" s="731" cm="1">
        <f t="array" ref="AA33">_xlfn.XLOOKUP(H33,'Ranking FIFA'!B1:B102,'Ranking FIFA'!A1:A102,"--",0)</f>
        <v>69</v>
      </c>
      <c r="AB33" s="589"/>
      <c r="AC33" s="589"/>
      <c r="AD33" s="589"/>
      <c r="AE33" s="589"/>
      <c r="AF33" s="589"/>
      <c r="AG33" s="589"/>
      <c r="AH33" s="589"/>
      <c r="AI33" s="589" t="str" cm="1">
        <f t="array" ref="AI33">'Round of 32 &amp; Round of 16'!K29</f>
        <v>Ghana</v>
      </c>
      <c r="AJ33" s="589"/>
      <c r="AK33" s="589"/>
      <c r="AL33" s="589"/>
      <c r="AM33" s="589"/>
      <c r="AN33" s="589"/>
      <c r="AO33" s="589"/>
      <c r="AP33" s="592" cm="1">
        <f t="array" ref="AP33">_xlfn.XLOOKUP(AQ33,'Ranking FIFA'!B1:B102,'Ranking FIFA'!A1:A102,"--",0)</f>
        <v>33</v>
      </c>
      <c r="AQ33" s="691" t="s">
        <v>77</v>
      </c>
      <c r="AR33" s="592">
        <v>3</v>
      </c>
      <c r="AS33" s="590"/>
      <c r="AT33" s="733" cm="1">
        <f t="array" ref="AT33">SUMIF($H$4:$H$51,AQ33,$X$4:$X$51)</f>
        <v>0</v>
      </c>
      <c r="AU33" s="734" cm="1">
        <f t="array" ref="AU33">SUMIF($H$4:$H$51,AQ33,$W$4:$W$51)</f>
        <v>-5.9899999696969693E-2</v>
      </c>
      <c r="AV33" s="589"/>
      <c r="AW33" s="589"/>
      <c r="AX33" s="589"/>
      <c r="AY33" s="589"/>
      <c r="AZ33" s="589"/>
      <c r="BA33" s="589"/>
      <c r="BB33" s="589"/>
      <c r="BC33" s="589"/>
      <c r="BD33" s="589"/>
      <c r="BE33" s="589"/>
      <c r="BF33" s="589"/>
      <c r="BG33" s="589"/>
      <c r="BH33" s="591">
        <v>30</v>
      </c>
      <c r="BI33" s="589" t="str" cm="1">
        <f t="array" ref="BI33">H33</f>
        <v>Cabo Verde</v>
      </c>
      <c r="BJ33" s="719" cm="1">
        <f t="array" ref="BJ33">COUNTIFS('Inputs summary'!I$2:I$106,BI33)</f>
        <v>0</v>
      </c>
      <c r="BK33" s="719" cm="1">
        <f t="array" ref="BK33">COUNTIFS('Inputs summary'!J$2:K$106,BI33)</f>
        <v>0</v>
      </c>
      <c r="BL33" s="719" cm="1">
        <f t="array" ref="BL33">COUNTIFS('Inputs summary'!L$2:L$106,BI33)</f>
        <v>3</v>
      </c>
      <c r="BM33" s="719" cm="1">
        <f t="array" ref="BM33">BN33-BO33</f>
        <v>-8</v>
      </c>
      <c r="BN33" s="719" cm="1">
        <f t="array" ref="BN33">SUMIF('Inputs summary'!$B$1:$B$106,$BI33,'Inputs summary'!$C$1:$C$106)+SUMIF('Inputs summary'!$E$1:$E$106,$BI33,'Inputs summary'!$D$1:$D$106)</f>
        <v>0</v>
      </c>
      <c r="BO33" s="719" cm="1">
        <f t="array" ref="BO33">SUMIF('Inputs summary'!$B$1:$B$106,$BI33,'Inputs summary'!$D$1:$D$106)+SUMIF('Inputs summary'!$E$1:$E$106,$BI33,'Inputs summary'!$C$1:$C$106)</f>
        <v>8</v>
      </c>
      <c r="BP33" s="734" cm="1">
        <f t="array" ref="BP33">BJ33*3+BK33*2+BM33/100+BN33/1000+Y33/100000+AA33/10000000</f>
        <v>-7.9953099999999999E-2</v>
      </c>
      <c r="BQ33" s="589"/>
      <c r="BR33" s="589"/>
      <c r="BS33" s="589"/>
    </row>
    <row r="34" spans="1:71" ht="14.25" customHeight="1">
      <c r="A34" s="589"/>
      <c r="B34" s="589"/>
      <c r="C34" s="589"/>
      <c r="D34" s="589"/>
      <c r="E34" s="589"/>
      <c r="F34" s="589"/>
      <c r="G34" s="591">
        <v>31</v>
      </c>
      <c r="H34" s="589" t="str" cm="1">
        <f t="array" ref="H34">'Groups Stage'!O68</f>
        <v>Arabia Saudita</v>
      </c>
      <c r="I34" s="719" cm="1">
        <f t="array" ref="I34">IF(COUNTIF(AC1:AC51,$H34)&gt;0,I$2,0)</f>
        <v>0</v>
      </c>
      <c r="J34" s="719" cm="1">
        <f t="array" ref="J34">IF(COUNTIF(AD1:AD51,$H34)&gt;0,J$2,0)</f>
        <v>0</v>
      </c>
      <c r="K34" s="719" cm="1">
        <f t="array" ref="K34">IF(COUNTIF(AE1:AE51,$H34)&gt;0,K$2,0)</f>
        <v>0</v>
      </c>
      <c r="L34" s="719" cm="1">
        <f t="array" ref="L34">IF(COUNTIF(AF1:AF51,$H34)&gt;0,L$2,0)</f>
        <v>0</v>
      </c>
      <c r="M34" s="719" cm="1">
        <f t="array" ref="M34">IF(COUNTIF(AG1:AG51,$H34)&gt;0,M$2,0)</f>
        <v>0</v>
      </c>
      <c r="N34" s="719" cm="1">
        <f t="array" ref="N34">IF(COUNTIF(AH1:AH51,$H34)&gt;0,N$2,0)</f>
        <v>0</v>
      </c>
      <c r="O34" s="719" cm="1">
        <f t="array" ref="O34">IF(COUNTIF(AI1:AI51,$H34)&gt;0,O$2,0)</f>
        <v>0</v>
      </c>
      <c r="P34" s="719" cm="1">
        <f t="array" ref="P34">SUM(I34:O34)</f>
        <v>0</v>
      </c>
      <c r="Q34" s="719" cm="1">
        <f t="array" ref="Q34">COUNTIFS('Inputs summary'!I1:I234,$H34)</f>
        <v>1</v>
      </c>
      <c r="R34" s="719" cm="1">
        <f t="array" ref="R34">COUNTIFS('Inputs summary'!J1:K234,$H34)</f>
        <v>0</v>
      </c>
      <c r="S34" s="719" cm="1">
        <f t="array" ref="S34">COUNTIFS('Inputs summary'!L1:L234,$H34)</f>
        <v>2</v>
      </c>
      <c r="T34" s="719" cm="1">
        <f t="array" ref="T34">U34-V34</f>
        <v>-1</v>
      </c>
      <c r="U34" s="719" cm="1">
        <f t="array" ref="U34">SUMIF('Inputs summary'!B1:B234,H34,'Inputs summary'!C1:C234)+SUMIF('Inputs summary'!E1:E234,H34,'Inputs summary'!D1:D234)</f>
        <v>3</v>
      </c>
      <c r="V34" s="719" cm="1">
        <f t="array" ref="V34">SUMIF('Inputs summary'!B1:B234,H34,'Inputs summary'!D1:D234)+SUMIF('Inputs summary'!E1:E234,H34,'Inputs summary'!C1:C234)</f>
        <v>4</v>
      </c>
      <c r="W34" s="730" cm="1">
        <f t="array" ref="W34">P34*100+Q34*3+R34+T34/100+U34/10000+(1/AA34)/100000000</f>
        <v>2.990300000163935</v>
      </c>
      <c r="X34" s="731" cm="1">
        <f t="array" ref="X34">SUMPRODUCT(I34:O34,$I$1:$O$1)</f>
        <v>0</v>
      </c>
      <c r="Y34" s="732" cm="1">
        <f t="array" ref="Y34">_xlfn.XLOOKUP(H34,AQ1:AQ51,AR1:AR51,"-",0)</f>
        <v>3</v>
      </c>
      <c r="Z34" s="731" cm="1">
        <f t="array" ref="Z34">W34+(1/Y34)*0.000001</f>
        <v>2.9903003334972684</v>
      </c>
      <c r="AA34" s="731" cm="1">
        <f t="array" ref="AA34">_xlfn.XLOOKUP(H34,'Ranking FIFA'!B1:B102,'Ranking FIFA'!A1:A102,"--",0)</f>
        <v>61</v>
      </c>
      <c r="AB34" s="589"/>
      <c r="AC34" s="589"/>
      <c r="AD34" s="589"/>
      <c r="AE34" s="589"/>
      <c r="AF34" s="589"/>
      <c r="AG34" s="589"/>
      <c r="AH34" s="589"/>
      <c r="AI34" s="589" t="str" cm="1">
        <f t="array" ref="AI34">'Round of 32 &amp; Round of 16'!H33</f>
        <v>Paraguay</v>
      </c>
      <c r="AJ34" s="589"/>
      <c r="AK34" s="589"/>
      <c r="AL34" s="589"/>
      <c r="AM34" s="589"/>
      <c r="AN34" s="589"/>
      <c r="AO34" s="589"/>
      <c r="AP34" s="592" cm="1">
        <f t="array" ref="AP34">_xlfn.XLOOKUP(AQ34,'Ranking FIFA'!B1:B102,'Ranking FIFA'!A1:A102,"--",0)</f>
        <v>34</v>
      </c>
      <c r="AQ34" s="745" t="s">
        <v>78</v>
      </c>
      <c r="AR34" s="592">
        <v>3</v>
      </c>
      <c r="AS34" s="590"/>
      <c r="AT34" s="733" cm="1">
        <f t="array" ref="AT34">SUMIF($H$4:$H$51,AQ34,$X$4:$X$51)</f>
        <v>1</v>
      </c>
      <c r="AU34" s="734" cm="1">
        <f t="array" ref="AU34">SUMIF($H$4:$H$51,AQ34,$W$4:$W$51)</f>
        <v>103.99030000029411</v>
      </c>
      <c r="AV34" s="589"/>
      <c r="AW34" s="589"/>
      <c r="AX34" s="589"/>
      <c r="AY34" s="589"/>
      <c r="AZ34" s="589"/>
      <c r="BA34" s="589"/>
      <c r="BB34" s="589"/>
      <c r="BC34" s="589"/>
      <c r="BD34" s="589"/>
      <c r="BE34" s="589"/>
      <c r="BF34" s="589"/>
      <c r="BG34" s="589"/>
      <c r="BH34" s="591">
        <v>31</v>
      </c>
      <c r="BI34" s="589" t="str" cm="1">
        <f t="array" ref="BI34">H34</f>
        <v>Arabia Saudita</v>
      </c>
      <c r="BJ34" s="719" cm="1">
        <f t="array" ref="BJ34">COUNTIFS('Inputs summary'!I$2:I$106,BI34)</f>
        <v>1</v>
      </c>
      <c r="BK34" s="719" cm="1">
        <f t="array" ref="BK34">COUNTIFS('Inputs summary'!J$2:K$106,BI34)</f>
        <v>0</v>
      </c>
      <c r="BL34" s="719" cm="1">
        <f t="array" ref="BL34">COUNTIFS('Inputs summary'!L$2:L$106,BI34)</f>
        <v>2</v>
      </c>
      <c r="BM34" s="719" cm="1">
        <f t="array" ref="BM34">BN34-BO34</f>
        <v>-1</v>
      </c>
      <c r="BN34" s="719" cm="1">
        <f t="array" ref="BN34">SUMIF('Inputs summary'!$B$1:$B$106,$BI34,'Inputs summary'!$C$1:$C$106)+SUMIF('Inputs summary'!$E$1:$E$106,$BI34,'Inputs summary'!$D$1:$D$106)</f>
        <v>3</v>
      </c>
      <c r="BO34" s="719" cm="1">
        <f t="array" ref="BO34">SUMIF('Inputs summary'!$B$1:$B$106,$BI34,'Inputs summary'!$D$1:$D$106)+SUMIF('Inputs summary'!$E$1:$E$106,$BI34,'Inputs summary'!$C$1:$C$106)</f>
        <v>4</v>
      </c>
      <c r="BP34" s="734" cm="1">
        <f t="array" ref="BP34">BJ34*3+BK34*2+BM34/100+BN34/1000+Y34/100000+AA34/10000000</f>
        <v>2.9930361000000003</v>
      </c>
      <c r="BQ34" s="589"/>
      <c r="BR34" s="589"/>
      <c r="BS34" s="589"/>
    </row>
    <row r="35" spans="1:71" ht="14.25" customHeight="1">
      <c r="A35" s="589"/>
      <c r="B35" s="589"/>
      <c r="C35" s="589"/>
      <c r="D35" s="589"/>
      <c r="E35" s="589"/>
      <c r="F35" s="589"/>
      <c r="G35" s="591">
        <v>32</v>
      </c>
      <c r="H35" s="589" t="str" cm="1">
        <f t="array" ref="H35">'Groups Stage'!O69</f>
        <v>Uruguay</v>
      </c>
      <c r="I35" s="719" cm="1">
        <f t="array" ref="I35">IF(COUNTIF(AC1:AC51,$H35)&gt;0,I$2,0)</f>
        <v>0</v>
      </c>
      <c r="J35" s="719" cm="1">
        <f t="array" ref="J35">IF(COUNTIF(AD1:AD51,$H35)&gt;0,J$2,0)</f>
        <v>0</v>
      </c>
      <c r="K35" s="719" cm="1">
        <f t="array" ref="K35">IF(COUNTIF(AE1:AE51,$H35)&gt;0,K$2,0)</f>
        <v>0</v>
      </c>
      <c r="L35" s="719" cm="1">
        <f t="array" ref="L35">IF(COUNTIF(AF1:AF51,$H35)&gt;0,L$2,0)</f>
        <v>0</v>
      </c>
      <c r="M35" s="719" cm="1">
        <f t="array" ref="M35">IF(COUNTIF(AG1:AG51,$H35)&gt;0,M$2,0)</f>
        <v>0</v>
      </c>
      <c r="N35" s="719" cm="1">
        <f t="array" ref="N35">IF(COUNTIF(AH1:AH51,$H35)&gt;0,N$2,0)</f>
        <v>0</v>
      </c>
      <c r="O35" s="719" cm="1">
        <f t="array" ref="O35">IF(COUNTIF(AI1:AI51,$H35)&gt;0,O$2,0)</f>
        <v>1</v>
      </c>
      <c r="P35" s="719" cm="1">
        <f t="array" ref="P35">SUM(I35:O35)</f>
        <v>1</v>
      </c>
      <c r="Q35" s="719" cm="1">
        <f t="array" ref="Q35">COUNTIFS('Inputs summary'!I1:I234,$H35)</f>
        <v>2</v>
      </c>
      <c r="R35" s="719" cm="1">
        <f t="array" ref="R35">COUNTIFS('Inputs summary'!J1:K234,$H35)</f>
        <v>1</v>
      </c>
      <c r="S35" s="719" cm="1">
        <f t="array" ref="S35">COUNTIFS('Inputs summary'!L1:L234,$H35)</f>
        <v>1</v>
      </c>
      <c r="T35" s="719" cm="1">
        <f t="array" ref="T35">U35-V35</f>
        <v>2</v>
      </c>
      <c r="U35" s="719" cm="1">
        <f t="array" ref="U35">SUMIF('Inputs summary'!B1:B234,H35,'Inputs summary'!C1:C234)+SUMIF('Inputs summary'!E1:E234,H35,'Inputs summary'!D1:D234)</f>
        <v>5</v>
      </c>
      <c r="V35" s="719" cm="1">
        <f t="array" ref="V35">SUMIF('Inputs summary'!B1:B234,H35,'Inputs summary'!D1:D234)+SUMIF('Inputs summary'!E1:E234,H35,'Inputs summary'!C1:C234)</f>
        <v>3</v>
      </c>
      <c r="W35" s="730" cm="1">
        <f t="array" ref="W35">P35*100+Q35*3+R35+T35/100+U35/10000+(1/AA35)/100000000</f>
        <v>107.02050000058823</v>
      </c>
      <c r="X35" s="731" cm="1">
        <f t="array" ref="X35">SUMPRODUCT(I35:O35,$I$1:$O$1)</f>
        <v>1</v>
      </c>
      <c r="Y35" s="732" cm="1">
        <f t="array" ref="Y35">_xlfn.XLOOKUP(H35,AQ1:AQ51,AR1:AR51,"-",0)</f>
        <v>1</v>
      </c>
      <c r="Z35" s="731" cm="1">
        <f t="array" ref="Z35">W35+(1/Y35)*0.000001</f>
        <v>107.02050100058823</v>
      </c>
      <c r="AA35" s="731" cm="1">
        <f t="array" ref="AA35">_xlfn.XLOOKUP(H35,'Ranking FIFA'!B1:B102,'Ranking FIFA'!A1:A102,"--",0)</f>
        <v>17</v>
      </c>
      <c r="AB35" s="589"/>
      <c r="AC35" s="589"/>
      <c r="AD35" s="589"/>
      <c r="AE35" s="589"/>
      <c r="AF35" s="589"/>
      <c r="AG35" s="589"/>
      <c r="AH35" s="589"/>
      <c r="AI35" s="589" t="str" cm="1">
        <f t="array" ref="AI35">'Round of 32 &amp; Round of 16'!K33</f>
        <v>Egipto</v>
      </c>
      <c r="AJ35" s="589"/>
      <c r="AK35" s="589"/>
      <c r="AL35" s="589"/>
      <c r="AM35" s="589"/>
      <c r="AN35" s="589"/>
      <c r="AO35" s="589"/>
      <c r="AP35" s="746" cm="1">
        <f t="array" ref="AP35">_xlfn.XLOOKUP(AQ35,'Ranking FIFA'!B1:B102,'Ranking FIFA'!A1:A102,"--",0)</f>
        <v>41</v>
      </c>
      <c r="AQ35" s="747" t="s">
        <v>79</v>
      </c>
      <c r="AR35" s="748">
        <v>3</v>
      </c>
      <c r="AS35" s="590"/>
      <c r="AT35" s="733" cm="1">
        <f t="array" ref="AT35">SUMIF($H$4:$H$51,AQ35,$X$4:$X$51)</f>
        <v>1</v>
      </c>
      <c r="AU35" s="734" cm="1">
        <f t="array" ref="AU35">SUMIF($H$4:$H$51,AQ35,$W$4:$W$51)</f>
        <v>103.99030000024389</v>
      </c>
      <c r="AV35" s="589"/>
      <c r="AW35" s="589"/>
      <c r="AX35" s="589"/>
      <c r="AY35" s="589"/>
      <c r="AZ35" s="589"/>
      <c r="BA35" s="589"/>
      <c r="BB35" s="589"/>
      <c r="BC35" s="589"/>
      <c r="BD35" s="589"/>
      <c r="BE35" s="589"/>
      <c r="BF35" s="589"/>
      <c r="BG35" s="589"/>
      <c r="BH35" s="591">
        <v>32</v>
      </c>
      <c r="BI35" s="589" t="str" cm="1">
        <f t="array" ref="BI35">H35</f>
        <v>Uruguay</v>
      </c>
      <c r="BJ35" s="719" cm="1">
        <f t="array" ref="BJ35">COUNTIFS('Inputs summary'!I$2:I$106,BI35)</f>
        <v>2</v>
      </c>
      <c r="BK35" s="719" cm="1">
        <f t="array" ref="BK35">COUNTIFS('Inputs summary'!J$2:K$106,BI35)</f>
        <v>1</v>
      </c>
      <c r="BL35" s="719" cm="1">
        <f t="array" ref="BL35">COUNTIFS('Inputs summary'!L$2:L$106,BI35)</f>
        <v>0</v>
      </c>
      <c r="BM35" s="719" cm="1">
        <f t="array" ref="BM35">BN35-BO35</f>
        <v>3</v>
      </c>
      <c r="BN35" s="719" cm="1">
        <f t="array" ref="BN35">SUMIF('Inputs summary'!$B$1:$B$106,$BI35,'Inputs summary'!$C$1:$C$106)+SUMIF('Inputs summary'!$E$1:$E$106,$BI35,'Inputs summary'!$D$1:$D$106)</f>
        <v>5</v>
      </c>
      <c r="BO35" s="719" cm="1">
        <f t="array" ref="BO35">SUMIF('Inputs summary'!$B$1:$B$106,$BI35,'Inputs summary'!$D$1:$D$106)+SUMIF('Inputs summary'!$E$1:$E$106,$BI35,'Inputs summary'!$C$1:$C$106)</f>
        <v>2</v>
      </c>
      <c r="BP35" s="734" cm="1">
        <f t="array" ref="BP35">BJ35*3+BK35*2+BM35/100+BN35/1000+Y35/100000+AA35/10000000</f>
        <v>8.0350117000000001</v>
      </c>
      <c r="BQ35" s="589"/>
      <c r="BR35" s="589"/>
      <c r="BS35" s="589"/>
    </row>
    <row r="36" spans="1:71" ht="14.25" customHeight="1">
      <c r="A36" s="589"/>
      <c r="B36" s="589"/>
      <c r="C36" s="589"/>
      <c r="D36" s="589"/>
      <c r="E36" s="589"/>
      <c r="F36" s="589"/>
      <c r="G36" s="591">
        <v>33</v>
      </c>
      <c r="H36" s="589" t="str" cm="1">
        <f t="array" ref="H36">'Groups Stage'!O75</f>
        <v>Francia</v>
      </c>
      <c r="I36" s="719" cm="1">
        <f t="array" ref="I36">IF(COUNTIF(AC1:AC51,$H36)&gt;0,I$2,0)</f>
        <v>0</v>
      </c>
      <c r="J36" s="719" cm="1">
        <f t="array" ref="J36">IF(COUNTIF(AD1:AD51,$H36)&gt;0,J$2,0)</f>
        <v>0</v>
      </c>
      <c r="K36" s="719" cm="1">
        <f t="array" ref="K36">IF(COUNTIF(AE1:AE51,$H36)&gt;0,K$2,0)</f>
        <v>1</v>
      </c>
      <c r="L36" s="719" cm="1">
        <f t="array" ref="L36">IF(COUNTIF(AF1:AF51,$H36)&gt;0,L$2,0)</f>
        <v>1</v>
      </c>
      <c r="M36" s="719" cm="1">
        <f t="array" ref="M36">IF(COUNTIF(AG1:AG51,$H36)&gt;0,M$2,0)</f>
        <v>1</v>
      </c>
      <c r="N36" s="719" cm="1">
        <f t="array" ref="N36">IF(COUNTIF(AH1:AH51,$H36)&gt;0,N$2,0)</f>
        <v>1</v>
      </c>
      <c r="O36" s="719" cm="1">
        <f t="array" ref="O36">IF(COUNTIF(AI1:AI51,$H36)&gt;0,O$2,0)</f>
        <v>1</v>
      </c>
      <c r="P36" s="719" cm="1">
        <f t="array" ref="P36">SUM(I36:O36)</f>
        <v>5</v>
      </c>
      <c r="Q36" s="719" cm="1">
        <f t="array" ref="Q36">COUNTIFS('Inputs summary'!I1:I234,$H36)</f>
        <v>7</v>
      </c>
      <c r="R36" s="719" cm="1">
        <f t="array" ref="R36">COUNTIFS('Inputs summary'!J1:K234,$H36)</f>
        <v>0</v>
      </c>
      <c r="S36" s="719" cm="1">
        <f t="array" ref="S36">COUNTIFS('Inputs summary'!L1:L234,$H36)</f>
        <v>1</v>
      </c>
      <c r="T36" s="719" cm="1">
        <f t="array" ref="T36">U36-V36</f>
        <v>9</v>
      </c>
      <c r="U36" s="719" cm="1">
        <f t="array" ref="U36">SUMIF('Inputs summary'!B1:B234,H36,'Inputs summary'!C1:C234)+SUMIF('Inputs summary'!E1:E234,H36,'Inputs summary'!D1:D234)</f>
        <v>17</v>
      </c>
      <c r="V36" s="719" cm="1">
        <f t="array" ref="V36">SUMIF('Inputs summary'!B1:B234,H36,'Inputs summary'!D1:D234)+SUMIF('Inputs summary'!E1:E234,H36,'Inputs summary'!C1:C234)</f>
        <v>8</v>
      </c>
      <c r="W36" s="730" cm="1">
        <f t="array" ref="W36">P36*100+Q36*3+R36+T36/100+U36/10000+(1/AA36)/100000000</f>
        <v>521.09170001000007</v>
      </c>
      <c r="X36" s="731" cm="1">
        <f t="array" ref="X36">SUMPRODUCT(I36:O36,$I$1:$O$1)</f>
        <v>11111</v>
      </c>
      <c r="Y36" s="732" cm="1">
        <f t="array" ref="Y36">_xlfn.XLOOKUP(H36,AQ1:AQ51,AR1:AR51,"-",0)</f>
        <v>1</v>
      </c>
      <c r="Z36" s="731" cm="1">
        <f t="array" ref="Z36">W36+(1/Y36)*0.000001</f>
        <v>521.09170101000007</v>
      </c>
      <c r="AA36" s="731" cm="1">
        <f t="array" ref="AA36">_xlfn.XLOOKUP(H36,'Ranking FIFA'!B1:B102,'Ranking FIFA'!A1:A102,"--",0)</f>
        <v>1</v>
      </c>
      <c r="AB36" s="589"/>
      <c r="AC36" s="589"/>
      <c r="AD36" s="589"/>
      <c r="AE36" s="589"/>
      <c r="AF36" s="589"/>
      <c r="AG36" s="589"/>
      <c r="AH36" s="589"/>
      <c r="AI36" s="589"/>
      <c r="AJ36" s="589"/>
      <c r="AK36" s="589"/>
      <c r="AL36" s="589"/>
      <c r="AM36" s="589"/>
      <c r="AN36" s="589"/>
      <c r="AO36" s="589"/>
      <c r="AP36" s="592" cm="1">
        <f t="array" ref="AP36">_xlfn.XLOOKUP(AQ36,'Ranking FIFA'!B1:B102,'Ranking FIFA'!A1:A102,"--",0)</f>
        <v>43</v>
      </c>
      <c r="AQ36" s="750" t="s">
        <v>80</v>
      </c>
      <c r="AR36" s="592">
        <v>3</v>
      </c>
      <c r="AS36" s="590"/>
      <c r="AT36" s="733" cm="1">
        <f t="array" ref="AT36">SUMIF($H$4:$H$51,AQ36,$X$4:$X$51)</f>
        <v>1</v>
      </c>
      <c r="AU36" s="734" cm="1">
        <f t="array" ref="AU36">SUMIF($H$4:$H$51,AQ36,$W$4:$W$51)</f>
        <v>103.00060000023257</v>
      </c>
      <c r="AV36" s="589"/>
      <c r="AW36" s="589"/>
      <c r="AX36" s="589"/>
      <c r="AY36" s="589"/>
      <c r="AZ36" s="589"/>
      <c r="BA36" s="589"/>
      <c r="BB36" s="589"/>
      <c r="BC36" s="589"/>
      <c r="BD36" s="589"/>
      <c r="BE36" s="589"/>
      <c r="BF36" s="589"/>
      <c r="BG36" s="589"/>
      <c r="BH36" s="591">
        <v>33</v>
      </c>
      <c r="BI36" s="589" t="str" cm="1">
        <f t="array" ref="BI36">H36</f>
        <v>Francia</v>
      </c>
      <c r="BJ36" s="719" cm="1">
        <f t="array" ref="BJ36">COUNTIFS('Inputs summary'!I$2:I$106,BI36)</f>
        <v>3</v>
      </c>
      <c r="BK36" s="719" cm="1">
        <f t="array" ref="BK36">COUNTIFS('Inputs summary'!J$2:K$106,BI36)</f>
        <v>0</v>
      </c>
      <c r="BL36" s="719" cm="1">
        <f t="array" ref="BL36">COUNTIFS('Inputs summary'!L$2:L$106,BI36)</f>
        <v>0</v>
      </c>
      <c r="BM36" s="719" cm="1">
        <f t="array" ref="BM36">BN36-BO36</f>
        <v>5</v>
      </c>
      <c r="BN36" s="719" cm="1">
        <f t="array" ref="BN36">SUMIF('Inputs summary'!$B$1:$B$106,$BI36,'Inputs summary'!$C$1:$C$106)+SUMIF('Inputs summary'!$E$1:$E$106,$BI36,'Inputs summary'!$D$1:$D$106)</f>
        <v>7</v>
      </c>
      <c r="BO36" s="719" cm="1">
        <f t="array" ref="BO36">SUMIF('Inputs summary'!$B$1:$B$106,$BI36,'Inputs summary'!$D$1:$D$106)+SUMIF('Inputs summary'!$E$1:$E$106,$BI36,'Inputs summary'!$C$1:$C$106)</f>
        <v>2</v>
      </c>
      <c r="BP36" s="734" cm="1">
        <f t="array" ref="BP36">BJ36*3+BK36*2+BM36/100+BN36/1000+Y36/100000+AA36/10000000</f>
        <v>9.0570100999999994</v>
      </c>
      <c r="BQ36" s="589"/>
      <c r="BR36" s="589"/>
      <c r="BS36" s="589"/>
    </row>
    <row r="37" spans="1:71" ht="14.25" customHeight="1">
      <c r="A37" s="589"/>
      <c r="B37" s="589"/>
      <c r="C37" s="589"/>
      <c r="D37" s="589"/>
      <c r="E37" s="589"/>
      <c r="F37" s="589"/>
      <c r="G37" s="591">
        <v>34</v>
      </c>
      <c r="H37" s="589" t="str" cm="1">
        <f t="array" ref="H37">'Groups Stage'!O76</f>
        <v>Senegal</v>
      </c>
      <c r="I37" s="719" cm="1">
        <f t="array" ref="I37">IF(COUNTIF(AC1:AC51,$H37)&gt;0,I$2,0)</f>
        <v>0</v>
      </c>
      <c r="J37" s="719" cm="1">
        <f t="array" ref="J37">IF(COUNTIF(AD1:AD51,$H37)&gt;0,J$2,0)</f>
        <v>0</v>
      </c>
      <c r="K37" s="719" cm="1">
        <f t="array" ref="K37">IF(COUNTIF(AE1:AE51,$H37)&gt;0,K$2,0)</f>
        <v>0</v>
      </c>
      <c r="L37" s="719" cm="1">
        <f t="array" ref="L37">IF(COUNTIF(AF1:AF51,$H37)&gt;0,L$2,0)</f>
        <v>0</v>
      </c>
      <c r="M37" s="719" cm="1">
        <f t="array" ref="M37">IF(COUNTIF(AG1:AG51,$H37)&gt;0,M$2,0)</f>
        <v>0</v>
      </c>
      <c r="N37" s="719" cm="1">
        <f t="array" ref="N37">IF(COUNTIF(AH1:AH51,$H37)&gt;0,N$2,0)</f>
        <v>0</v>
      </c>
      <c r="O37" s="719" cm="1">
        <f t="array" ref="O37">IF(COUNTIF(AI1:AI51,$H37)&gt;0,O$2,0)</f>
        <v>1</v>
      </c>
      <c r="P37" s="719" cm="1">
        <f t="array" ref="P37">SUM(I37:O37)</f>
        <v>1</v>
      </c>
      <c r="Q37" s="719" cm="1">
        <f t="array" ref="Q37">COUNTIFS('Inputs summary'!I1:I234,$H37)</f>
        <v>1</v>
      </c>
      <c r="R37" s="719" cm="1">
        <f t="array" ref="R37">COUNTIFS('Inputs summary'!J1:K234,$H37)</f>
        <v>1</v>
      </c>
      <c r="S37" s="719" cm="1">
        <f t="array" ref="S37">COUNTIFS('Inputs summary'!L1:L234,$H37)</f>
        <v>2</v>
      </c>
      <c r="T37" s="719" cm="1">
        <f t="array" ref="T37">U37-V37</f>
        <v>0</v>
      </c>
      <c r="U37" s="719" cm="1">
        <f t="array" ref="U37">SUMIF('Inputs summary'!B1:B234,H37,'Inputs summary'!C1:C234)+SUMIF('Inputs summary'!E1:E234,H37,'Inputs summary'!D1:D234)</f>
        <v>6</v>
      </c>
      <c r="V37" s="719" cm="1">
        <f t="array" ref="V37">SUMIF('Inputs summary'!B1:B234,H37,'Inputs summary'!D1:D234)+SUMIF('Inputs summary'!E1:E234,H37,'Inputs summary'!C1:C234)</f>
        <v>6</v>
      </c>
      <c r="W37" s="730" cm="1">
        <f t="array" ref="W37">P37*100+Q37*3+R37+T37/100+U37/10000+(1/AA37)/100000000</f>
        <v>104.00060000071429</v>
      </c>
      <c r="X37" s="731" cm="1">
        <f t="array" ref="X37">SUMPRODUCT(I37:O37,$I$1:$O$1)</f>
        <v>1</v>
      </c>
      <c r="Y37" s="732" cm="1">
        <f t="array" ref="Y37">_xlfn.XLOOKUP(H37,AQ1:AQ51,AR1:AR51,"-",0)</f>
        <v>2</v>
      </c>
      <c r="Z37" s="731" cm="1">
        <f t="array" ref="Z37">W37+(1/Y37)*0.000001</f>
        <v>104.00060050071428</v>
      </c>
      <c r="AA37" s="731" cm="1">
        <f t="array" ref="AA37">_xlfn.XLOOKUP(H37,'Ranking FIFA'!B1:B102,'Ranking FIFA'!A1:A102,"--",0)</f>
        <v>14</v>
      </c>
      <c r="AB37" s="589"/>
      <c r="AC37" s="589"/>
      <c r="AD37" s="589"/>
      <c r="AE37" s="589"/>
      <c r="AF37" s="589"/>
      <c r="AG37" s="589"/>
      <c r="AH37" s="589"/>
      <c r="AI37" s="589"/>
      <c r="AJ37" s="589"/>
      <c r="AK37" s="589"/>
      <c r="AL37" s="589"/>
      <c r="AM37" s="589"/>
      <c r="AN37" s="589"/>
      <c r="AO37" s="589"/>
      <c r="AP37" s="592" cm="1">
        <f t="array" ref="AP37">_xlfn.XLOOKUP(AQ37,'Ranking FIFA'!B1:B102,'Ranking FIFA'!A1:A102,"--",0)</f>
        <v>44</v>
      </c>
      <c r="AQ37" s="691" t="s">
        <v>81</v>
      </c>
      <c r="AR37" s="592">
        <v>3</v>
      </c>
      <c r="AS37" s="590"/>
      <c r="AT37" s="733" cm="1">
        <f t="array" ref="AT37">SUMIF($H$4:$H$51,AQ37,$X$4:$X$51)</f>
        <v>0</v>
      </c>
      <c r="AU37" s="734" cm="1">
        <f t="array" ref="AU37">SUMIF($H$4:$H$51,AQ37,$W$4:$W$51)</f>
        <v>-5.9999999772727269E-2</v>
      </c>
      <c r="AV37" s="589"/>
      <c r="AW37" s="589"/>
      <c r="AX37" s="589"/>
      <c r="AY37" s="589"/>
      <c r="AZ37" s="589"/>
      <c r="BA37" s="589"/>
      <c r="BB37" s="589"/>
      <c r="BC37" s="589"/>
      <c r="BD37" s="589"/>
      <c r="BE37" s="589"/>
      <c r="BF37" s="589"/>
      <c r="BG37" s="589"/>
      <c r="BH37" s="591">
        <v>34</v>
      </c>
      <c r="BI37" s="589" t="str" cm="1">
        <f t="array" ref="BI37">H37</f>
        <v>Senegal</v>
      </c>
      <c r="BJ37" s="719" cm="1">
        <f t="array" ref="BJ37">COUNTIFS('Inputs summary'!I$2:I$106,BI37)</f>
        <v>1</v>
      </c>
      <c r="BK37" s="719" cm="1">
        <f t="array" ref="BK37">COUNTIFS('Inputs summary'!J$2:K$106,BI37)</f>
        <v>1</v>
      </c>
      <c r="BL37" s="719" cm="1">
        <f t="array" ref="BL37">COUNTIFS('Inputs summary'!L$2:L$106,BI37)</f>
        <v>1</v>
      </c>
      <c r="BM37" s="719" cm="1">
        <f t="array" ref="BM37">BN37-BO37</f>
        <v>1</v>
      </c>
      <c r="BN37" s="719" cm="1">
        <f t="array" ref="BN37">SUMIF('Inputs summary'!$B$1:$B$106,$BI37,'Inputs summary'!$C$1:$C$106)+SUMIF('Inputs summary'!$E$1:$E$106,$BI37,'Inputs summary'!$D$1:$D$106)</f>
        <v>5</v>
      </c>
      <c r="BO37" s="719" cm="1">
        <f t="array" ref="BO37">SUMIF('Inputs summary'!$B$1:$B$106,$BI37,'Inputs summary'!$D$1:$D$106)+SUMIF('Inputs summary'!$E$1:$E$106,$BI37,'Inputs summary'!$C$1:$C$106)</f>
        <v>4</v>
      </c>
      <c r="BP37" s="734" cm="1">
        <f t="array" ref="BP37">BJ37*3+BK37*2+BM37/100+BN37/1000+Y37/100000+AA37/10000000</f>
        <v>5.0150214000000002</v>
      </c>
      <c r="BQ37" s="589"/>
      <c r="BR37" s="589"/>
      <c r="BS37" s="589"/>
    </row>
    <row r="38" spans="1:71" ht="14.25" customHeight="1">
      <c r="A38" s="589"/>
      <c r="B38" s="589"/>
      <c r="C38" s="589"/>
      <c r="D38" s="589"/>
      <c r="E38" s="589"/>
      <c r="F38" s="589"/>
      <c r="G38" s="591">
        <v>35</v>
      </c>
      <c r="H38" s="589" t="str" cm="1">
        <f t="array" ref="H38">'Groups Stage'!O77</f>
        <v>Irak</v>
      </c>
      <c r="I38" s="719" cm="1">
        <f t="array" ref="I38">IF(COUNTIF(AC1:AC51,$H38)&gt;0,I$2,0)</f>
        <v>0</v>
      </c>
      <c r="J38" s="719" cm="1">
        <f t="array" ref="J38">IF(COUNTIF(AD1:AD51,$H38)&gt;0,J$2,0)</f>
        <v>0</v>
      </c>
      <c r="K38" s="719" cm="1">
        <f t="array" ref="K38">IF(COUNTIF(AE1:AE51,$H38)&gt;0,K$2,0)</f>
        <v>0</v>
      </c>
      <c r="L38" s="719" cm="1">
        <f t="array" ref="L38">IF(COUNTIF(AF1:AF51,$H38)&gt;0,L$2,0)</f>
        <v>0</v>
      </c>
      <c r="M38" s="719" cm="1">
        <f t="array" ref="M38">IF(COUNTIF(AG1:AG51,$H38)&gt;0,M$2,0)</f>
        <v>0</v>
      </c>
      <c r="N38" s="719" cm="1">
        <f t="array" ref="N38">IF(COUNTIF(AH1:AH51,$H38)&gt;0,N$2,0)</f>
        <v>0</v>
      </c>
      <c r="O38" s="719" cm="1">
        <f t="array" ref="O38">IF(COUNTIF(AI1:AI51,$H38)&gt;0,O$2,0)</f>
        <v>0</v>
      </c>
      <c r="P38" s="719" cm="1">
        <f t="array" ref="P38">SUM(I38:O38)</f>
        <v>0</v>
      </c>
      <c r="Q38" s="719" cm="1">
        <f t="array" ref="Q38">COUNTIFS('Inputs summary'!I1:I234,$H38)</f>
        <v>0</v>
      </c>
      <c r="R38" s="719" cm="1">
        <f t="array" ref="R38">COUNTIFS('Inputs summary'!J1:K234,$H38)</f>
        <v>0</v>
      </c>
      <c r="S38" s="719" cm="1">
        <f t="array" ref="S38">COUNTIFS('Inputs summary'!L1:L234,$H38)</f>
        <v>3</v>
      </c>
      <c r="T38" s="719" cm="1">
        <f t="array" ref="T38">U38-V38</f>
        <v>-7</v>
      </c>
      <c r="U38" s="719" cm="1">
        <f t="array" ref="U38">SUMIF('Inputs summary'!B1:B234,H38,'Inputs summary'!C1:C234)+SUMIF('Inputs summary'!E1:E234,H38,'Inputs summary'!D1:D234)</f>
        <v>0</v>
      </c>
      <c r="V38" s="719" cm="1">
        <f t="array" ref="V38">SUMIF('Inputs summary'!B1:B234,H38,'Inputs summary'!D1:D234)+SUMIF('Inputs summary'!E1:E234,H38,'Inputs summary'!C1:C234)</f>
        <v>7</v>
      </c>
      <c r="W38" s="730" cm="1">
        <f t="array" ref="W38">P38*100+Q38*3+R38+T38/100+U38/10000+(1/AA38)/100000000</f>
        <v>-6.9999999824561412E-2</v>
      </c>
      <c r="X38" s="731" cm="1">
        <f t="array" ref="X38">SUMPRODUCT(I38:O38,$I$1:$O$1)</f>
        <v>0</v>
      </c>
      <c r="Y38" s="732" cm="1">
        <f t="array" ref="Y38">_xlfn.XLOOKUP(H38,AQ1:AQ51,AR1:AR51,"-",0)</f>
        <v>4</v>
      </c>
      <c r="Z38" s="731" cm="1">
        <f t="array" ref="Z38">W38+(1/Y38)*0.000001</f>
        <v>-6.9999749824561419E-2</v>
      </c>
      <c r="AA38" s="731" cm="1">
        <f t="array" ref="AA38">_xlfn.XLOOKUP(H38,'Ranking FIFA'!B1:B102,'Ranking FIFA'!A1:A102,"--",0)</f>
        <v>57</v>
      </c>
      <c r="AB38" s="589"/>
      <c r="AC38" s="589"/>
      <c r="AD38" s="589"/>
      <c r="AE38" s="589"/>
      <c r="AF38" s="589"/>
      <c r="AG38" s="589"/>
      <c r="AH38" s="589"/>
      <c r="AI38" s="589"/>
      <c r="AJ38" s="589"/>
      <c r="AK38" s="589"/>
      <c r="AL38" s="589"/>
      <c r="AM38" s="589"/>
      <c r="AN38" s="589"/>
      <c r="AO38" s="589"/>
      <c r="AP38" s="592" cm="1">
        <f t="array" ref="AP38">_xlfn.XLOOKUP(AQ38,'Ranking FIFA'!B1:B102,'Ranking FIFA'!A1:A102,"--",0)</f>
        <v>60</v>
      </c>
      <c r="AQ38" s="691" t="s">
        <v>82</v>
      </c>
      <c r="AR38" s="592">
        <v>3</v>
      </c>
      <c r="AS38" s="590"/>
      <c r="AT38" s="733" cm="1">
        <f t="array" ref="AT38">SUMIF($H$4:$H$51,AQ38,$X$4:$X$51)</f>
        <v>0</v>
      </c>
      <c r="AU38" s="734" cm="1">
        <f t="array" ref="AU38">SUMIF($H$4:$H$51,AQ38,$W$4:$W$51)</f>
        <v>-3.9999999833333334E-2</v>
      </c>
      <c r="AV38" s="589"/>
      <c r="AW38" s="589"/>
      <c r="AX38" s="589"/>
      <c r="AY38" s="589"/>
      <c r="AZ38" s="589"/>
      <c r="BA38" s="589"/>
      <c r="BB38" s="589"/>
      <c r="BC38" s="589"/>
      <c r="BD38" s="589"/>
      <c r="BE38" s="589"/>
      <c r="BF38" s="589"/>
      <c r="BG38" s="589"/>
      <c r="BH38" s="591">
        <v>35</v>
      </c>
      <c r="BI38" s="589" t="str" cm="1">
        <f t="array" ref="BI38">H38</f>
        <v>Irak</v>
      </c>
      <c r="BJ38" s="719" cm="1">
        <f t="array" ref="BJ38">COUNTIFS('Inputs summary'!I$2:I$106,BI38)</f>
        <v>0</v>
      </c>
      <c r="BK38" s="719" cm="1">
        <f t="array" ref="BK38">COUNTIFS('Inputs summary'!J$2:K$106,BI38)</f>
        <v>0</v>
      </c>
      <c r="BL38" s="719" cm="1">
        <f t="array" ref="BL38">COUNTIFS('Inputs summary'!L$2:L$106,BI38)</f>
        <v>3</v>
      </c>
      <c r="BM38" s="719" cm="1">
        <f t="array" ref="BM38">BN38-BO38</f>
        <v>-7</v>
      </c>
      <c r="BN38" s="719" cm="1">
        <f t="array" ref="BN38">SUMIF('Inputs summary'!$B$1:$B$106,$BI38,'Inputs summary'!$C$1:$C$106)+SUMIF('Inputs summary'!$E$1:$E$106,$BI38,'Inputs summary'!$D$1:$D$106)</f>
        <v>0</v>
      </c>
      <c r="BO38" s="719" cm="1">
        <f t="array" ref="BO38">SUMIF('Inputs summary'!$B$1:$B$106,$BI38,'Inputs summary'!$D$1:$D$106)+SUMIF('Inputs summary'!$E$1:$E$106,$BI38,'Inputs summary'!$C$1:$C$106)</f>
        <v>7</v>
      </c>
      <c r="BP38" s="734" cm="1">
        <f t="array" ref="BP38">BJ38*3+BK38*2+BM38/100+BN38/1000+Y38/100000+AA38/10000000</f>
        <v>-6.9954300000000011E-2</v>
      </c>
      <c r="BQ38" s="589"/>
      <c r="BR38" s="589"/>
      <c r="BS38" s="589"/>
    </row>
    <row r="39" spans="1:71" ht="14.25" customHeight="1">
      <c r="A39" s="589"/>
      <c r="B39" s="589"/>
      <c r="C39" s="589"/>
      <c r="D39" s="589"/>
      <c r="E39" s="589"/>
      <c r="F39" s="589"/>
      <c r="G39" s="591">
        <v>36</v>
      </c>
      <c r="H39" s="589" t="str" cm="1">
        <f t="array" ref="H39">'Groups Stage'!O78</f>
        <v>Noruega</v>
      </c>
      <c r="I39" s="719" cm="1">
        <f t="array" ref="I39">IF(COUNTIF(AC1:AC51,$H39)&gt;0,I$2,0)</f>
        <v>0</v>
      </c>
      <c r="J39" s="719" cm="1">
        <f t="array" ref="J39">IF(COUNTIF(AD1:AD51,$H39)&gt;0,J$2,0)</f>
        <v>0</v>
      </c>
      <c r="K39" s="719" cm="1">
        <f t="array" ref="K39">IF(COUNTIF(AE1:AE51,$H39)&gt;0,K$2,0)</f>
        <v>0</v>
      </c>
      <c r="L39" s="719" cm="1">
        <f t="array" ref="L39">IF(COUNTIF(AF1:AF51,$H39)&gt;0,L$2,0)</f>
        <v>0</v>
      </c>
      <c r="M39" s="719" cm="1">
        <f t="array" ref="M39">IF(COUNTIF(AG1:AG51,$H39)&gt;0,M$2,0)</f>
        <v>0</v>
      </c>
      <c r="N39" s="719" cm="1">
        <f t="array" ref="N39">IF(COUNTIF(AH1:AH51,$H39)&gt;0,N$2,0)</f>
        <v>0</v>
      </c>
      <c r="O39" s="719" cm="1">
        <f t="array" ref="O39">IF(COUNTIF(AI1:AI51,$H39)&gt;0,O$2,0)</f>
        <v>1</v>
      </c>
      <c r="P39" s="719" cm="1">
        <f t="array" ref="P39">SUM(I39:O39)</f>
        <v>1</v>
      </c>
      <c r="Q39" s="719" cm="1">
        <f t="array" ref="Q39">COUNTIFS('Inputs summary'!I1:I234,$H39)</f>
        <v>1</v>
      </c>
      <c r="R39" s="719" cm="1">
        <f t="array" ref="R39">COUNTIFS('Inputs summary'!J1:K234,$H39)</f>
        <v>1</v>
      </c>
      <c r="S39" s="719" cm="1">
        <f t="array" ref="S39">COUNTIFS('Inputs summary'!L1:L234,$H39)</f>
        <v>2</v>
      </c>
      <c r="T39" s="719" cm="1">
        <f t="array" ref="T39">U39-V39</f>
        <v>0</v>
      </c>
      <c r="U39" s="719" cm="1">
        <f t="array" ref="U39">SUMIF('Inputs summary'!B1:B234,H39,'Inputs summary'!C1:C234)+SUMIF('Inputs summary'!E1:E234,H39,'Inputs summary'!D1:D234)</f>
        <v>6</v>
      </c>
      <c r="V39" s="719" cm="1">
        <f t="array" ref="V39">SUMIF('Inputs summary'!B1:B234,H39,'Inputs summary'!D1:D234)+SUMIF('Inputs summary'!E1:E234,H39,'Inputs summary'!C1:C234)</f>
        <v>6</v>
      </c>
      <c r="W39" s="730" cm="1">
        <f t="array" ref="W39">P39*100+Q39*3+R39+T39/100+U39/10000+(1/AA39)/100000000</f>
        <v>104.00060000032259</v>
      </c>
      <c r="X39" s="731" cm="1">
        <f t="array" ref="X39">SUMPRODUCT(I39:O39,$I$1:$O$1)</f>
        <v>1</v>
      </c>
      <c r="Y39" s="732" cm="1">
        <f t="array" ref="Y39">_xlfn.XLOOKUP(H39,AQ1:AQ51,AR1:AR51,"-",0)</f>
        <v>2</v>
      </c>
      <c r="Z39" s="731" cm="1">
        <f t="array" ref="Z39">W39+(1/Y39)*0.000001</f>
        <v>104.00060050032259</v>
      </c>
      <c r="AA39" s="731" cm="1">
        <f t="array" ref="AA39">_xlfn.XLOOKUP(H39,'Ranking FIFA'!B1:B102,'Ranking FIFA'!A1:A102,"--",0)</f>
        <v>31</v>
      </c>
      <c r="AB39" s="589"/>
      <c r="AC39" s="589"/>
      <c r="AD39" s="589"/>
      <c r="AE39" s="589"/>
      <c r="AF39" s="589"/>
      <c r="AG39" s="589"/>
      <c r="AH39" s="589"/>
      <c r="AI39" s="589"/>
      <c r="AJ39" s="589"/>
      <c r="AK39" s="589"/>
      <c r="AL39" s="589"/>
      <c r="AM39" s="589"/>
      <c r="AN39" s="589"/>
      <c r="AO39" s="589"/>
      <c r="AP39" s="592" cm="1">
        <f t="array" ref="AP39">_xlfn.XLOOKUP(AQ39,'Ranking FIFA'!B1:B102,'Ranking FIFA'!A1:A102,"--",0)</f>
        <v>61</v>
      </c>
      <c r="AQ39" s="745" t="s">
        <v>83</v>
      </c>
      <c r="AR39" s="592">
        <v>3</v>
      </c>
      <c r="AS39" s="590"/>
      <c r="AT39" s="733" cm="1">
        <f t="array" ref="AT39">SUMIF($H$4:$H$51,AQ39,$X$4:$X$51)</f>
        <v>0</v>
      </c>
      <c r="AU39" s="734" cm="1">
        <f t="array" ref="AU39">SUMIF($H$4:$H$51,AQ39,$W$4:$W$51)</f>
        <v>2.990300000163935</v>
      </c>
      <c r="AV39" s="589"/>
      <c r="AW39" s="589"/>
      <c r="AX39" s="589"/>
      <c r="AY39" s="589"/>
      <c r="AZ39" s="589"/>
      <c r="BA39" s="589"/>
      <c r="BB39" s="589"/>
      <c r="BC39" s="589"/>
      <c r="BD39" s="589"/>
      <c r="BE39" s="589"/>
      <c r="BF39" s="589"/>
      <c r="BG39" s="589"/>
      <c r="BH39" s="591">
        <v>36</v>
      </c>
      <c r="BI39" s="589" t="str" cm="1">
        <f t="array" ref="BI39">H39</f>
        <v>Noruega</v>
      </c>
      <c r="BJ39" s="719" cm="1">
        <f t="array" ref="BJ39">COUNTIFS('Inputs summary'!I$2:I$106,BI39)</f>
        <v>1</v>
      </c>
      <c r="BK39" s="719" cm="1">
        <f t="array" ref="BK39">COUNTIFS('Inputs summary'!J$2:K$106,BI39)</f>
        <v>1</v>
      </c>
      <c r="BL39" s="719" cm="1">
        <f t="array" ref="BL39">COUNTIFS('Inputs summary'!L$2:L$106,BI39)</f>
        <v>1</v>
      </c>
      <c r="BM39" s="719" cm="1">
        <f t="array" ref="BM39">BN39-BO39</f>
        <v>1</v>
      </c>
      <c r="BN39" s="719" cm="1">
        <f t="array" ref="BN39">SUMIF('Inputs summary'!$B$1:$B$106,$BI39,'Inputs summary'!$C$1:$C$106)+SUMIF('Inputs summary'!$E$1:$E$106,$BI39,'Inputs summary'!$D$1:$D$106)</f>
        <v>5</v>
      </c>
      <c r="BO39" s="719" cm="1">
        <f t="array" ref="BO39">SUMIF('Inputs summary'!$B$1:$B$106,$BI39,'Inputs summary'!$D$1:$D$106)+SUMIF('Inputs summary'!$E$1:$E$106,$BI39,'Inputs summary'!$C$1:$C$106)</f>
        <v>4</v>
      </c>
      <c r="BP39" s="734" cm="1">
        <f t="array" ref="BP39">BJ39*3+BK39*2+BM39/100+BN39/1000+Y39/100000+AA39/10000000</f>
        <v>5.0150230999999996</v>
      </c>
      <c r="BQ39" s="589"/>
      <c r="BR39" s="589"/>
      <c r="BS39" s="589"/>
    </row>
    <row r="40" spans="1:71" ht="14.25" customHeight="1">
      <c r="A40" s="589"/>
      <c r="B40" s="589"/>
      <c r="C40" s="589"/>
      <c r="D40" s="589"/>
      <c r="E40" s="589"/>
      <c r="F40" s="589"/>
      <c r="G40" s="591">
        <v>37</v>
      </c>
      <c r="H40" s="589" t="str" cm="1">
        <f t="array" ref="H40">'Groups Stage'!O84</f>
        <v>Argentina</v>
      </c>
      <c r="I40" s="719" cm="1">
        <f t="array" ref="I40">IF(COUNTIF(AC1:AC51,$H40)&gt;0,I$2,0)</f>
        <v>0</v>
      </c>
      <c r="J40" s="719" cm="1">
        <f t="array" ref="J40">IF(COUNTIF(AD1:AD51,$H40)&gt;0,J$2,0)</f>
        <v>2</v>
      </c>
      <c r="K40" s="719" cm="1">
        <f t="array" ref="K40">IF(COUNTIF(AE1:AE51,$H40)&gt;0,K$2,0)</f>
        <v>0</v>
      </c>
      <c r="L40" s="719" cm="1">
        <f t="array" ref="L40">IF(COUNTIF(AF1:AF51,$H40)&gt;0,L$2,0)</f>
        <v>1</v>
      </c>
      <c r="M40" s="719" cm="1">
        <f t="array" ref="M40">IF(COUNTIF(AG1:AG51,$H40)&gt;0,M$2,0)</f>
        <v>1</v>
      </c>
      <c r="N40" s="719" cm="1">
        <f t="array" ref="N40">IF(COUNTIF(AH1:AH51,$H40)&gt;0,N$2,0)</f>
        <v>1</v>
      </c>
      <c r="O40" s="719" cm="1">
        <f t="array" ref="O40">IF(COUNTIF(AI1:AI51,$H40)&gt;0,O$2,0)</f>
        <v>1</v>
      </c>
      <c r="P40" s="719" cm="1">
        <f t="array" ref="P40">SUM(I40:O40)</f>
        <v>6</v>
      </c>
      <c r="Q40" s="719" cm="1">
        <f t="array" ref="Q40">COUNTIFS('Inputs summary'!I1:I234,$H40)</f>
        <v>7</v>
      </c>
      <c r="R40" s="719" cm="1">
        <f t="array" ref="R40">COUNTIFS('Inputs summary'!J1:K234,$H40)</f>
        <v>0</v>
      </c>
      <c r="S40" s="719" cm="1">
        <f t="array" ref="S40">COUNTIFS('Inputs summary'!L1:L234,$H40)</f>
        <v>1</v>
      </c>
      <c r="T40" s="719" cm="1">
        <f t="array" ref="T40">U40-V40</f>
        <v>9</v>
      </c>
      <c r="U40" s="719" cm="1">
        <f t="array" ref="U40">SUMIF('Inputs summary'!B1:B234,H40,'Inputs summary'!C1:C234)+SUMIF('Inputs summary'!E1:E234,H40,'Inputs summary'!D1:D234)</f>
        <v>14</v>
      </c>
      <c r="V40" s="719" cm="1">
        <f t="array" ref="V40">SUMIF('Inputs summary'!B1:B234,H40,'Inputs summary'!D1:D234)+SUMIF('Inputs summary'!E1:E234,H40,'Inputs summary'!C1:C234)</f>
        <v>5</v>
      </c>
      <c r="W40" s="730" cm="1">
        <f t="array" ref="W40">P40*100+Q40*3+R40+T40/100+U40/10000+(1/AA40)/100000000</f>
        <v>621.09140000333332</v>
      </c>
      <c r="X40" s="731" cm="1">
        <f t="array" ref="X40">SUMPRODUCT(I40:O40,$I$1:$O$1)</f>
        <v>201111</v>
      </c>
      <c r="Y40" s="732" cm="1">
        <f t="array" ref="Y40">_xlfn.XLOOKUP(H40,AQ1:AQ51,AR1:AR51,"-",0)</f>
        <v>1</v>
      </c>
      <c r="Z40" s="731" cm="1">
        <f t="array" ref="Z40">W40+(1/Y40)*0.000001</f>
        <v>621.09140100333332</v>
      </c>
      <c r="AA40" s="731" cm="1">
        <f t="array" ref="AA40">_xlfn.XLOOKUP(H40,'Ranking FIFA'!B1:B102,'Ranking FIFA'!A1:A102,"--",0)</f>
        <v>3</v>
      </c>
      <c r="AB40" s="589"/>
      <c r="AC40" s="589"/>
      <c r="AD40" s="589"/>
      <c r="AE40" s="589"/>
      <c r="AF40" s="589"/>
      <c r="AG40" s="589"/>
      <c r="AH40" s="589"/>
      <c r="AI40" s="589"/>
      <c r="AJ40" s="589"/>
      <c r="AK40" s="589"/>
      <c r="AL40" s="589"/>
      <c r="AM40" s="589"/>
      <c r="AN40" s="589"/>
      <c r="AO40" s="589"/>
      <c r="AP40" s="746" cm="1">
        <f t="array" ref="AP40">_xlfn.XLOOKUP(AQ40,'Ranking FIFA'!B1:B102,'Ranking FIFA'!A1:A102,"--",0)</f>
        <v>65</v>
      </c>
      <c r="AQ40" s="747" t="s">
        <v>84</v>
      </c>
      <c r="AR40" s="748">
        <v>3</v>
      </c>
      <c r="AS40" s="590"/>
      <c r="AT40" s="733" cm="1">
        <f t="array" ref="AT40">SUMIF($H$4:$H$51,AQ40,$X$4:$X$51)</f>
        <v>0</v>
      </c>
      <c r="AU40" s="734" cm="1">
        <f t="array" ref="AU40">SUMIF($H$4:$H$51,AQ40,$W$4:$W$51)</f>
        <v>0.98010000015384613</v>
      </c>
      <c r="AV40" s="589"/>
      <c r="AW40" s="589"/>
      <c r="AX40" s="589"/>
      <c r="AY40" s="589"/>
      <c r="AZ40" s="589"/>
      <c r="BA40" s="589"/>
      <c r="BB40" s="589"/>
      <c r="BC40" s="589"/>
      <c r="BD40" s="589"/>
      <c r="BE40" s="589"/>
      <c r="BF40" s="589"/>
      <c r="BG40" s="589"/>
      <c r="BH40" s="591">
        <v>37</v>
      </c>
      <c r="BI40" s="589" t="str" cm="1">
        <f t="array" ref="BI40">H40</f>
        <v>Argentina</v>
      </c>
      <c r="BJ40" s="719" cm="1">
        <f t="array" ref="BJ40">COUNTIFS('Inputs summary'!I$2:I$106,BI40)</f>
        <v>3</v>
      </c>
      <c r="BK40" s="719" cm="1">
        <f t="array" ref="BK40">COUNTIFS('Inputs summary'!J$2:K$106,BI40)</f>
        <v>0</v>
      </c>
      <c r="BL40" s="719" cm="1">
        <f t="array" ref="BL40">COUNTIFS('Inputs summary'!L$2:L$106,BI40)</f>
        <v>0</v>
      </c>
      <c r="BM40" s="719" cm="1">
        <f t="array" ref="BM40">BN40-BO40</f>
        <v>5</v>
      </c>
      <c r="BN40" s="719" cm="1">
        <f t="array" ref="BN40">SUMIF('Inputs summary'!$B$1:$B$106,$BI40,'Inputs summary'!$C$1:$C$106)+SUMIF('Inputs summary'!$E$1:$E$106,$BI40,'Inputs summary'!$D$1:$D$106)</f>
        <v>7</v>
      </c>
      <c r="BO40" s="719" cm="1">
        <f t="array" ref="BO40">SUMIF('Inputs summary'!$B$1:$B$106,$BI40,'Inputs summary'!$D$1:$D$106)+SUMIF('Inputs summary'!$E$1:$E$106,$BI40,'Inputs summary'!$C$1:$C$106)</f>
        <v>2</v>
      </c>
      <c r="BP40" s="734" cm="1">
        <f t="array" ref="BP40">BJ40*3+BK40*2+BM40/100+BN40/1000+Y40/100000+AA40/10000000</f>
        <v>9.0570103</v>
      </c>
      <c r="BQ40" s="589"/>
      <c r="BR40" s="589"/>
      <c r="BS40" s="589"/>
    </row>
    <row r="41" spans="1:71" ht="14.25" customHeight="1">
      <c r="A41" s="589"/>
      <c r="B41" s="589"/>
      <c r="C41" s="589"/>
      <c r="D41" s="589"/>
      <c r="E41" s="589"/>
      <c r="F41" s="589"/>
      <c r="G41" s="591">
        <v>38</v>
      </c>
      <c r="H41" s="589" t="str" cm="1">
        <f t="array" ref="H41">'Groups Stage'!O85</f>
        <v>Argelia</v>
      </c>
      <c r="I41" s="719" cm="1">
        <f t="array" ref="I41">IF(COUNTIF(AC1:AC51,$H41)&gt;0,I$2,0)</f>
        <v>0</v>
      </c>
      <c r="J41" s="719" cm="1">
        <f t="array" ref="J41">IF(COUNTIF(AD1:AD51,$H41)&gt;0,J$2,0)</f>
        <v>0</v>
      </c>
      <c r="K41" s="719" cm="1">
        <f t="array" ref="K41">IF(COUNTIF(AE1:AE51,$H41)&gt;0,K$2,0)</f>
        <v>0</v>
      </c>
      <c r="L41" s="719" cm="1">
        <f t="array" ref="L41">IF(COUNTIF(AF1:AF51,$H41)&gt;0,L$2,0)</f>
        <v>0</v>
      </c>
      <c r="M41" s="719" cm="1">
        <f t="array" ref="M41">IF(COUNTIF(AG1:AG51,$H41)&gt;0,M$2,0)</f>
        <v>0</v>
      </c>
      <c r="N41" s="719" cm="1">
        <f t="array" ref="N41">IF(COUNTIF(AH1:AH51,$H41)&gt;0,N$2,0)</f>
        <v>0</v>
      </c>
      <c r="O41" s="719" cm="1">
        <f t="array" ref="O41">IF(COUNTIF(AI1:AI51,$H41)&gt;0,O$2,0)</f>
        <v>1</v>
      </c>
      <c r="P41" s="719" cm="1">
        <f t="array" ref="P41">SUM(I41:O41)</f>
        <v>1</v>
      </c>
      <c r="Q41" s="719" cm="1">
        <f t="array" ref="Q41">COUNTIFS('Inputs summary'!I1:I234,$H41)</f>
        <v>1</v>
      </c>
      <c r="R41" s="719" cm="1">
        <f t="array" ref="R41">COUNTIFS('Inputs summary'!J1:K234,$H41)</f>
        <v>1</v>
      </c>
      <c r="S41" s="719" cm="1">
        <f t="array" ref="S41">COUNTIFS('Inputs summary'!L1:L234,$H41)</f>
        <v>2</v>
      </c>
      <c r="T41" s="719" cm="1">
        <f t="array" ref="T41">U41-V41</f>
        <v>-2</v>
      </c>
      <c r="U41" s="719" cm="1">
        <f t="array" ref="U41">SUMIF('Inputs summary'!B1:B234,H41,'Inputs summary'!C1:C234)+SUMIF('Inputs summary'!E1:E234,H41,'Inputs summary'!D1:D234)</f>
        <v>1</v>
      </c>
      <c r="V41" s="719" cm="1">
        <f t="array" ref="V41">SUMIF('Inputs summary'!B1:B234,H41,'Inputs summary'!D1:D234)+SUMIF('Inputs summary'!E1:E234,H41,'Inputs summary'!C1:C234)</f>
        <v>3</v>
      </c>
      <c r="W41" s="730" cm="1">
        <f t="array" ref="W41">P41*100+Q41*3+R41+T41/100+U41/10000+(1/AA41)/100000000</f>
        <v>103.98010000035715</v>
      </c>
      <c r="X41" s="731" cm="1">
        <f t="array" ref="X41">SUMPRODUCT(I41:O41,$I$1:$O$1)</f>
        <v>1</v>
      </c>
      <c r="Y41" s="732" cm="1">
        <f t="array" ref="Y41">_xlfn.XLOOKUP(H41,AQ1:AQ51,AR1:AR51,"-",0)</f>
        <v>3</v>
      </c>
      <c r="Z41" s="731" cm="1">
        <f t="array" ref="Z41">W41+(1/Y41)*0.000001</f>
        <v>103.98010033369049</v>
      </c>
      <c r="AA41" s="731" cm="1">
        <f t="array" ref="AA41">_xlfn.XLOOKUP(H41,'Ranking FIFA'!B1:B102,'Ranking FIFA'!A1:A102,"--",0)</f>
        <v>28</v>
      </c>
      <c r="AB41" s="589"/>
      <c r="AC41" s="589"/>
      <c r="AD41" s="589"/>
      <c r="AE41" s="589"/>
      <c r="AF41" s="589"/>
      <c r="AG41" s="589"/>
      <c r="AH41" s="589"/>
      <c r="AI41" s="589"/>
      <c r="AJ41" s="589"/>
      <c r="AK41" s="589"/>
      <c r="AL41" s="589"/>
      <c r="AM41" s="589"/>
      <c r="AN41" s="589"/>
      <c r="AO41" s="589"/>
      <c r="AP41" s="592" cm="1">
        <f t="array" ref="AP41">_xlfn.XLOOKUP(AQ41,'Ranking FIFA'!B1:B102,'Ranking FIFA'!A1:A102,"--",0)</f>
        <v>74</v>
      </c>
      <c r="AQ41" s="750" t="s">
        <v>85</v>
      </c>
      <c r="AR41" s="592">
        <v>3</v>
      </c>
      <c r="AS41" s="590"/>
      <c r="AT41" s="733" cm="1">
        <f t="array" ref="AT41">SUMIF($H$4:$H$51,AQ41,$X$4:$X$51)</f>
        <v>1</v>
      </c>
      <c r="AU41" s="734" cm="1">
        <f t="array" ref="AU41">SUMIF($H$4:$H$51,AQ41,$W$4:$W$51)</f>
        <v>103.99050000013513</v>
      </c>
      <c r="AV41" s="589"/>
      <c r="AW41" s="589"/>
      <c r="AX41" s="589"/>
      <c r="AY41" s="589"/>
      <c r="AZ41" s="589"/>
      <c r="BA41" s="589"/>
      <c r="BB41" s="589"/>
      <c r="BC41" s="589"/>
      <c r="BD41" s="589"/>
      <c r="BE41" s="589"/>
      <c r="BF41" s="589"/>
      <c r="BG41" s="589"/>
      <c r="BH41" s="591">
        <v>38</v>
      </c>
      <c r="BI41" s="589" t="str" cm="1">
        <f t="array" ref="BI41">H41</f>
        <v>Argelia</v>
      </c>
      <c r="BJ41" s="719" cm="1">
        <f t="array" ref="BJ41">COUNTIFS('Inputs summary'!I$2:I$106,BI41)</f>
        <v>1</v>
      </c>
      <c r="BK41" s="719" cm="1">
        <f t="array" ref="BK41">COUNTIFS('Inputs summary'!J$2:K$106,BI41)</f>
        <v>1</v>
      </c>
      <c r="BL41" s="719" cm="1">
        <f t="array" ref="BL41">COUNTIFS('Inputs summary'!L$2:L$106,BI41)</f>
        <v>1</v>
      </c>
      <c r="BM41" s="719" cm="1">
        <f t="array" ref="BM41">BN41-BO41</f>
        <v>-1</v>
      </c>
      <c r="BN41" s="719" cm="1">
        <f t="array" ref="BN41">SUMIF('Inputs summary'!$B$1:$B$106,$BI41,'Inputs summary'!$C$1:$C$106)+SUMIF('Inputs summary'!$E$1:$E$106,$BI41,'Inputs summary'!$D$1:$D$106)</f>
        <v>1</v>
      </c>
      <c r="BO41" s="719" cm="1">
        <f t="array" ref="BO41">SUMIF('Inputs summary'!$B$1:$B$106,$BI41,'Inputs summary'!$D$1:$D$106)+SUMIF('Inputs summary'!$E$1:$E$106,$BI41,'Inputs summary'!$C$1:$C$106)</f>
        <v>2</v>
      </c>
      <c r="BP41" s="734" cm="1">
        <f t="array" ref="BP41">BJ41*3+BK41*2+BM41/100+BN41/1000+Y41/100000+AA41/10000000</f>
        <v>4.9910328000000002</v>
      </c>
      <c r="BQ41" s="589"/>
      <c r="BR41" s="589"/>
      <c r="BS41" s="589"/>
    </row>
    <row r="42" spans="1:71" ht="14.25" customHeight="1">
      <c r="A42" s="589"/>
      <c r="B42" s="589"/>
      <c r="C42" s="589"/>
      <c r="D42" s="589"/>
      <c r="E42" s="589"/>
      <c r="F42" s="589"/>
      <c r="G42" s="591">
        <v>39</v>
      </c>
      <c r="H42" s="589" t="str" cm="1">
        <f t="array" ref="H42">'Groups Stage'!O86</f>
        <v>Austria</v>
      </c>
      <c r="I42" s="719" cm="1">
        <f t="array" ref="I42">IF(COUNTIF(AC1:AC51,$H42)&gt;0,I$2,0)</f>
        <v>0</v>
      </c>
      <c r="J42" s="719" cm="1">
        <f t="array" ref="J42">IF(COUNTIF(AD1:AD51,$H42)&gt;0,J$2,0)</f>
        <v>0</v>
      </c>
      <c r="K42" s="719" cm="1">
        <f t="array" ref="K42">IF(COUNTIF(AE1:AE51,$H42)&gt;0,K$2,0)</f>
        <v>0</v>
      </c>
      <c r="L42" s="719" cm="1">
        <f t="array" ref="L42">IF(COUNTIF(AF1:AF51,$H42)&gt;0,L$2,0)</f>
        <v>0</v>
      </c>
      <c r="M42" s="719" cm="1">
        <f t="array" ref="M42">IF(COUNTIF(AG1:AG51,$H42)&gt;0,M$2,0)</f>
        <v>0</v>
      </c>
      <c r="N42" s="719" cm="1">
        <f t="array" ref="N42">IF(COUNTIF(AH1:AH51,$H42)&gt;0,N$2,0)</f>
        <v>0</v>
      </c>
      <c r="O42" s="719" cm="1">
        <f t="array" ref="O42">IF(COUNTIF(AI1:AI51,$H42)&gt;0,O$2,0)</f>
        <v>1</v>
      </c>
      <c r="P42" s="719" cm="1">
        <f t="array" ref="P42">SUM(I42:O42)</f>
        <v>1</v>
      </c>
      <c r="Q42" s="719" cm="1">
        <f t="array" ref="Q42">COUNTIFS('Inputs summary'!I1:I234,$H42)</f>
        <v>1</v>
      </c>
      <c r="R42" s="719" cm="1">
        <f t="array" ref="R42">COUNTIFS('Inputs summary'!J1:K234,$H42)</f>
        <v>1</v>
      </c>
      <c r="S42" s="719" cm="1">
        <f t="array" ref="S42">COUNTIFS('Inputs summary'!L1:L234,$H42)</f>
        <v>2</v>
      </c>
      <c r="T42" s="719" cm="1">
        <f t="array" ref="T42">U42-V42</f>
        <v>-2</v>
      </c>
      <c r="U42" s="719" cm="1">
        <f t="array" ref="U42">SUMIF('Inputs summary'!B1:B234,H42,'Inputs summary'!C1:C234)+SUMIF('Inputs summary'!E1:E234,H42,'Inputs summary'!D1:D234)</f>
        <v>3</v>
      </c>
      <c r="V42" s="719" cm="1">
        <f t="array" ref="V42">SUMIF('Inputs summary'!B1:B234,H42,'Inputs summary'!D1:D234)+SUMIF('Inputs summary'!E1:E234,H42,'Inputs summary'!C1:C234)</f>
        <v>5</v>
      </c>
      <c r="W42" s="730" cm="1">
        <f t="array" ref="W42">P42*100+Q42*3+R42+T42/100+U42/10000+(1/AA42)/100000000</f>
        <v>103.98030000041666</v>
      </c>
      <c r="X42" s="731" cm="1">
        <f t="array" ref="X42">SUMPRODUCT(I42:O42,$I$1:$O$1)</f>
        <v>1</v>
      </c>
      <c r="Y42" s="732" cm="1">
        <f t="array" ref="Y42">_xlfn.XLOOKUP(H42,AQ1:AQ51,AR1:AR51,"-",0)</f>
        <v>3</v>
      </c>
      <c r="Z42" s="731" cm="1">
        <f t="array" ref="Z42">W42+(1/Y42)*0.000001</f>
        <v>103.98030033374999</v>
      </c>
      <c r="AA42" s="731" cm="1">
        <f t="array" ref="AA42">_xlfn.XLOOKUP(H42,'Ranking FIFA'!B1:B102,'Ranking FIFA'!A1:A102,"--",0)</f>
        <v>24</v>
      </c>
      <c r="AB42" s="589"/>
      <c r="AC42" s="589"/>
      <c r="AD42" s="589"/>
      <c r="AE42" s="589"/>
      <c r="AF42" s="589"/>
      <c r="AG42" s="589"/>
      <c r="AH42" s="589"/>
      <c r="AI42" s="589"/>
      <c r="AJ42" s="589"/>
      <c r="AK42" s="589"/>
      <c r="AL42" s="589"/>
      <c r="AM42" s="589"/>
      <c r="AN42" s="589"/>
      <c r="AO42" s="589"/>
      <c r="AP42" s="592" cm="1">
        <f t="array" ref="AP42">_xlfn.XLOOKUP(AQ42,'Ranking FIFA'!B1:B102,'Ranking FIFA'!A1:A102,"--",0)</f>
        <v>21</v>
      </c>
      <c r="AQ42" s="745" t="s">
        <v>86</v>
      </c>
      <c r="AR42" s="592">
        <v>3</v>
      </c>
      <c r="AS42" s="590"/>
      <c r="AT42" s="733" cm="1">
        <f t="array" ref="AT42">SUMIF($H$4:$H$51,AQ42,$X$4:$X$51)</f>
        <v>0</v>
      </c>
      <c r="AU42" s="734" cm="1">
        <f t="array" ref="AU42">SUMIF($H$4:$H$51,AQ42,$W$4:$W$51)</f>
        <v>0.97030000047619047</v>
      </c>
      <c r="AV42" s="589"/>
      <c r="AW42" s="589"/>
      <c r="AX42" s="589"/>
      <c r="AY42" s="589"/>
      <c r="AZ42" s="589"/>
      <c r="BA42" s="589"/>
      <c r="BB42" s="589"/>
      <c r="BC42" s="589"/>
      <c r="BD42" s="589"/>
      <c r="BE42" s="589"/>
      <c r="BF42" s="589"/>
      <c r="BG42" s="589"/>
      <c r="BH42" s="591">
        <v>39</v>
      </c>
      <c r="BI42" s="589" t="str" cm="1">
        <f t="array" ref="BI42">H42</f>
        <v>Austria</v>
      </c>
      <c r="BJ42" s="719" cm="1">
        <f t="array" ref="BJ42">COUNTIFS('Inputs summary'!I$2:I$106,BI42)</f>
        <v>1</v>
      </c>
      <c r="BK42" s="719" cm="1">
        <f t="array" ref="BK42">COUNTIFS('Inputs summary'!J$2:K$106,BI42)</f>
        <v>1</v>
      </c>
      <c r="BL42" s="719" cm="1">
        <f t="array" ref="BL42">COUNTIFS('Inputs summary'!L$2:L$106,BI42)</f>
        <v>1</v>
      </c>
      <c r="BM42" s="719" cm="1">
        <f t="array" ref="BM42">BN42-BO42</f>
        <v>0</v>
      </c>
      <c r="BN42" s="719" cm="1">
        <f t="array" ref="BN42">SUMIF('Inputs summary'!$B$1:$B$106,$BI42,'Inputs summary'!$C$1:$C$106)+SUMIF('Inputs summary'!$E$1:$E$106,$BI42,'Inputs summary'!$D$1:$D$106)</f>
        <v>3</v>
      </c>
      <c r="BO42" s="719" cm="1">
        <f t="array" ref="BO42">SUMIF('Inputs summary'!$B$1:$B$106,$BI42,'Inputs summary'!$D$1:$D$106)+SUMIF('Inputs summary'!$E$1:$E$106,$BI42,'Inputs summary'!$C$1:$C$106)</f>
        <v>3</v>
      </c>
      <c r="BP42" s="734" cm="1">
        <f t="array" ref="BP42">BJ42*3+BK42*2+BM42/100+BN42/1000+Y42/100000+AA42/10000000</f>
        <v>5.0030323999999995</v>
      </c>
      <c r="BQ42" s="589"/>
      <c r="BR42" s="589"/>
      <c r="BS42" s="589"/>
    </row>
    <row r="43" spans="1:71" ht="14.25" customHeight="1">
      <c r="A43" s="589"/>
      <c r="B43" s="589"/>
      <c r="C43" s="589"/>
      <c r="D43" s="589"/>
      <c r="E43" s="589"/>
      <c r="F43" s="589"/>
      <c r="G43" s="591">
        <v>40</v>
      </c>
      <c r="H43" s="589" t="str" cm="1">
        <f t="array" ref="H43">'Groups Stage'!O87</f>
        <v>Jordania</v>
      </c>
      <c r="I43" s="719" cm="1">
        <f t="array" ref="I43">IF(COUNTIF(AC1:AC51,$H43)&gt;0,I$2,0)</f>
        <v>0</v>
      </c>
      <c r="J43" s="719" cm="1">
        <f t="array" ref="J43">IF(COUNTIF(AD1:AD51,$H43)&gt;0,J$2,0)</f>
        <v>0</v>
      </c>
      <c r="K43" s="719" cm="1">
        <f t="array" ref="K43">IF(COUNTIF(AE1:AE51,$H43)&gt;0,K$2,0)</f>
        <v>0</v>
      </c>
      <c r="L43" s="719" cm="1">
        <f t="array" ref="L43">IF(COUNTIF(AF1:AF51,$H43)&gt;0,L$2,0)</f>
        <v>0</v>
      </c>
      <c r="M43" s="719" cm="1">
        <f t="array" ref="M43">IF(COUNTIF(AG1:AG51,$H43)&gt;0,M$2,0)</f>
        <v>0</v>
      </c>
      <c r="N43" s="719" cm="1">
        <f t="array" ref="N43">IF(COUNTIF(AH1:AH51,$H43)&gt;0,N$2,0)</f>
        <v>0</v>
      </c>
      <c r="O43" s="719" cm="1">
        <f t="array" ref="O43">IF(COUNTIF(AI1:AI51,$H43)&gt;0,O$2,0)</f>
        <v>0</v>
      </c>
      <c r="P43" s="719" cm="1">
        <f t="array" ref="P43">SUM(I43:O43)</f>
        <v>0</v>
      </c>
      <c r="Q43" s="719" cm="1">
        <f t="array" ref="Q43">COUNTIFS('Inputs summary'!I1:I234,$H43)</f>
        <v>0</v>
      </c>
      <c r="R43" s="719" cm="1">
        <f t="array" ref="R43">COUNTIFS('Inputs summary'!J1:K234,$H43)</f>
        <v>0</v>
      </c>
      <c r="S43" s="719" cm="1">
        <f t="array" ref="S43">COUNTIFS('Inputs summary'!L1:L234,$H43)</f>
        <v>3</v>
      </c>
      <c r="T43" s="719" cm="1">
        <f t="array" ref="T43">U43-V43</f>
        <v>-4</v>
      </c>
      <c r="U43" s="719" cm="1">
        <f t="array" ref="U43">SUMIF('Inputs summary'!B1:B234,H43,'Inputs summary'!C1:C234)+SUMIF('Inputs summary'!E1:E234,H43,'Inputs summary'!D1:D234)</f>
        <v>2</v>
      </c>
      <c r="V43" s="719" cm="1">
        <f t="array" ref="V43">SUMIF('Inputs summary'!B1:B234,H43,'Inputs summary'!D1:D234)+SUMIF('Inputs summary'!E1:E234,H43,'Inputs summary'!C1:C234)</f>
        <v>6</v>
      </c>
      <c r="W43" s="730" cm="1">
        <f t="array" ref="W43">P43*100+Q43*3+R43+T43/100+U43/10000+(1/AA43)/100000000</f>
        <v>-3.9799999841269841E-2</v>
      </c>
      <c r="X43" s="731" cm="1">
        <f t="array" ref="X43">SUMPRODUCT(I43:O43,$I$1:$O$1)</f>
        <v>0</v>
      </c>
      <c r="Y43" s="732" cm="1">
        <f t="array" ref="Y43">_xlfn.XLOOKUP(H43,AQ1:AQ51,AR1:AR51,"-",0)</f>
        <v>4</v>
      </c>
      <c r="Z43" s="731" cm="1">
        <f t="array" ref="Z43">W43+(1/Y43)*0.000001</f>
        <v>-3.9799749841269841E-2</v>
      </c>
      <c r="AA43" s="731" cm="1">
        <f t="array" ref="AA43">_xlfn.XLOOKUP(H43,'Ranking FIFA'!B1:B102,'Ranking FIFA'!A1:A102,"--",0)</f>
        <v>63</v>
      </c>
      <c r="AB43" s="589"/>
      <c r="AC43" s="589"/>
      <c r="AD43" s="589"/>
      <c r="AE43" s="589"/>
      <c r="AF43" s="589"/>
      <c r="AG43" s="589"/>
      <c r="AH43" s="589"/>
      <c r="AI43" s="589"/>
      <c r="AJ43" s="589"/>
      <c r="AK43" s="589"/>
      <c r="AL43" s="589"/>
      <c r="AM43" s="589"/>
      <c r="AN43" s="589"/>
      <c r="AO43" s="589"/>
      <c r="AP43" s="746" cm="1">
        <f t="array" ref="AP43">_xlfn.XLOOKUP(AQ43,'Ranking FIFA'!B1:B102,'Ranking FIFA'!A1:A102,"--",0)</f>
        <v>46</v>
      </c>
      <c r="AQ43" s="747" t="s">
        <v>87</v>
      </c>
      <c r="AR43" s="748">
        <v>4</v>
      </c>
      <c r="AS43" s="590"/>
      <c r="AT43" s="733" cm="1">
        <f t="array" ref="AT43">SUMIF($H$4:$H$51,AQ43,$X$4:$X$51)</f>
        <v>0</v>
      </c>
      <c r="AU43" s="734" cm="1">
        <f t="array" ref="AU43">SUMIF($H$4:$H$51,AQ43,$W$4:$W$51)</f>
        <v>0.95020000021739126</v>
      </c>
      <c r="AV43" s="589"/>
      <c r="AW43" s="589"/>
      <c r="AX43" s="589"/>
      <c r="AY43" s="589"/>
      <c r="AZ43" s="589"/>
      <c r="BA43" s="589"/>
      <c r="BB43" s="589"/>
      <c r="BC43" s="589"/>
      <c r="BD43" s="589"/>
      <c r="BE43" s="589"/>
      <c r="BF43" s="589"/>
      <c r="BG43" s="589"/>
      <c r="BH43" s="591">
        <v>40</v>
      </c>
      <c r="BI43" s="589" t="str" cm="1">
        <f t="array" ref="BI43">H43</f>
        <v>Jordania</v>
      </c>
      <c r="BJ43" s="719" cm="1">
        <f t="array" ref="BJ43">COUNTIFS('Inputs summary'!I$2:I$106,BI43)</f>
        <v>0</v>
      </c>
      <c r="BK43" s="719" cm="1">
        <f t="array" ref="BK43">COUNTIFS('Inputs summary'!J$2:K$106,BI43)</f>
        <v>0</v>
      </c>
      <c r="BL43" s="719" cm="1">
        <f t="array" ref="BL43">COUNTIFS('Inputs summary'!L$2:L$106,BI43)</f>
        <v>3</v>
      </c>
      <c r="BM43" s="719" cm="1">
        <f t="array" ref="BM43">BN43-BO43</f>
        <v>-4</v>
      </c>
      <c r="BN43" s="719" cm="1">
        <f t="array" ref="BN43">SUMIF('Inputs summary'!$B$1:$B$106,$BI43,'Inputs summary'!$C$1:$C$106)+SUMIF('Inputs summary'!$E$1:$E$106,$BI43,'Inputs summary'!$D$1:$D$106)</f>
        <v>2</v>
      </c>
      <c r="BO43" s="719" cm="1">
        <f t="array" ref="BO43">SUMIF('Inputs summary'!$B$1:$B$106,$BI43,'Inputs summary'!$D$1:$D$106)+SUMIF('Inputs summary'!$E$1:$E$106,$BI43,'Inputs summary'!$C$1:$C$106)</f>
        <v>6</v>
      </c>
      <c r="BP43" s="734" cm="1">
        <f t="array" ref="BP43">BJ43*3+BK43*2+BM43/100+BN43/1000+Y43/100000+AA43/10000000</f>
        <v>-3.79537E-2</v>
      </c>
      <c r="BQ43" s="589"/>
      <c r="BR43" s="589"/>
      <c r="BS43" s="589"/>
    </row>
    <row r="44" spans="1:71" ht="14.25" customHeight="1">
      <c r="A44" s="589"/>
      <c r="B44" s="589"/>
      <c r="C44" s="589"/>
      <c r="D44" s="589"/>
      <c r="E44" s="589"/>
      <c r="F44" s="589"/>
      <c r="G44" s="591">
        <v>41</v>
      </c>
      <c r="H44" s="589" t="str" cm="1">
        <f t="array" ref="H44">'Groups Stage'!O93</f>
        <v>Portugal</v>
      </c>
      <c r="I44" s="719" cm="1">
        <f t="array" ref="I44">IF(COUNTIF(AC1:AC51,$H44)&gt;0,I$2,0)</f>
        <v>0</v>
      </c>
      <c r="J44" s="719" cm="1">
        <f t="array" ref="J44">IF(COUNTIF(AD1:AD51,$H44)&gt;0,J$2,0)</f>
        <v>0</v>
      </c>
      <c r="K44" s="719" cm="1">
        <f t="array" ref="K44">IF(COUNTIF(AE1:AE51,$H44)&gt;0,K$2,0)</f>
        <v>0</v>
      </c>
      <c r="L44" s="719" cm="1">
        <f t="array" ref="L44">IF(COUNTIF(AF1:AF51,$H44)&gt;0,L$2,0)</f>
        <v>0</v>
      </c>
      <c r="M44" s="719" cm="1">
        <f t="array" ref="M44">IF(COUNTIF(AG1:AG51,$H44)&gt;0,M$2,0)</f>
        <v>1</v>
      </c>
      <c r="N44" s="719" cm="1">
        <f t="array" ref="N44">IF(COUNTIF(AH1:AH51,$H44)&gt;0,N$2,0)</f>
        <v>1</v>
      </c>
      <c r="O44" s="719" cm="1">
        <f t="array" ref="O44">IF(COUNTIF(AI1:AI51,$H44)&gt;0,O$2,0)</f>
        <v>1</v>
      </c>
      <c r="P44" s="719" cm="1">
        <f t="array" ref="P44">SUM(I44:O44)</f>
        <v>3</v>
      </c>
      <c r="Q44" s="719" cm="1">
        <f t="array" ref="Q44">COUNTIFS('Inputs summary'!I1:I234,$H44)</f>
        <v>4</v>
      </c>
      <c r="R44" s="719" cm="1">
        <f t="array" ref="R44">COUNTIFS('Inputs summary'!J1:K234,$H44)</f>
        <v>1</v>
      </c>
      <c r="S44" s="719" cm="1">
        <f t="array" ref="S44">COUNTIFS('Inputs summary'!L1:L234,$H44)</f>
        <v>1</v>
      </c>
      <c r="T44" s="719" cm="1">
        <f t="array" ref="T44">U44-V44</f>
        <v>7</v>
      </c>
      <c r="U44" s="719" cm="1">
        <f t="array" ref="U44">SUMIF('Inputs summary'!B1:B234,H44,'Inputs summary'!C1:C234)+SUMIF('Inputs summary'!E1:E234,H44,'Inputs summary'!D1:D234)</f>
        <v>12</v>
      </c>
      <c r="V44" s="719" cm="1">
        <f t="array" ref="V44">SUMIF('Inputs summary'!B1:B234,H44,'Inputs summary'!D1:D234)+SUMIF('Inputs summary'!E1:E234,H44,'Inputs summary'!C1:C234)</f>
        <v>5</v>
      </c>
      <c r="W44" s="730" cm="1">
        <f t="array" ref="W44">P44*100+Q44*3+R44+T44/100+U44/10000+(1/AA44)/100000000</f>
        <v>313.07120000199996</v>
      </c>
      <c r="X44" s="731" cm="1">
        <f t="array" ref="X44">SUMPRODUCT(I44:O44,$I$1:$O$1)</f>
        <v>111</v>
      </c>
      <c r="Y44" s="732" cm="1">
        <f t="array" ref="Y44">_xlfn.XLOOKUP(H44,AQ1:AQ51,AR1:AR51,"-",0)</f>
        <v>1</v>
      </c>
      <c r="Z44" s="731" cm="1">
        <f t="array" ref="Z44">W44+(1/Y44)*0.000001</f>
        <v>313.07120100199995</v>
      </c>
      <c r="AA44" s="731" cm="1">
        <f t="array" ref="AA44">_xlfn.XLOOKUP(H44,'Ranking FIFA'!B1:B102,'Ranking FIFA'!A1:A102,"--",0)</f>
        <v>5</v>
      </c>
      <c r="AB44" s="589"/>
      <c r="AC44" s="589"/>
      <c r="AD44" s="589"/>
      <c r="AE44" s="589"/>
      <c r="AF44" s="589"/>
      <c r="AG44" s="589"/>
      <c r="AH44" s="589"/>
      <c r="AI44" s="589"/>
      <c r="AJ44" s="589"/>
      <c r="AK44" s="589"/>
      <c r="AL44" s="589"/>
      <c r="AM44" s="589"/>
      <c r="AN44" s="589"/>
      <c r="AO44" s="589"/>
      <c r="AP44" s="592" cm="1">
        <f t="array" ref="AP44">_xlfn.XLOOKUP(AQ44,'Ranking FIFA'!B1:B102,'Ranking FIFA'!A1:A102,"--",0)</f>
        <v>50</v>
      </c>
      <c r="AQ44" s="750" t="s">
        <v>88</v>
      </c>
      <c r="AR44" s="592">
        <v>4</v>
      </c>
      <c r="AS44" s="590"/>
      <c r="AT44" s="733" cm="1">
        <f t="array" ref="AT44">SUMIF($H$4:$H$51,AQ44,$X$4:$X$51)</f>
        <v>0</v>
      </c>
      <c r="AU44" s="734" cm="1">
        <f t="array" ref="AU44">SUMIF($H$4:$H$51,AQ44,$W$4:$W$51)</f>
        <v>0.95010000019999996</v>
      </c>
      <c r="AV44" s="589"/>
      <c r="AW44" s="589"/>
      <c r="AX44" s="589"/>
      <c r="AY44" s="589"/>
      <c r="AZ44" s="589"/>
      <c r="BA44" s="589"/>
      <c r="BB44" s="589"/>
      <c r="BC44" s="589"/>
      <c r="BD44" s="589"/>
      <c r="BE44" s="589"/>
      <c r="BF44" s="589"/>
      <c r="BG44" s="589"/>
      <c r="BH44" s="591">
        <v>41</v>
      </c>
      <c r="BI44" s="589" t="str" cm="1">
        <f t="array" ref="BI44">H44</f>
        <v>Portugal</v>
      </c>
      <c r="BJ44" s="719" cm="1">
        <f t="array" ref="BJ44">COUNTIFS('Inputs summary'!I$2:I$106,BI44)</f>
        <v>2</v>
      </c>
      <c r="BK44" s="719" cm="1">
        <f t="array" ref="BK44">COUNTIFS('Inputs summary'!J$2:K$106,BI44)</f>
        <v>1</v>
      </c>
      <c r="BL44" s="719" cm="1">
        <f t="array" ref="BL44">COUNTIFS('Inputs summary'!L$2:L$106,BI44)</f>
        <v>0</v>
      </c>
      <c r="BM44" s="719" cm="1">
        <f t="array" ref="BM44">BN44-BO44</f>
        <v>6</v>
      </c>
      <c r="BN44" s="719" cm="1">
        <f t="array" ref="BN44">SUMIF('Inputs summary'!$B$1:$B$106,$BI44,'Inputs summary'!$C$1:$C$106)+SUMIF('Inputs summary'!$E$1:$E$106,$BI44,'Inputs summary'!$D$1:$D$106)</f>
        <v>7</v>
      </c>
      <c r="BO44" s="719" cm="1">
        <f t="array" ref="BO44">SUMIF('Inputs summary'!$B$1:$B$106,$BI44,'Inputs summary'!$D$1:$D$106)+SUMIF('Inputs summary'!$E$1:$E$106,$BI44,'Inputs summary'!$C$1:$C$106)</f>
        <v>1</v>
      </c>
      <c r="BP44" s="734" cm="1">
        <f t="array" ref="BP44">BJ44*3+BK44*2+BM44/100+BN44/1000+Y44/100000+AA44/10000000</f>
        <v>8.0670105000000003</v>
      </c>
      <c r="BQ44" s="589"/>
      <c r="BR44" s="589"/>
      <c r="BS44" s="589"/>
    </row>
    <row r="45" spans="1:71" ht="14.25" customHeight="1">
      <c r="A45" s="589"/>
      <c r="B45" s="589"/>
      <c r="C45" s="589"/>
      <c r="D45" s="589"/>
      <c r="E45" s="589"/>
      <c r="F45" s="589"/>
      <c r="G45" s="591">
        <v>42</v>
      </c>
      <c r="H45" s="589" t="str" cm="1">
        <f t="array" ref="H45">'Groups Stage'!O94</f>
        <v>Congo</v>
      </c>
      <c r="I45" s="719" cm="1">
        <f t="array" ref="I45">IF(COUNTIF(AC1:AC51,$H45)&gt;0,I$2,0)</f>
        <v>0</v>
      </c>
      <c r="J45" s="719" cm="1">
        <f t="array" ref="J45">IF(COUNTIF(AD1:AD51,$H45)&gt;0,J$2,0)</f>
        <v>0</v>
      </c>
      <c r="K45" s="719" cm="1">
        <f t="array" ref="K45">IF(COUNTIF(AE1:AE51,$H45)&gt;0,K$2,0)</f>
        <v>0</v>
      </c>
      <c r="L45" s="719" cm="1">
        <f t="array" ref="L45">IF(COUNTIF(AF1:AF51,$H45)&gt;0,L$2,0)</f>
        <v>0</v>
      </c>
      <c r="M45" s="719" cm="1">
        <f t="array" ref="M45">IF(COUNTIF(AG1:AG51,$H45)&gt;0,M$2,0)</f>
        <v>0</v>
      </c>
      <c r="N45" s="719" cm="1">
        <f t="array" ref="N45">IF(COUNTIF(AH1:AH51,$H45)&gt;0,N$2,0)</f>
        <v>0</v>
      </c>
      <c r="O45" s="719" cm="1">
        <f t="array" ref="O45">IF(COUNTIF(AI1:AI51,$H45)&gt;0,O$2,0)</f>
        <v>0</v>
      </c>
      <c r="P45" s="719" cm="1">
        <f t="array" ref="P45">SUM(I45:O45)</f>
        <v>0</v>
      </c>
      <c r="Q45" s="719" cm="1">
        <f t="array" ref="Q45">COUNTIFS('Inputs summary'!I1:I234,$H45)</f>
        <v>0</v>
      </c>
      <c r="R45" s="719" cm="1">
        <f t="array" ref="R45">COUNTIFS('Inputs summary'!J1:K234,$H45)</f>
        <v>1</v>
      </c>
      <c r="S45" s="719" cm="1">
        <f t="array" ref="S45">COUNTIFS('Inputs summary'!L1:L234,$H45)</f>
        <v>2</v>
      </c>
      <c r="T45" s="719" cm="1">
        <f t="array" ref="T45">U45-V45</f>
        <v>-5</v>
      </c>
      <c r="U45" s="719" cm="1">
        <f t="array" ref="U45">SUMIF('Inputs summary'!B1:B234,H45,'Inputs summary'!C1:C234)+SUMIF('Inputs summary'!E1:E234,H45,'Inputs summary'!D1:D234)</f>
        <v>2</v>
      </c>
      <c r="V45" s="719" cm="1">
        <f t="array" ref="V45">SUMIF('Inputs summary'!B1:B234,H45,'Inputs summary'!D1:D234)+SUMIF('Inputs summary'!E1:E234,H45,'Inputs summary'!C1:C234)</f>
        <v>7</v>
      </c>
      <c r="W45" s="730" cm="1">
        <f t="array" ref="W45">P45*100+Q45*3+R45+T45/100+U45/10000+(1/AA45)/100000000</f>
        <v>0.95020000021739126</v>
      </c>
      <c r="X45" s="731" cm="1">
        <f t="array" ref="X45">SUMPRODUCT(I45:O45,$I$1:$O$1)</f>
        <v>0</v>
      </c>
      <c r="Y45" s="732" cm="1">
        <f t="array" ref="Y45">_xlfn.XLOOKUP(H45,AQ1:AQ51,AR1:AR51,"-",0)</f>
        <v>4</v>
      </c>
      <c r="Z45" s="731" cm="1">
        <f t="array" ref="Z45">W45+(1/Y45)*0.000001</f>
        <v>0.9502002502173913</v>
      </c>
      <c r="AA45" s="731" cm="1">
        <f t="array" ref="AA45">_xlfn.XLOOKUP(H45,'Ranking FIFA'!B1:B102,'Ranking FIFA'!A1:A102,"--",0)</f>
        <v>46</v>
      </c>
      <c r="AB45" s="589"/>
      <c r="AC45" s="589"/>
      <c r="AD45" s="589"/>
      <c r="AE45" s="589"/>
      <c r="AF45" s="589"/>
      <c r="AG45" s="589"/>
      <c r="AH45" s="589"/>
      <c r="AI45" s="589"/>
      <c r="AJ45" s="589"/>
      <c r="AK45" s="589"/>
      <c r="AL45" s="589"/>
      <c r="AM45" s="589"/>
      <c r="AN45" s="589"/>
      <c r="AO45" s="589"/>
      <c r="AP45" s="592" cm="1">
        <f t="array" ref="AP45">_xlfn.XLOOKUP(AQ45,'Ranking FIFA'!B1:B102,'Ranking FIFA'!A1:A102,"--",0)</f>
        <v>55</v>
      </c>
      <c r="AQ45" s="745" t="s">
        <v>89</v>
      </c>
      <c r="AR45" s="592">
        <v>4</v>
      </c>
      <c r="AS45" s="590"/>
      <c r="AT45" s="733" cm="1">
        <f t="array" ref="AT45">SUMIF($H$4:$H$51,AQ45,$X$4:$X$51)</f>
        <v>0</v>
      </c>
      <c r="AU45" s="734" cm="1">
        <f t="array" ref="AU45">SUMIF($H$4:$H$51,AQ45,$W$4:$W$51)</f>
        <v>0.96010000018181818</v>
      </c>
      <c r="AV45" s="589"/>
      <c r="AW45" s="589"/>
      <c r="AX45" s="589"/>
      <c r="AY45" s="589"/>
      <c r="AZ45" s="589"/>
      <c r="BA45" s="589"/>
      <c r="BB45" s="589"/>
      <c r="BC45" s="589"/>
      <c r="BD45" s="589"/>
      <c r="BE45" s="589"/>
      <c r="BF45" s="589"/>
      <c r="BG45" s="589"/>
      <c r="BH45" s="591">
        <v>42</v>
      </c>
      <c r="BI45" s="589" t="str" cm="1">
        <f t="array" ref="BI45">H45</f>
        <v>Congo</v>
      </c>
      <c r="BJ45" s="719" cm="1">
        <f t="array" ref="BJ45">COUNTIFS('Inputs summary'!I$2:I$106,BI45)</f>
        <v>0</v>
      </c>
      <c r="BK45" s="719" cm="1">
        <f t="array" ref="BK45">COUNTIFS('Inputs summary'!J$2:K$106,BI45)</f>
        <v>1</v>
      </c>
      <c r="BL45" s="719" cm="1">
        <f t="array" ref="BL45">COUNTIFS('Inputs summary'!L$2:L$106,BI45)</f>
        <v>2</v>
      </c>
      <c r="BM45" s="719" cm="1">
        <f t="array" ref="BM45">BN45-BO45</f>
        <v>-5</v>
      </c>
      <c r="BN45" s="719" cm="1">
        <f t="array" ref="BN45">SUMIF('Inputs summary'!$B$1:$B$106,$BI45,'Inputs summary'!$C$1:$C$106)+SUMIF('Inputs summary'!$E$1:$E$106,$BI45,'Inputs summary'!$D$1:$D$106)</f>
        <v>2</v>
      </c>
      <c r="BO45" s="719" cm="1">
        <f t="array" ref="BO45">SUMIF('Inputs summary'!$B$1:$B$106,$BI45,'Inputs summary'!$D$1:$D$106)+SUMIF('Inputs summary'!$E$1:$E$106,$BI45,'Inputs summary'!$C$1:$C$106)</f>
        <v>7</v>
      </c>
      <c r="BP45" s="734" cm="1">
        <f t="array" ref="BP45">BJ45*3+BK45*2+BM45/100+BN45/1000+Y45/100000+AA45/10000000</f>
        <v>1.9520446</v>
      </c>
      <c r="BQ45" s="589"/>
      <c r="BR45" s="589"/>
      <c r="BS45" s="589"/>
    </row>
    <row r="46" spans="1:71" ht="14.25" customHeight="1">
      <c r="A46" s="589"/>
      <c r="B46" s="589"/>
      <c r="C46" s="589"/>
      <c r="D46" s="589"/>
      <c r="E46" s="589"/>
      <c r="F46" s="589"/>
      <c r="G46" s="591">
        <v>43</v>
      </c>
      <c r="H46" s="589" t="str" cm="1">
        <f t="array" ref="H46">'Groups Stage'!O95</f>
        <v>Uzbekistan</v>
      </c>
      <c r="I46" s="719" cm="1">
        <f t="array" ref="I46">IF(COUNTIF(AC1:AC51,$H46)&gt;0,I$2,0)</f>
        <v>0</v>
      </c>
      <c r="J46" s="719" cm="1">
        <f t="array" ref="J46">IF(COUNTIF(AD1:AD51,$H46)&gt;0,J$2,0)</f>
        <v>0</v>
      </c>
      <c r="K46" s="719" cm="1">
        <f t="array" ref="K46">IF(COUNTIF(AE1:AE51,$H46)&gt;0,K$2,0)</f>
        <v>0</v>
      </c>
      <c r="L46" s="719" cm="1">
        <f t="array" ref="L46">IF(COUNTIF(AF1:AF51,$H46)&gt;0,L$2,0)</f>
        <v>0</v>
      </c>
      <c r="M46" s="719" cm="1">
        <f t="array" ref="M46">IF(COUNTIF(AG1:AG51,$H46)&gt;0,M$2,0)</f>
        <v>0</v>
      </c>
      <c r="N46" s="719" cm="1">
        <f t="array" ref="N46">IF(COUNTIF(AH1:AH51,$H46)&gt;0,N$2,0)</f>
        <v>0</v>
      </c>
      <c r="O46" s="719" cm="1">
        <f t="array" ref="O46">IF(COUNTIF(AI1:AI51,$H46)&gt;0,O$2,0)</f>
        <v>0</v>
      </c>
      <c r="P46" s="719" cm="1">
        <f t="array" ref="P46">SUM(I46:O46)</f>
        <v>0</v>
      </c>
      <c r="Q46" s="719" cm="1">
        <f t="array" ref="Q46">COUNTIFS('Inputs summary'!I1:I234,$H46)</f>
        <v>0</v>
      </c>
      <c r="R46" s="719" cm="1">
        <f t="array" ref="R46">COUNTIFS('Inputs summary'!J1:K234,$H46)</f>
        <v>1</v>
      </c>
      <c r="S46" s="719" cm="1">
        <f t="array" ref="S46">COUNTIFS('Inputs summary'!L1:L234,$H46)</f>
        <v>2</v>
      </c>
      <c r="T46" s="719" cm="1">
        <f t="array" ref="T46">U46-V46</f>
        <v>-5</v>
      </c>
      <c r="U46" s="719" cm="1">
        <f t="array" ref="U46">SUMIF('Inputs summary'!B1:B234,H46,'Inputs summary'!C1:C234)+SUMIF('Inputs summary'!E1:E234,H46,'Inputs summary'!D1:D234)</f>
        <v>1</v>
      </c>
      <c r="V46" s="719" cm="1">
        <f t="array" ref="V46">SUMIF('Inputs summary'!B1:B234,H46,'Inputs summary'!D1:D234)+SUMIF('Inputs summary'!E1:E234,H46,'Inputs summary'!C1:C234)</f>
        <v>6</v>
      </c>
      <c r="W46" s="730" cm="1">
        <f t="array" ref="W46">P46*100+Q46*3+R46+T46/100+U46/10000+(1/AA46)/100000000</f>
        <v>0.95010000019999996</v>
      </c>
      <c r="X46" s="731" cm="1">
        <f t="array" ref="X46">SUMPRODUCT(I46:O46,$I$1:$O$1)</f>
        <v>0</v>
      </c>
      <c r="Y46" s="732" cm="1">
        <f t="array" ref="Y46">_xlfn.XLOOKUP(H46,AQ1:AQ51,AR1:AR51,"-",0)</f>
        <v>4</v>
      </c>
      <c r="Z46" s="731" cm="1">
        <f t="array" ref="Z46">W46+(1/Y46)*0.000001</f>
        <v>0.9501002502</v>
      </c>
      <c r="AA46" s="731" cm="1">
        <f t="array" ref="AA46">_xlfn.XLOOKUP(H46,'Ranking FIFA'!B1:B102,'Ranking FIFA'!A1:A102,"--",0)</f>
        <v>50</v>
      </c>
      <c r="AB46" s="589"/>
      <c r="AC46" s="589"/>
      <c r="AD46" s="589"/>
      <c r="AE46" s="589"/>
      <c r="AF46" s="589"/>
      <c r="AG46" s="589"/>
      <c r="AH46" s="589"/>
      <c r="AI46" s="589"/>
      <c r="AJ46" s="589"/>
      <c r="AK46" s="589"/>
      <c r="AL46" s="589"/>
      <c r="AM46" s="589"/>
      <c r="AN46" s="589"/>
      <c r="AO46" s="589"/>
      <c r="AP46" s="746" cm="1">
        <f t="array" ref="AP46">_xlfn.XLOOKUP(AQ46,'Ranking FIFA'!B1:B102,'Ranking FIFA'!A1:A102,"--",0)</f>
        <v>57</v>
      </c>
      <c r="AQ46" s="747" t="s">
        <v>90</v>
      </c>
      <c r="AR46" s="748">
        <v>4</v>
      </c>
      <c r="AS46" s="590"/>
      <c r="AT46" s="733" cm="1">
        <f t="array" ref="AT46">SUMIF($H$4:$H$51,AQ46,$X$4:$X$51)</f>
        <v>0</v>
      </c>
      <c r="AU46" s="734" cm="1">
        <f t="array" ref="AU46">SUMIF($H$4:$H$51,AQ46,$W$4:$W$51)</f>
        <v>-6.9999999824561412E-2</v>
      </c>
      <c r="AV46" s="589"/>
      <c r="AW46" s="589"/>
      <c r="AX46" s="589"/>
      <c r="AY46" s="589"/>
      <c r="AZ46" s="589"/>
      <c r="BA46" s="589"/>
      <c r="BB46" s="589"/>
      <c r="BC46" s="589"/>
      <c r="BD46" s="589"/>
      <c r="BE46" s="589"/>
      <c r="BF46" s="589"/>
      <c r="BG46" s="589"/>
      <c r="BH46" s="591">
        <v>43</v>
      </c>
      <c r="BI46" s="589" t="str" cm="1">
        <f t="array" ref="BI46">H46</f>
        <v>Uzbekistan</v>
      </c>
      <c r="BJ46" s="719" cm="1">
        <f t="array" ref="BJ46">COUNTIFS('Inputs summary'!I$2:I$106,BI46)</f>
        <v>0</v>
      </c>
      <c r="BK46" s="719" cm="1">
        <f t="array" ref="BK46">COUNTIFS('Inputs summary'!J$2:K$106,BI46)</f>
        <v>1</v>
      </c>
      <c r="BL46" s="719" cm="1">
        <f t="array" ref="BL46">COUNTIFS('Inputs summary'!L$2:L$106,BI46)</f>
        <v>2</v>
      </c>
      <c r="BM46" s="719" cm="1">
        <f t="array" ref="BM46">BN46-BO46</f>
        <v>-5</v>
      </c>
      <c r="BN46" s="719" cm="1">
        <f t="array" ref="BN46">SUMIF('Inputs summary'!$B$1:$B$106,$BI46,'Inputs summary'!$C$1:$C$106)+SUMIF('Inputs summary'!$E$1:$E$106,$BI46,'Inputs summary'!$D$1:$D$106)</f>
        <v>1</v>
      </c>
      <c r="BO46" s="719" cm="1">
        <f t="array" ref="BO46">SUMIF('Inputs summary'!$B$1:$B$106,$BI46,'Inputs summary'!$D$1:$D$106)+SUMIF('Inputs summary'!$E$1:$E$106,$BI46,'Inputs summary'!$C$1:$C$106)</f>
        <v>6</v>
      </c>
      <c r="BP46" s="734" cm="1">
        <f t="array" ref="BP46">BJ46*3+BK46*2+BM46/100+BN46/1000+Y46/100000+AA46/10000000</f>
        <v>1.9510449999999999</v>
      </c>
      <c r="BQ46" s="589"/>
      <c r="BR46" s="589"/>
      <c r="BS46" s="589"/>
    </row>
    <row r="47" spans="1:71" ht="14.25" customHeight="1">
      <c r="A47" s="589"/>
      <c r="B47" s="589"/>
      <c r="C47" s="589"/>
      <c r="D47" s="589"/>
      <c r="E47" s="589"/>
      <c r="F47" s="589"/>
      <c r="G47" s="591">
        <v>44</v>
      </c>
      <c r="H47" s="589" t="str" cm="1">
        <f t="array" ref="H47">'Groups Stage'!O96</f>
        <v>Colombia</v>
      </c>
      <c r="I47" s="719" cm="1">
        <f t="array" ref="I47">IF(COUNTIF(AC1:AC51,$H47)&gt;0,I$2,0)</f>
        <v>0</v>
      </c>
      <c r="J47" s="719" cm="1">
        <f t="array" ref="J47">IF(COUNTIF(AD1:AD51,$H47)&gt;0,J$2,0)</f>
        <v>0</v>
      </c>
      <c r="K47" s="719" cm="1">
        <f t="array" ref="K47">IF(COUNTIF(AE1:AE51,$H47)&gt;0,K$2,0)</f>
        <v>0</v>
      </c>
      <c r="L47" s="719" cm="1">
        <f t="array" ref="L47">IF(COUNTIF(AF1:AF51,$H47)&gt;0,L$2,0)</f>
        <v>0</v>
      </c>
      <c r="M47" s="719" cm="1">
        <f t="array" ref="M47">IF(COUNTIF(AG1:AG51,$H47)&gt;0,M$2,0)</f>
        <v>0</v>
      </c>
      <c r="N47" s="719" cm="1">
        <f t="array" ref="N47">IF(COUNTIF(AH1:AH51,$H47)&gt;0,N$2,0)</f>
        <v>0</v>
      </c>
      <c r="O47" s="719" cm="1">
        <f t="array" ref="O47">IF(COUNTIF(AI1:AI51,$H47)&gt;0,O$2,0)</f>
        <v>1</v>
      </c>
      <c r="P47" s="719" cm="1">
        <f t="array" ref="P47">SUM(I47:O47)</f>
        <v>1</v>
      </c>
      <c r="Q47" s="719" cm="1">
        <f t="array" ref="Q47">COUNTIFS('Inputs summary'!I1:I234,$H47)</f>
        <v>2</v>
      </c>
      <c r="R47" s="719" cm="1">
        <f t="array" ref="R47">COUNTIFS('Inputs summary'!J1:K234,$H47)</f>
        <v>1</v>
      </c>
      <c r="S47" s="719" cm="1">
        <f t="array" ref="S47">COUNTIFS('Inputs summary'!L1:L234,$H47)</f>
        <v>1</v>
      </c>
      <c r="T47" s="719" cm="1">
        <f t="array" ref="T47">U47-V47</f>
        <v>3</v>
      </c>
      <c r="U47" s="719" cm="1">
        <f t="array" ref="U47">SUMIF('Inputs summary'!B1:B234,H47,'Inputs summary'!C1:C234)+SUMIF('Inputs summary'!E1:E234,H47,'Inputs summary'!D1:D234)</f>
        <v>7</v>
      </c>
      <c r="V47" s="719" cm="1">
        <f t="array" ref="V47">SUMIF('Inputs summary'!B1:B234,H47,'Inputs summary'!D1:D234)+SUMIF('Inputs summary'!E1:E234,H47,'Inputs summary'!C1:C234)</f>
        <v>4</v>
      </c>
      <c r="W47" s="730" cm="1">
        <f t="array" ref="W47">P47*100+Q47*3+R47+T47/100+U47/10000+(1/AA47)/100000000</f>
        <v>107.03070000076923</v>
      </c>
      <c r="X47" s="731" cm="1">
        <f t="array" ref="X47">SUMPRODUCT(I47:O47,$I$1:$O$1)</f>
        <v>1</v>
      </c>
      <c r="Y47" s="732" cm="1">
        <f t="array" ref="Y47">_xlfn.XLOOKUP(H47,AQ1:AQ51,AR1:AR51,"-",0)</f>
        <v>2</v>
      </c>
      <c r="Z47" s="731" cm="1">
        <f t="array" ref="Z47">W47+(1/Y47)*0.000001</f>
        <v>107.03070050076923</v>
      </c>
      <c r="AA47" s="731" cm="1">
        <f t="array" ref="AA47">_xlfn.XLOOKUP(H47,'Ranking FIFA'!B1:B102,'Ranking FIFA'!A1:A102,"--",0)</f>
        <v>13</v>
      </c>
      <c r="AB47" s="589"/>
      <c r="AC47" s="589"/>
      <c r="AD47" s="589"/>
      <c r="AE47" s="589"/>
      <c r="AF47" s="589"/>
      <c r="AG47" s="589"/>
      <c r="AH47" s="589"/>
      <c r="AI47" s="589"/>
      <c r="AJ47" s="589"/>
      <c r="AK47" s="589"/>
      <c r="AL47" s="589"/>
      <c r="AM47" s="589"/>
      <c r="AN47" s="589"/>
      <c r="AO47" s="589"/>
      <c r="AP47" s="592" cm="1">
        <f t="array" ref="AP47">_xlfn.XLOOKUP(AQ47,'Ranking FIFA'!B1:B102,'Ranking FIFA'!A1:A102,"--",0)</f>
        <v>63</v>
      </c>
      <c r="AQ47" s="750" t="s">
        <v>91</v>
      </c>
      <c r="AR47" s="592">
        <v>4</v>
      </c>
      <c r="AS47" s="590"/>
      <c r="AT47" s="733" cm="1">
        <f t="array" ref="AT47">SUMIF($H$4:$H$51,AQ47,$X$4:$X$51)</f>
        <v>0</v>
      </c>
      <c r="AU47" s="734" cm="1">
        <f t="array" ref="AU47">SUMIF($H$4:$H$51,AQ47,$W$4:$W$51)</f>
        <v>-3.9799999841269841E-2</v>
      </c>
      <c r="AV47" s="589"/>
      <c r="AW47" s="589"/>
      <c r="AX47" s="589"/>
      <c r="AY47" s="589"/>
      <c r="AZ47" s="589"/>
      <c r="BA47" s="589"/>
      <c r="BB47" s="589"/>
      <c r="BC47" s="589"/>
      <c r="BD47" s="589"/>
      <c r="BE47" s="589"/>
      <c r="BF47" s="589"/>
      <c r="BG47" s="589"/>
      <c r="BH47" s="591">
        <v>44</v>
      </c>
      <c r="BI47" s="589" t="str" cm="1">
        <f t="array" ref="BI47">H47</f>
        <v>Colombia</v>
      </c>
      <c r="BJ47" s="719" cm="1">
        <f t="array" ref="BJ47">COUNTIFS('Inputs summary'!I$2:I$106,BI47)</f>
        <v>2</v>
      </c>
      <c r="BK47" s="719" cm="1">
        <f t="array" ref="BK47">COUNTIFS('Inputs summary'!J$2:K$106,BI47)</f>
        <v>1</v>
      </c>
      <c r="BL47" s="719" cm="1">
        <f t="array" ref="BL47">COUNTIFS('Inputs summary'!L$2:L$106,BI47)</f>
        <v>0</v>
      </c>
      <c r="BM47" s="719" cm="1">
        <f t="array" ref="BM47">BN47-BO47</f>
        <v>4</v>
      </c>
      <c r="BN47" s="719" cm="1">
        <f t="array" ref="BN47">SUMIF('Inputs summary'!$B$1:$B$106,$BI47,'Inputs summary'!$C$1:$C$106)+SUMIF('Inputs summary'!$E$1:$E$106,$BI47,'Inputs summary'!$D$1:$D$106)</f>
        <v>6</v>
      </c>
      <c r="BO47" s="719" cm="1">
        <f t="array" ref="BO47">SUMIF('Inputs summary'!$B$1:$B$106,$BI47,'Inputs summary'!$D$1:$D$106)+SUMIF('Inputs summary'!$E$1:$E$106,$BI47,'Inputs summary'!$C$1:$C$106)</f>
        <v>2</v>
      </c>
      <c r="BP47" s="734" cm="1">
        <f t="array" ref="BP47">BJ47*3+BK47*2+BM47/100+BN47/1000+Y47/100000+AA47/10000000</f>
        <v>8.0460212999999978</v>
      </c>
      <c r="BQ47" s="589"/>
      <c r="BR47" s="589"/>
      <c r="BS47" s="589"/>
    </row>
    <row r="48" spans="1:71" ht="14.25" customHeight="1">
      <c r="A48" s="589"/>
      <c r="B48" s="589"/>
      <c r="C48" s="589"/>
      <c r="D48" s="589"/>
      <c r="E48" s="589"/>
      <c r="F48" s="589"/>
      <c r="G48" s="591">
        <v>45</v>
      </c>
      <c r="H48" s="589" t="str" cm="1">
        <f t="array" ref="H48">'Groups Stage'!O102</f>
        <v>Inglaterra</v>
      </c>
      <c r="I48" s="719" cm="1">
        <f t="array" ref="I48">IF(COUNTIF(AC1:AC51,$H48)&gt;0,I$2,0)</f>
        <v>0</v>
      </c>
      <c r="J48" s="719" cm="1">
        <f t="array" ref="J48">IF(COUNTIF(AD1:AD51,$H48)&gt;0,J$2,0)</f>
        <v>0</v>
      </c>
      <c r="K48" s="719" cm="1">
        <f t="array" ref="K48">IF(COUNTIF(AE1:AE51,$H48)&gt;0,K$2,0)</f>
        <v>0</v>
      </c>
      <c r="L48" s="719" cm="1">
        <f t="array" ref="L48">IF(COUNTIF(AF1:AF51,$H48)&gt;0,L$2,0)</f>
        <v>0</v>
      </c>
      <c r="M48" s="719" cm="1">
        <f t="array" ref="M48">IF(COUNTIF(AG1:AG51,$H48)&gt;0,M$2,0)</f>
        <v>1</v>
      </c>
      <c r="N48" s="719" cm="1">
        <f t="array" ref="N48">IF(COUNTIF(AH1:AH51,$H48)&gt;0,N$2,0)</f>
        <v>1</v>
      </c>
      <c r="O48" s="719" cm="1">
        <f t="array" ref="O48">IF(COUNTIF(AI1:AI51,$H48)&gt;0,O$2,0)</f>
        <v>1</v>
      </c>
      <c r="P48" s="719" cm="1">
        <f t="array" ref="P48">SUM(I48:O48)</f>
        <v>3</v>
      </c>
      <c r="Q48" s="719" cm="1">
        <f t="array" ref="Q48">COUNTIFS('Inputs summary'!I1:I234,$H48)</f>
        <v>4</v>
      </c>
      <c r="R48" s="719" cm="1">
        <f t="array" ref="R48">COUNTIFS('Inputs summary'!J1:K234,$H48)</f>
        <v>1</v>
      </c>
      <c r="S48" s="719" cm="1">
        <f t="array" ref="S48">COUNTIFS('Inputs summary'!L1:L234,$H48)</f>
        <v>1</v>
      </c>
      <c r="T48" s="719" cm="1">
        <f t="array" ref="T48">U48-V48</f>
        <v>5</v>
      </c>
      <c r="U48" s="719" cm="1">
        <f t="array" ref="U48">SUMIF('Inputs summary'!B1:B234,H48,'Inputs summary'!C1:C234)+SUMIF('Inputs summary'!E1:E234,H48,'Inputs summary'!D1:D234)</f>
        <v>11</v>
      </c>
      <c r="V48" s="719" cm="1">
        <f t="array" ref="V48">SUMIF('Inputs summary'!B1:B234,H48,'Inputs summary'!D1:D234)+SUMIF('Inputs summary'!E1:E234,H48,'Inputs summary'!C1:C234)</f>
        <v>6</v>
      </c>
      <c r="W48" s="730" cm="1">
        <f t="array" ref="W48">P48*100+Q48*3+R48+T48/100+U48/10000+(1/AA48)/100000000</f>
        <v>313.05110000249999</v>
      </c>
      <c r="X48" s="731" cm="1">
        <f t="array" ref="X48">SUMPRODUCT(I48:O48,$I$1:$O$1)</f>
        <v>111</v>
      </c>
      <c r="Y48" s="732" cm="1">
        <f t="array" ref="Y48">_xlfn.XLOOKUP(H48,AQ1:AQ51,AR1:AR51,"-",0)</f>
        <v>1</v>
      </c>
      <c r="Z48" s="731" cm="1">
        <f t="array" ref="Z48">W48+(1/Y48)*0.000001</f>
        <v>313.05110100249999</v>
      </c>
      <c r="AA48" s="731" cm="1">
        <f t="array" ref="AA48">_xlfn.XLOOKUP(H48,'Ranking FIFA'!B1:B102,'Ranking FIFA'!A1:A102,"--",0)</f>
        <v>4</v>
      </c>
      <c r="AB48" s="589"/>
      <c r="AC48" s="589"/>
      <c r="AD48" s="589"/>
      <c r="AE48" s="589"/>
      <c r="AF48" s="589"/>
      <c r="AG48" s="589"/>
      <c r="AH48" s="589"/>
      <c r="AI48" s="589"/>
      <c r="AJ48" s="589"/>
      <c r="AK48" s="589"/>
      <c r="AL48" s="589"/>
      <c r="AM48" s="589"/>
      <c r="AN48" s="589"/>
      <c r="AO48" s="589"/>
      <c r="AP48" s="592" cm="1">
        <f t="array" ref="AP48">_xlfn.XLOOKUP(AQ48,'Ranking FIFA'!B1:B102,'Ranking FIFA'!A1:A102,"--",0)</f>
        <v>69</v>
      </c>
      <c r="AQ48" s="691" t="s">
        <v>92</v>
      </c>
      <c r="AR48" s="592">
        <v>4</v>
      </c>
      <c r="AS48" s="590"/>
      <c r="AT48" s="733" cm="1">
        <f t="array" ref="AT48">SUMIF($H$4:$H$51,AQ48,$X$4:$X$51)</f>
        <v>0</v>
      </c>
      <c r="AU48" s="734" cm="1">
        <f t="array" ref="AU48">SUMIF($H$4:$H$51,AQ48,$W$4:$W$51)</f>
        <v>-7.9999999855072459E-2</v>
      </c>
      <c r="AV48" s="589"/>
      <c r="AW48" s="589"/>
      <c r="AX48" s="589"/>
      <c r="AY48" s="589"/>
      <c r="AZ48" s="589"/>
      <c r="BA48" s="589"/>
      <c r="BB48" s="589"/>
      <c r="BC48" s="589"/>
      <c r="BD48" s="589"/>
      <c r="BE48" s="589"/>
      <c r="BF48" s="589"/>
      <c r="BG48" s="589"/>
      <c r="BH48" s="591">
        <v>45</v>
      </c>
      <c r="BI48" s="589" t="str" cm="1">
        <f t="array" ref="BI48">H48</f>
        <v>Inglaterra</v>
      </c>
      <c r="BJ48" s="719" cm="1">
        <f t="array" ref="BJ48">COUNTIFS('Inputs summary'!I$2:I$106,BI48)</f>
        <v>2</v>
      </c>
      <c r="BK48" s="719" cm="1">
        <f t="array" ref="BK48">COUNTIFS('Inputs summary'!J$2:K$106,BI48)</f>
        <v>1</v>
      </c>
      <c r="BL48" s="719" cm="1">
        <f t="array" ref="BL48">COUNTIFS('Inputs summary'!L$2:L$106,BI48)</f>
        <v>0</v>
      </c>
      <c r="BM48" s="719" cm="1">
        <f t="array" ref="BM48">BN48-BO48</f>
        <v>4</v>
      </c>
      <c r="BN48" s="719" cm="1">
        <f t="array" ref="BN48">SUMIF('Inputs summary'!$B$1:$B$106,$BI48,'Inputs summary'!$C$1:$C$106)+SUMIF('Inputs summary'!$E$1:$E$106,$BI48,'Inputs summary'!$D$1:$D$106)</f>
        <v>6</v>
      </c>
      <c r="BO48" s="719" cm="1">
        <f t="array" ref="BO48">SUMIF('Inputs summary'!$B$1:$B$106,$BI48,'Inputs summary'!$D$1:$D$106)+SUMIF('Inputs summary'!$E$1:$E$106,$BI48,'Inputs summary'!$C$1:$C$106)</f>
        <v>2</v>
      </c>
      <c r="BP48" s="734" cm="1">
        <f t="array" ref="BP48">BJ48*3+BK48*2+BM48/100+BN48/1000+Y48/100000+AA48/10000000</f>
        <v>8.0460103999999983</v>
      </c>
      <c r="BQ48" s="589"/>
      <c r="BR48" s="589"/>
      <c r="BS48" s="589"/>
    </row>
    <row r="49" spans="1:71" ht="14.25" customHeight="1">
      <c r="A49" s="589"/>
      <c r="B49" s="589"/>
      <c r="C49" s="589"/>
      <c r="D49" s="589"/>
      <c r="E49" s="589"/>
      <c r="F49" s="589"/>
      <c r="G49" s="591">
        <v>46</v>
      </c>
      <c r="H49" s="589" t="str" cm="1">
        <f t="array" ref="H49">'Groups Stage'!O103</f>
        <v>Croacia</v>
      </c>
      <c r="I49" s="719" cm="1">
        <f t="array" ref="I49">IF(COUNTIF(AC1:AC51,$H49)&gt;0,I$2,0)</f>
        <v>0</v>
      </c>
      <c r="J49" s="719" cm="1">
        <f t="array" ref="J49">IF(COUNTIF(AD1:AD51,$H49)&gt;0,J$2,0)</f>
        <v>0</v>
      </c>
      <c r="K49" s="719" cm="1">
        <f t="array" ref="K49">IF(COUNTIF(AE1:AE51,$H49)&gt;0,K$2,0)</f>
        <v>0</v>
      </c>
      <c r="L49" s="719" cm="1">
        <f t="array" ref="L49">IF(COUNTIF(AF1:AF51,$H49)&gt;0,L$2,0)</f>
        <v>0</v>
      </c>
      <c r="M49" s="719" cm="1">
        <f t="array" ref="M49">IF(COUNTIF(AG1:AG51,$H49)&gt;0,M$2,0)</f>
        <v>0</v>
      </c>
      <c r="N49" s="719" cm="1">
        <f t="array" ref="N49">IF(COUNTIF(AH1:AH51,$H49)&gt;0,N$2,0)</f>
        <v>1</v>
      </c>
      <c r="O49" s="719" cm="1">
        <f t="array" ref="O49">IF(COUNTIF(AI1:AI51,$H49)&gt;0,O$2,0)</f>
        <v>1</v>
      </c>
      <c r="P49" s="719" cm="1">
        <f t="array" ref="P49">SUM(I49:O49)</f>
        <v>2</v>
      </c>
      <c r="Q49" s="719" cm="1">
        <f t="array" ref="Q49">COUNTIFS('Inputs summary'!I1:I234,$H49)</f>
        <v>2</v>
      </c>
      <c r="R49" s="719" cm="1">
        <f t="array" ref="R49">COUNTIFS('Inputs summary'!J1:K234,$H49)</f>
        <v>2</v>
      </c>
      <c r="S49" s="719" cm="1">
        <f t="array" ref="S49">COUNTIFS('Inputs summary'!L1:L234,$H49)</f>
        <v>1</v>
      </c>
      <c r="T49" s="719" cm="1">
        <f t="array" ref="T49">U49-V49</f>
        <v>1</v>
      </c>
      <c r="U49" s="719" cm="1">
        <f t="array" ref="U49">SUMIF('Inputs summary'!B1:B234,H49,'Inputs summary'!C1:C234)+SUMIF('Inputs summary'!E1:E234,H49,'Inputs summary'!D1:D234)</f>
        <v>6</v>
      </c>
      <c r="V49" s="719" cm="1">
        <f t="array" ref="V49">SUMIF('Inputs summary'!B1:B234,H49,'Inputs summary'!D1:D234)+SUMIF('Inputs summary'!E1:E234,H49,'Inputs summary'!C1:C234)</f>
        <v>5</v>
      </c>
      <c r="W49" s="730" cm="1">
        <f t="array" ref="W49">P49*100+Q49*3+R49+T49/100+U49/10000+(1/AA49)/100000000</f>
        <v>208.01060000090908</v>
      </c>
      <c r="X49" s="731" cm="1">
        <f t="array" ref="X49">SUMPRODUCT(I49:O49,$I$1:$O$1)</f>
        <v>11</v>
      </c>
      <c r="Y49" s="732" cm="1">
        <f t="array" ref="Y49">_xlfn.XLOOKUP(H49,AQ1:AQ51,AR1:AR51,"-",0)</f>
        <v>1</v>
      </c>
      <c r="Z49" s="731" cm="1">
        <f t="array" ref="Z49">W49+(1/Y49)*0.000001</f>
        <v>208.01060100090908</v>
      </c>
      <c r="AA49" s="731" cm="1">
        <f t="array" ref="AA49">_xlfn.XLOOKUP(H49,'Ranking FIFA'!B1:B102,'Ranking FIFA'!A1:A102,"--",0)</f>
        <v>11</v>
      </c>
      <c r="AB49" s="589"/>
      <c r="AC49" s="589"/>
      <c r="AD49" s="589"/>
      <c r="AE49" s="589"/>
      <c r="AF49" s="589"/>
      <c r="AG49" s="589"/>
      <c r="AH49" s="589"/>
      <c r="AI49" s="589"/>
      <c r="AJ49" s="589"/>
      <c r="AK49" s="589"/>
      <c r="AL49" s="589"/>
      <c r="AM49" s="589"/>
      <c r="AN49" s="589"/>
      <c r="AO49" s="589"/>
      <c r="AP49" s="592" cm="1">
        <f t="array" ref="AP49">_xlfn.XLOOKUP(AQ49,'Ranking FIFA'!B1:B102,'Ranking FIFA'!A1:A102,"--",0)</f>
        <v>82</v>
      </c>
      <c r="AQ49" s="691" t="s">
        <v>93</v>
      </c>
      <c r="AR49" s="592">
        <v>4</v>
      </c>
      <c r="AS49" s="590"/>
      <c r="AT49" s="733" cm="1">
        <f t="array" ref="AT49">SUMIF($H$4:$H$51,AQ49,$X$4:$X$51)</f>
        <v>0</v>
      </c>
      <c r="AU49" s="734" cm="1">
        <f t="array" ref="AU49">SUMIF($H$4:$H$51,AQ49,$W$4:$W$51)</f>
        <v>-7.9999999878048789E-2</v>
      </c>
      <c r="AV49" s="589"/>
      <c r="AW49" s="589"/>
      <c r="AX49" s="589"/>
      <c r="AY49" s="589"/>
      <c r="AZ49" s="589"/>
      <c r="BA49" s="589"/>
      <c r="BB49" s="589"/>
      <c r="BC49" s="589"/>
      <c r="BD49" s="589"/>
      <c r="BE49" s="589"/>
      <c r="BF49" s="589"/>
      <c r="BG49" s="589"/>
      <c r="BH49" s="591">
        <v>46</v>
      </c>
      <c r="BI49" s="589" t="str" cm="1">
        <f t="array" ref="BI49">H49</f>
        <v>Croacia</v>
      </c>
      <c r="BJ49" s="719" cm="1">
        <f t="array" ref="BJ49">COUNTIFS('Inputs summary'!I$2:I$106,BI49)</f>
        <v>1</v>
      </c>
      <c r="BK49" s="719" cm="1">
        <f t="array" ref="BK49">COUNTIFS('Inputs summary'!J$2:K$106,BI49)</f>
        <v>2</v>
      </c>
      <c r="BL49" s="719" cm="1">
        <f t="array" ref="BL49">COUNTIFS('Inputs summary'!L$2:L$106,BI49)</f>
        <v>0</v>
      </c>
      <c r="BM49" s="719" cm="1">
        <f t="array" ref="BM49">BN49-BO49</f>
        <v>2</v>
      </c>
      <c r="BN49" s="719" cm="1">
        <f t="array" ref="BN49">SUMIF('Inputs summary'!$B$1:$B$106,$BI49,'Inputs summary'!$C$1:$C$106)+SUMIF('Inputs summary'!$E$1:$E$106,$BI49,'Inputs summary'!$D$1:$D$106)</f>
        <v>4</v>
      </c>
      <c r="BO49" s="719" cm="1">
        <f t="array" ref="BO49">SUMIF('Inputs summary'!$B$1:$B$106,$BI49,'Inputs summary'!$D$1:$D$106)+SUMIF('Inputs summary'!$E$1:$E$106,$BI49,'Inputs summary'!$C$1:$C$106)</f>
        <v>2</v>
      </c>
      <c r="BP49" s="734" cm="1">
        <f t="array" ref="BP49">BJ49*3+BK49*2+BM49/100+BN49/1000+Y49/100000+AA49/10000000</f>
        <v>7.0240110999999992</v>
      </c>
      <c r="BQ49" s="589"/>
      <c r="BR49" s="589"/>
      <c r="BS49" s="589"/>
    </row>
    <row r="50" spans="1:71" ht="14.25" customHeight="1">
      <c r="A50" s="589"/>
      <c r="B50" s="589"/>
      <c r="C50" s="589"/>
      <c r="D50" s="589"/>
      <c r="E50" s="589"/>
      <c r="F50" s="589"/>
      <c r="G50" s="591">
        <v>47</v>
      </c>
      <c r="H50" s="589" t="str" cm="1">
        <f t="array" ref="H50">'Groups Stage'!O104</f>
        <v>Ghana</v>
      </c>
      <c r="I50" s="719" cm="1">
        <f t="array" ref="I50">IF(COUNTIF(AC1:AC51,$H50)&gt;0,I$2,0)</f>
        <v>0</v>
      </c>
      <c r="J50" s="719" cm="1">
        <f t="array" ref="J50">IF(COUNTIF(AD1:AD51,$H50)&gt;0,J$2,0)</f>
        <v>0</v>
      </c>
      <c r="K50" s="719" cm="1">
        <f t="array" ref="K50">IF(COUNTIF(AE1:AE51,$H50)&gt;0,K$2,0)</f>
        <v>0</v>
      </c>
      <c r="L50" s="719" cm="1">
        <f t="array" ref="L50">IF(COUNTIF(AF1:AF51,$H50)&gt;0,L$2,0)</f>
        <v>0</v>
      </c>
      <c r="M50" s="719" cm="1">
        <f t="array" ref="M50">IF(COUNTIF(AG1:AG51,$H50)&gt;0,M$2,0)</f>
        <v>0</v>
      </c>
      <c r="N50" s="719" cm="1">
        <f t="array" ref="N50">IF(COUNTIF(AH1:AH51,$H50)&gt;0,N$2,0)</f>
        <v>0</v>
      </c>
      <c r="O50" s="719" cm="1">
        <f t="array" ref="O50">IF(COUNTIF(AI1:AI51,$H50)&gt;0,O$2,0)</f>
        <v>1</v>
      </c>
      <c r="P50" s="719" cm="1">
        <f t="array" ref="P50">SUM(I50:O50)</f>
        <v>1</v>
      </c>
      <c r="Q50" s="719" cm="1">
        <f t="array" ref="Q50">COUNTIFS('Inputs summary'!I1:I234,$H50)</f>
        <v>1</v>
      </c>
      <c r="R50" s="719" cm="1">
        <f t="array" ref="R50">COUNTIFS('Inputs summary'!J1:K234,$H50)</f>
        <v>1</v>
      </c>
      <c r="S50" s="719" cm="1">
        <f t="array" ref="S50">COUNTIFS('Inputs summary'!L1:L234,$H50)</f>
        <v>2</v>
      </c>
      <c r="T50" s="719" cm="1">
        <f t="array" ref="T50">U50-V50</f>
        <v>-1</v>
      </c>
      <c r="U50" s="719" cm="1">
        <f t="array" ref="U50">SUMIF('Inputs summary'!B1:B234,H50,'Inputs summary'!C1:C234)+SUMIF('Inputs summary'!E1:E234,H50,'Inputs summary'!D1:D234)</f>
        <v>5</v>
      </c>
      <c r="V50" s="719" cm="1">
        <f t="array" ref="V50">SUMIF('Inputs summary'!B1:B234,H50,'Inputs summary'!D1:D234)+SUMIF('Inputs summary'!E1:E234,H50,'Inputs summary'!C1:C234)</f>
        <v>6</v>
      </c>
      <c r="W50" s="730" cm="1">
        <f t="array" ref="W50">P50*100+Q50*3+R50+T50/100+U50/10000+(1/AA50)/100000000</f>
        <v>103.99050000013513</v>
      </c>
      <c r="X50" s="731" cm="1">
        <f t="array" ref="X50">SUMPRODUCT(I50:O50,$I$1:$O$1)</f>
        <v>1</v>
      </c>
      <c r="Y50" s="732" cm="1">
        <f t="array" ref="Y50">_xlfn.XLOOKUP(H50,AQ1:AQ51,AR1:AR51,"-",0)</f>
        <v>3</v>
      </c>
      <c r="Z50" s="731" cm="1">
        <f t="array" ref="Z50">W50+(1/Y50)*0.000001</f>
        <v>103.99050033346846</v>
      </c>
      <c r="AA50" s="731" cm="1">
        <f t="array" ref="AA50">_xlfn.XLOOKUP(H50,'Ranking FIFA'!B1:B102,'Ranking FIFA'!A1:A102,"--",0)</f>
        <v>74</v>
      </c>
      <c r="AB50" s="589"/>
      <c r="AC50" s="589"/>
      <c r="AD50" s="589"/>
      <c r="AE50" s="589"/>
      <c r="AF50" s="589"/>
      <c r="AG50" s="589"/>
      <c r="AH50" s="589"/>
      <c r="AI50" s="589"/>
      <c r="AJ50" s="589"/>
      <c r="AK50" s="589"/>
      <c r="AL50" s="589"/>
      <c r="AM50" s="589"/>
      <c r="AN50" s="589"/>
      <c r="AO50" s="589"/>
      <c r="AP50" s="592" cm="1">
        <f t="array" ref="AP50">_xlfn.XLOOKUP(AQ50,'Ranking FIFA'!B1:B102,'Ranking FIFA'!A1:A102,"--",0)</f>
        <v>83</v>
      </c>
      <c r="AQ50" s="691" t="s">
        <v>94</v>
      </c>
      <c r="AR50" s="592">
        <v>4</v>
      </c>
      <c r="AS50" s="590"/>
      <c r="AT50" s="733" cm="1">
        <f t="array" ref="AT50">SUMIF($H$4:$H$51,AQ50,$X$4:$X$51)</f>
        <v>0</v>
      </c>
      <c r="AU50" s="734" cm="1">
        <f t="array" ref="AU50">SUMIF($H$4:$H$51,AQ50,$W$4:$W$51)</f>
        <v>-8.9999999879518067E-2</v>
      </c>
      <c r="AV50" s="589"/>
      <c r="AW50" s="589"/>
      <c r="AX50" s="589"/>
      <c r="AY50" s="589"/>
      <c r="AZ50" s="589"/>
      <c r="BA50" s="589"/>
      <c r="BB50" s="589"/>
      <c r="BC50" s="589"/>
      <c r="BD50" s="589"/>
      <c r="BE50" s="589"/>
      <c r="BF50" s="589"/>
      <c r="BG50" s="589"/>
      <c r="BH50" s="591">
        <v>47</v>
      </c>
      <c r="BI50" s="589" t="str" cm="1">
        <f t="array" ref="BI50">H50</f>
        <v>Ghana</v>
      </c>
      <c r="BJ50" s="719" cm="1">
        <f t="array" ref="BJ50">COUNTIFS('Inputs summary'!I$2:I$106,BI50)</f>
        <v>1</v>
      </c>
      <c r="BK50" s="719" cm="1">
        <f t="array" ref="BK50">COUNTIFS('Inputs summary'!J$2:K$106,BI50)</f>
        <v>1</v>
      </c>
      <c r="BL50" s="719" cm="1">
        <f t="array" ref="BL50">COUNTIFS('Inputs summary'!L$2:L$106,BI50)</f>
        <v>1</v>
      </c>
      <c r="BM50" s="719" cm="1">
        <f t="array" ref="BM50">BN50-BO50</f>
        <v>0</v>
      </c>
      <c r="BN50" s="719" cm="1">
        <f t="array" ref="BN50">SUMIF('Inputs summary'!$B$1:$B$106,$BI50,'Inputs summary'!$C$1:$C$106)+SUMIF('Inputs summary'!$E$1:$E$106,$BI50,'Inputs summary'!$D$1:$D$106)</f>
        <v>4</v>
      </c>
      <c r="BO50" s="719" cm="1">
        <f t="array" ref="BO50">SUMIF('Inputs summary'!$B$1:$B$106,$BI50,'Inputs summary'!$D$1:$D$106)+SUMIF('Inputs summary'!$E$1:$E$106,$BI50,'Inputs summary'!$C$1:$C$106)</f>
        <v>4</v>
      </c>
      <c r="BP50" s="734" cm="1">
        <f t="array" ref="BP50">BJ50*3+BK50*2+BM50/100+BN50/1000+Y50/100000+AA50/10000000</f>
        <v>5.0040373999999996</v>
      </c>
      <c r="BQ50" s="589"/>
      <c r="BR50" s="589"/>
      <c r="BS50" s="589"/>
    </row>
    <row r="51" spans="1:71" ht="14.25" customHeight="1">
      <c r="A51" s="589"/>
      <c r="B51" s="589"/>
      <c r="C51" s="589"/>
      <c r="D51" s="589"/>
      <c r="E51" s="589"/>
      <c r="F51" s="589"/>
      <c r="G51" s="591">
        <v>48</v>
      </c>
      <c r="H51" s="589" t="str" cm="1">
        <f t="array" ref="H51">'Groups Stage'!O105</f>
        <v>Panama</v>
      </c>
      <c r="I51" s="719" cm="1">
        <f t="array" ref="I51">IF(COUNTIF(AC1:AC51,$H51)&gt;0,I$2,0)</f>
        <v>0</v>
      </c>
      <c r="J51" s="719" cm="1">
        <f t="array" ref="J51">IF(COUNTIF(AD1:AD51,$H51)&gt;0,J$2,0)</f>
        <v>0</v>
      </c>
      <c r="K51" s="719" cm="1">
        <f t="array" ref="K51">IF(COUNTIF(AE1:AE51,$H51)&gt;0,K$2,0)</f>
        <v>0</v>
      </c>
      <c r="L51" s="719" cm="1">
        <f t="array" ref="L51">IF(COUNTIF(AF1:AF51,$H51)&gt;0,L$2,0)</f>
        <v>0</v>
      </c>
      <c r="M51" s="719" cm="1">
        <f t="array" ref="M51">IF(COUNTIF(AG1:AG51,$H51)&gt;0,M$2,0)</f>
        <v>0</v>
      </c>
      <c r="N51" s="719" cm="1">
        <f t="array" ref="N51">IF(COUNTIF(AH1:AH51,$H51)&gt;0,N$2,0)</f>
        <v>0</v>
      </c>
      <c r="O51" s="719" cm="1">
        <f t="array" ref="O51">IF(COUNTIF(AI1:AI51,$H51)&gt;0,O$2,0)</f>
        <v>0</v>
      </c>
      <c r="P51" s="719" cm="1">
        <f t="array" ref="P51">SUM(I51:O51)</f>
        <v>0</v>
      </c>
      <c r="Q51" s="719" cm="1">
        <f t="array" ref="Q51">COUNTIFS('Inputs summary'!I1:I234,$H51)</f>
        <v>0</v>
      </c>
      <c r="R51" s="719" cm="1">
        <f t="array" ref="R51">COUNTIFS('Inputs summary'!J1:K234,$H51)</f>
        <v>0</v>
      </c>
      <c r="S51" s="719" cm="1">
        <f t="array" ref="S51">COUNTIFS('Inputs summary'!L1:L234,$H51)</f>
        <v>3</v>
      </c>
      <c r="T51" s="719" cm="1">
        <f t="array" ref="T51">U51-V51</f>
        <v>-6</v>
      </c>
      <c r="U51" s="719" cm="1">
        <f t="array" ref="U51">SUMIF('Inputs summary'!B1:B234,H51,'Inputs summary'!C1:C234)+SUMIF('Inputs summary'!E1:E234,H51,'Inputs summary'!D1:D234)</f>
        <v>1</v>
      </c>
      <c r="V51" s="719" cm="1">
        <f t="array" ref="V51">SUMIF('Inputs summary'!B1:B234,H51,'Inputs summary'!D1:D234)+SUMIF('Inputs summary'!E1:E234,H51,'Inputs summary'!C1:C234)</f>
        <v>7</v>
      </c>
      <c r="W51" s="730" cm="1">
        <f t="array" ref="W51">P51*100+Q51*3+R51+T51/100+U51/10000+(1/AA51)/100000000</f>
        <v>-5.9899999696969693E-2</v>
      </c>
      <c r="X51" s="731" cm="1">
        <f t="array" ref="X51">SUMPRODUCT(I51:O51,$I$1:$O$1)</f>
        <v>0</v>
      </c>
      <c r="Y51" s="732" cm="1">
        <f t="array" ref="Y51">_xlfn.XLOOKUP(H51,AQ1:AQ51,AR1:AR51,"-",0)</f>
        <v>3</v>
      </c>
      <c r="Z51" s="731" cm="1">
        <f t="array" ref="Z51">W51+(1/Y51)*0.000001</f>
        <v>-5.9899666363636361E-2</v>
      </c>
      <c r="AA51" s="731" cm="1">
        <f t="array" ref="AA51">_xlfn.XLOOKUP(H51,'Ranking FIFA'!B1:B102,'Ranking FIFA'!A1:A102,"--",0)</f>
        <v>33</v>
      </c>
      <c r="AB51" s="589"/>
      <c r="AC51" s="589"/>
      <c r="AD51" s="589"/>
      <c r="AE51" s="589"/>
      <c r="AF51" s="589"/>
      <c r="AG51" s="589"/>
      <c r="AH51" s="589"/>
      <c r="AI51" s="589"/>
      <c r="AJ51" s="589"/>
      <c r="AK51" s="589"/>
      <c r="AL51" s="589"/>
      <c r="AM51" s="589"/>
      <c r="AN51" s="589"/>
      <c r="AO51" s="589"/>
      <c r="AP51" s="592" cm="1">
        <f t="array" ref="AP51">_xlfn.XLOOKUP(AQ51,'Ranking FIFA'!B1:B102,'Ranking FIFA'!A1:A102,"--",0)</f>
        <v>85</v>
      </c>
      <c r="AQ51" s="691" t="s">
        <v>95</v>
      </c>
      <c r="AR51" s="592">
        <v>4</v>
      </c>
      <c r="AS51" s="590"/>
      <c r="AT51" s="733" cm="1">
        <f t="array" ref="AT51">SUMIF($H$4:$H$51,AQ51,$X$4:$X$51)</f>
        <v>0</v>
      </c>
      <c r="AU51" s="734" cm="1">
        <f t="array" ref="AU51">SUMIF($H$4:$H$51,AQ51,$W$4:$W$51)</f>
        <v>0.97020000011764707</v>
      </c>
      <c r="AV51" s="589"/>
      <c r="AW51" s="589"/>
      <c r="AX51" s="589"/>
      <c r="AY51" s="589"/>
      <c r="AZ51" s="589"/>
      <c r="BA51" s="589"/>
      <c r="BB51" s="589"/>
      <c r="BC51" s="589"/>
      <c r="BD51" s="589"/>
      <c r="BE51" s="589"/>
      <c r="BF51" s="589"/>
      <c r="BG51" s="589"/>
      <c r="BH51" s="591">
        <v>48</v>
      </c>
      <c r="BI51" s="589" t="str" cm="1">
        <f t="array" ref="BI51">H51</f>
        <v>Panama</v>
      </c>
      <c r="BJ51" s="719" cm="1">
        <f t="array" ref="BJ51">COUNTIFS('Inputs summary'!I$2:I$106,BI51)</f>
        <v>0</v>
      </c>
      <c r="BK51" s="719" cm="1">
        <f t="array" ref="BK51">COUNTIFS('Inputs summary'!J$2:K$106,BI51)</f>
        <v>0</v>
      </c>
      <c r="BL51" s="719" cm="1">
        <f t="array" ref="BL51">COUNTIFS('Inputs summary'!L$2:L$106,BI51)</f>
        <v>3</v>
      </c>
      <c r="BM51" s="719" cm="1">
        <f t="array" ref="BM51">BN51-BO51</f>
        <v>-6</v>
      </c>
      <c r="BN51" s="719" cm="1">
        <f t="array" ref="BN51">SUMIF('Inputs summary'!$B$1:$B$106,$BI51,'Inputs summary'!$C$1:$C$106)+SUMIF('Inputs summary'!$E$1:$E$106,$BI51,'Inputs summary'!$D$1:$D$106)</f>
        <v>1</v>
      </c>
      <c r="BO51" s="719" cm="1">
        <f t="array" ref="BO51">SUMIF('Inputs summary'!$B$1:$B$106,$BI51,'Inputs summary'!$D$1:$D$106)+SUMIF('Inputs summary'!$E$1:$E$106,$BI51,'Inputs summary'!$C$1:$C$106)</f>
        <v>7</v>
      </c>
      <c r="BP51" s="734" cm="1">
        <f t="array" ref="BP51">BJ51*3+BK51*2+BM51/100+BN51/1000+Y51/100000+AA51/10000000</f>
        <v>-5.8966699999999997E-2</v>
      </c>
      <c r="BQ51" s="589"/>
      <c r="BR51" s="589"/>
      <c r="BS51" s="589"/>
    </row>
  </sheetData>
  <conditionalFormatting sqref="I4:P51">
    <cfRule type="cellIs" dxfId="0" priority="1" stopIfTrue="1" operator="greaterThan">
      <formula>0</formula>
    </cfRule>
  </conditionalFormatting>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1"/>
  <sheetViews>
    <sheetView showGridLines="0" workbookViewId="0"/>
  </sheetViews>
  <sheetFormatPr defaultColWidth="8.875" defaultRowHeight="14.25" customHeight="1"/>
  <cols>
    <col min="1" max="1" width="13.625" style="751" customWidth="1"/>
    <col min="2" max="2" width="88.875" style="751" customWidth="1"/>
    <col min="3" max="6" width="8.875" style="751" customWidth="1"/>
    <col min="7" max="16384" width="8.875" style="751"/>
  </cols>
  <sheetData>
    <row r="1" spans="1:5" ht="71.25" customHeight="1">
      <c r="A1" s="752" t="s">
        <v>53</v>
      </c>
      <c r="B1" s="753" t="s">
        <v>854</v>
      </c>
      <c r="C1" s="589"/>
      <c r="D1" s="589"/>
      <c r="E1" s="589"/>
    </row>
    <row r="2" spans="1:5" ht="42.75" customHeight="1">
      <c r="A2" s="752" t="s">
        <v>56</v>
      </c>
      <c r="B2" s="753" t="s">
        <v>855</v>
      </c>
      <c r="C2" s="589"/>
      <c r="D2" s="589"/>
      <c r="E2" s="589"/>
    </row>
    <row r="3" spans="1:5" ht="71.25" customHeight="1">
      <c r="A3" s="752" t="s">
        <v>54</v>
      </c>
      <c r="B3" s="753" t="s">
        <v>856</v>
      </c>
      <c r="C3" s="589"/>
      <c r="D3" s="589"/>
      <c r="E3" s="589"/>
    </row>
    <row r="4" spans="1:5" ht="42.75" customHeight="1">
      <c r="A4" s="752" t="s">
        <v>55</v>
      </c>
      <c r="B4" s="753" t="s">
        <v>857</v>
      </c>
      <c r="C4" s="589"/>
      <c r="D4" s="589"/>
      <c r="E4" s="589"/>
    </row>
    <row r="5" spans="1:5" ht="57" customHeight="1">
      <c r="A5" s="752" t="s">
        <v>49</v>
      </c>
      <c r="B5" s="753" t="s">
        <v>858</v>
      </c>
      <c r="C5" s="589"/>
      <c r="D5" s="589"/>
      <c r="E5" s="589"/>
    </row>
    <row r="6" spans="1:5" ht="57" customHeight="1">
      <c r="A6" s="752" t="s">
        <v>58</v>
      </c>
      <c r="B6" s="753" t="s">
        <v>859</v>
      </c>
      <c r="C6" s="589"/>
      <c r="D6" s="589"/>
      <c r="E6" s="589"/>
    </row>
    <row r="7" spans="1:5" ht="42.75" customHeight="1">
      <c r="A7" s="752" t="s">
        <v>48</v>
      </c>
      <c r="B7" s="753" t="s">
        <v>860</v>
      </c>
      <c r="C7" s="589"/>
      <c r="D7" s="589"/>
      <c r="E7" s="589"/>
    </row>
    <row r="8" spans="1:5" ht="57" customHeight="1">
      <c r="A8" s="752" t="s">
        <v>50</v>
      </c>
      <c r="B8" s="753" t="s">
        <v>861</v>
      </c>
      <c r="C8" s="589"/>
      <c r="D8" s="589"/>
      <c r="E8" s="589"/>
    </row>
    <row r="9" spans="1:5" ht="128.25" customHeight="1">
      <c r="A9" s="752" t="s">
        <v>52</v>
      </c>
      <c r="B9" s="753" t="s">
        <v>862</v>
      </c>
      <c r="C9" s="589"/>
      <c r="D9" s="589"/>
      <c r="E9" s="589"/>
    </row>
    <row r="10" spans="1:5" ht="42.75" customHeight="1">
      <c r="A10" s="752" t="s">
        <v>51</v>
      </c>
      <c r="B10" s="753" t="s">
        <v>863</v>
      </c>
      <c r="C10" s="589"/>
      <c r="D10" s="589"/>
      <c r="E10" s="589"/>
    </row>
    <row r="11" spans="1:5" ht="42.75" customHeight="1">
      <c r="A11" s="752" t="s">
        <v>57</v>
      </c>
      <c r="B11" s="753" t="s">
        <v>864</v>
      </c>
      <c r="C11" s="589"/>
      <c r="D11" s="589"/>
      <c r="E11" s="589"/>
    </row>
    <row r="12" spans="1:5" ht="42.75" customHeight="1">
      <c r="A12" s="754"/>
      <c r="B12" s="755" t="str" cm="1">
        <f t="array" ref="B12">"Felicitaciones. Usted a elegido a "&amp;'Total Results'!D2&amp;" como campeón. Desconocemos si lo hace a conciencia, si lo hace para destacarse, o si simplemente lo hace para joder. Sea como sea lo felicitamos; LA ESPERANZA ES LO ÚLTIMO QUE SE PIERDE. Celebramos su elección y le deseamos mucha suerte."</f>
        <v>Felicitaciones. Usted a elegido a España como campeón. Desconocemos si lo hace a conciencia, si lo hace para destacarse, o si simplemente lo hace para joder. Sea como sea lo felicitamos; LA ESPERANZA ES LO ÚLTIMO QUE SE PIERDE. Celebramos su elección y le deseamos mucha suerte.</v>
      </c>
      <c r="C12" s="589"/>
      <c r="D12" s="589"/>
      <c r="E12" s="589"/>
    </row>
    <row r="13" spans="1:5" ht="14.65" customHeight="1">
      <c r="A13" s="754"/>
      <c r="B13" s="756"/>
      <c r="C13" s="589"/>
      <c r="D13" s="589"/>
      <c r="E13" s="589"/>
    </row>
    <row r="14" spans="1:5" ht="14.65" customHeight="1">
      <c r="A14" s="754"/>
      <c r="B14" s="756"/>
      <c r="C14" s="589"/>
      <c r="D14" s="589"/>
      <c r="E14" s="589"/>
    </row>
    <row r="15" spans="1:5" ht="14.65" customHeight="1">
      <c r="A15" s="754"/>
      <c r="B15" s="756"/>
      <c r="C15" s="589"/>
      <c r="D15" s="589"/>
      <c r="E15" s="589"/>
    </row>
    <row r="16" spans="1:5" ht="14.65" customHeight="1">
      <c r="A16" s="754"/>
      <c r="B16" s="756"/>
      <c r="C16" s="589"/>
      <c r="D16" s="589"/>
      <c r="E16" s="589"/>
    </row>
    <row r="17" spans="1:5" ht="14.65" customHeight="1">
      <c r="A17" s="754"/>
      <c r="B17" s="756"/>
      <c r="C17" s="589"/>
      <c r="D17" s="589"/>
      <c r="E17" s="589"/>
    </row>
    <row r="18" spans="1:5" ht="14.65" customHeight="1">
      <c r="A18" s="754"/>
      <c r="B18" s="756"/>
      <c r="C18" s="589"/>
      <c r="D18" s="589"/>
      <c r="E18" s="589"/>
    </row>
    <row r="19" spans="1:5" ht="14.65" customHeight="1">
      <c r="A19" s="754"/>
      <c r="B19" s="756"/>
      <c r="C19" s="589"/>
      <c r="D19" s="589"/>
      <c r="E19" s="589"/>
    </row>
    <row r="20" spans="1:5" ht="14.65" customHeight="1">
      <c r="A20" s="754"/>
      <c r="B20" s="756"/>
      <c r="C20" s="589"/>
      <c r="D20" s="589"/>
      <c r="E20" s="589"/>
    </row>
    <row r="21" spans="1:5" ht="14.65" customHeight="1">
      <c r="A21" s="754"/>
      <c r="B21" s="756"/>
      <c r="C21" s="589"/>
      <c r="D21" s="589"/>
      <c r="E21" s="589"/>
    </row>
  </sheetData>
  <pageMargins left="0.7" right="0.7" top="0.75" bottom="0.75" header="0.3" footer="0.3"/>
  <pageSetup orientation="portrait"/>
  <headerFooter>
    <oddFooter>&amp;C&amp;"Helvetica Neue,Regular"&amp;12&amp;K000000&amp;P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02"/>
  <sheetViews>
    <sheetView showGridLines="0" workbookViewId="0"/>
  </sheetViews>
  <sheetFormatPr defaultColWidth="8.875" defaultRowHeight="14.25" customHeight="1"/>
  <cols>
    <col min="1" max="1" width="8.125" style="757" customWidth="1"/>
    <col min="2" max="2" width="20.5" style="757" customWidth="1"/>
    <col min="3" max="3" width="15.375" style="757" customWidth="1"/>
    <col min="4" max="4" width="10.375" style="757" customWidth="1"/>
    <col min="5" max="5" width="16.125" style="757" customWidth="1"/>
    <col min="6" max="7" width="8.875" style="757" customWidth="1"/>
    <col min="8" max="16384" width="8.875" style="757"/>
  </cols>
  <sheetData>
    <row r="1" spans="1:6" ht="14.25" customHeight="1">
      <c r="A1" s="591">
        <v>1</v>
      </c>
      <c r="B1" s="589" t="str" cm="1">
        <f t="array" ref="B1">_xlfn.XLOOKUP(A1,F1:F102,E1:E102,"--",0)</f>
        <v>Francia</v>
      </c>
      <c r="C1" s="589"/>
      <c r="D1" s="589"/>
      <c r="E1" s="691" t="s">
        <v>56</v>
      </c>
      <c r="F1" s="591">
        <v>10</v>
      </c>
    </row>
    <row r="2" spans="1:6" ht="14.25" customHeight="1">
      <c r="A2" s="591">
        <v>2</v>
      </c>
      <c r="B2" s="589" t="str" cm="1">
        <f t="array" ref="B2">_xlfn.XLOOKUP(A2,F1:F102,E1:E102,"--",0)</f>
        <v>España</v>
      </c>
      <c r="C2" s="589"/>
      <c r="D2" s="589"/>
      <c r="E2" s="691" t="s">
        <v>83</v>
      </c>
      <c r="F2" s="591">
        <v>61</v>
      </c>
    </row>
    <row r="3" spans="1:6" ht="14.25" customHeight="1">
      <c r="A3" s="591">
        <v>3</v>
      </c>
      <c r="B3" s="589" t="str" cm="1">
        <f t="array" ref="B3">_xlfn.XLOOKUP(A3,F1:F102,E1:E102,"--",0)</f>
        <v>Argentina</v>
      </c>
      <c r="C3" s="758"/>
      <c r="D3" s="724"/>
      <c r="E3" s="691" t="s">
        <v>74</v>
      </c>
      <c r="F3" s="591">
        <v>28</v>
      </c>
    </row>
    <row r="4" spans="1:6" ht="14.25" customHeight="1">
      <c r="A4" s="591">
        <v>4</v>
      </c>
      <c r="B4" s="589" t="str" cm="1">
        <f t="array" ref="B4">_xlfn.XLOOKUP(A4,F1:F102,E1:E102,"--",0)</f>
        <v>Inglaterra</v>
      </c>
      <c r="C4" s="758"/>
      <c r="D4" s="724"/>
      <c r="E4" s="691" t="s">
        <v>50</v>
      </c>
      <c r="F4" s="591">
        <v>3</v>
      </c>
    </row>
    <row r="5" spans="1:6" ht="14.25" customHeight="1">
      <c r="A5" s="591">
        <v>5</v>
      </c>
      <c r="B5" s="589" t="str" cm="1">
        <f t="array" ref="B5">_xlfn.XLOOKUP(A5,F1:F102,E1:E102,"--",0)</f>
        <v>Portugal</v>
      </c>
      <c r="C5" s="758"/>
      <c r="D5" s="724"/>
      <c r="E5" s="691" t="s">
        <v>73</v>
      </c>
      <c r="F5" s="591">
        <v>27</v>
      </c>
    </row>
    <row r="6" spans="1:6" ht="14.25" customHeight="1">
      <c r="A6" s="591">
        <v>6</v>
      </c>
      <c r="B6" s="589" t="str" cm="1">
        <f t="array" ref="B6">_xlfn.XLOOKUP(A6,F1:F102,E1:E102,"--",0)</f>
        <v>Brasil</v>
      </c>
      <c r="C6" s="758"/>
      <c r="D6" s="724"/>
      <c r="E6" s="691" t="s">
        <v>72</v>
      </c>
      <c r="F6" s="591">
        <v>24</v>
      </c>
    </row>
    <row r="7" spans="1:6" ht="14.25" customHeight="1">
      <c r="A7" s="591">
        <v>7</v>
      </c>
      <c r="B7" s="589" t="str" cm="1">
        <f t="array" ref="B7">_xlfn.XLOOKUP(A7,F1:F102,E1:E102,"--",0)</f>
        <v>Paises Bajos</v>
      </c>
      <c r="C7" s="758"/>
      <c r="D7" s="724"/>
      <c r="E7" s="691" t="s">
        <v>55</v>
      </c>
      <c r="F7" s="591">
        <v>9</v>
      </c>
    </row>
    <row r="8" spans="1:6" ht="14.25" customHeight="1">
      <c r="A8" s="591">
        <v>8</v>
      </c>
      <c r="B8" s="589" t="str" cm="1">
        <f t="array" ref="B8">_xlfn.XLOOKUP(A8,F1:F102,E1:E102,"--",0)</f>
        <v>Marruecos</v>
      </c>
      <c r="C8" s="758"/>
      <c r="D8" s="724"/>
      <c r="E8" s="691" t="s">
        <v>84</v>
      </c>
      <c r="F8" s="591">
        <v>65</v>
      </c>
    </row>
    <row r="9" spans="1:6" ht="14.25" customHeight="1">
      <c r="A9" s="591">
        <v>9</v>
      </c>
      <c r="B9" s="589" t="str" cm="1">
        <f t="array" ref="B9">_xlfn.XLOOKUP(A9,F1:F102,E1:E102,"--",0)</f>
        <v>Belgica</v>
      </c>
      <c r="C9" s="758"/>
      <c r="D9" s="724"/>
      <c r="E9" s="691" t="s">
        <v>53</v>
      </c>
      <c r="F9" s="591">
        <v>6</v>
      </c>
    </row>
    <row r="10" spans="1:6" ht="14.25" customHeight="1">
      <c r="A10" s="591">
        <v>10</v>
      </c>
      <c r="B10" s="589" t="str" cm="1">
        <f t="array" ref="B10">_xlfn.XLOOKUP(A10,F1:F102,E1:E102,"--",0)</f>
        <v>Alemania</v>
      </c>
      <c r="C10" s="589"/>
      <c r="D10" s="724"/>
      <c r="E10" s="691" t="s">
        <v>92</v>
      </c>
      <c r="F10" s="591">
        <v>69</v>
      </c>
    </row>
    <row r="11" spans="1:6" ht="14.25" customHeight="1">
      <c r="A11" s="591">
        <v>11</v>
      </c>
      <c r="B11" s="589" t="str" cm="1">
        <f t="array" ref="B11">_xlfn.XLOOKUP(A11,F1:F102,E1:E102,"--",0)</f>
        <v>Croacia</v>
      </c>
      <c r="C11" s="758"/>
      <c r="D11" s="724"/>
      <c r="E11" s="691" t="s">
        <v>76</v>
      </c>
      <c r="F11" s="591">
        <v>30</v>
      </c>
    </row>
    <row r="12" spans="1:6" ht="14.25" customHeight="1">
      <c r="A12" s="591">
        <v>13</v>
      </c>
      <c r="B12" s="589" t="str" cm="1">
        <f t="array" ref="B12">_xlfn.XLOOKUP(A12,F1:F102,E1:E102,"--",0)</f>
        <v>Colombia</v>
      </c>
      <c r="C12" s="758"/>
      <c r="D12" s="724"/>
      <c r="E12" s="691" t="s">
        <v>60</v>
      </c>
      <c r="F12" s="591">
        <v>13</v>
      </c>
    </row>
    <row r="13" spans="1:6" ht="14.25" customHeight="1">
      <c r="A13" s="591">
        <v>14</v>
      </c>
      <c r="B13" s="589" t="str" cm="1">
        <f t="array" ref="B13">_xlfn.XLOOKUP(A13,F1:F102,E1:E102,"--",0)</f>
        <v>Senegal</v>
      </c>
      <c r="C13" s="758"/>
      <c r="D13" s="724"/>
      <c r="E13" s="691" t="s">
        <v>87</v>
      </c>
      <c r="F13" s="591">
        <v>46</v>
      </c>
    </row>
    <row r="14" spans="1:6" ht="14.25" customHeight="1">
      <c r="A14" s="591">
        <v>15</v>
      </c>
      <c r="B14" s="589" t="str" cm="1">
        <f t="array" ref="B14">_xlfn.XLOOKUP(A14,F1:F102,E1:E102,"--",0)</f>
        <v>Mexico</v>
      </c>
      <c r="C14" s="758"/>
      <c r="D14" s="724"/>
      <c r="E14" s="691" t="s">
        <v>68</v>
      </c>
      <c r="F14" s="591">
        <v>25</v>
      </c>
    </row>
    <row r="15" spans="1:6" ht="14.25" customHeight="1">
      <c r="A15" s="591">
        <v>16</v>
      </c>
      <c r="B15" s="589" t="str" cm="1">
        <f t="array" ref="B15">_xlfn.XLOOKUP(A15,F1:F102,E1:E102,"--",0)</f>
        <v>Estados Unidos</v>
      </c>
      <c r="C15" s="758"/>
      <c r="D15" s="724"/>
      <c r="E15" s="691" t="s">
        <v>78</v>
      </c>
      <c r="F15" s="591">
        <v>34</v>
      </c>
    </row>
    <row r="16" spans="1:6" ht="14.25" customHeight="1">
      <c r="A16" s="591">
        <v>17</v>
      </c>
      <c r="B16" s="589" t="str" cm="1">
        <f t="array" ref="B16">_xlfn.XLOOKUP(A16,F1:F102,E1:E102,"--",0)</f>
        <v>Uruguay</v>
      </c>
      <c r="C16" s="589"/>
      <c r="D16" s="724"/>
      <c r="E16" s="691" t="s">
        <v>57</v>
      </c>
      <c r="F16" s="591">
        <v>11</v>
      </c>
    </row>
    <row r="17" spans="1:6" ht="14.25" customHeight="1">
      <c r="A17" s="591">
        <v>18</v>
      </c>
      <c r="B17" s="589" t="str" cm="1">
        <f t="array" ref="B17">_xlfn.XLOOKUP(A17,F1:F102,E1:E102,"--",0)</f>
        <v>Japon</v>
      </c>
      <c r="C17" s="758"/>
      <c r="D17" s="724"/>
      <c r="E17" s="691" t="s">
        <v>93</v>
      </c>
      <c r="F17" s="591">
        <v>82</v>
      </c>
    </row>
    <row r="18" spans="1:6" ht="14.25" customHeight="1">
      <c r="A18" s="591">
        <v>19</v>
      </c>
      <c r="B18" s="589" t="str" cm="1">
        <f t="array" ref="B18">_xlfn.XLOOKUP(A18,F1:F102,E1:E102,"--",0)</f>
        <v>Suiza</v>
      </c>
      <c r="C18" s="758"/>
      <c r="D18" s="724"/>
      <c r="E18" s="691" t="s">
        <v>67</v>
      </c>
      <c r="F18" s="591">
        <v>23</v>
      </c>
    </row>
    <row r="19" spans="1:6" ht="14.25" customHeight="1">
      <c r="A19" s="591">
        <v>21</v>
      </c>
      <c r="B19" s="589" t="str" cm="1">
        <f t="array" ref="B19">_xlfn.XLOOKUP(A19,F1:F102,E1:E102,"--",0)</f>
        <v>Iran</v>
      </c>
      <c r="C19" s="758"/>
      <c r="D19" s="724"/>
      <c r="E19" s="691" t="s">
        <v>75</v>
      </c>
      <c r="F19" s="591">
        <v>29</v>
      </c>
    </row>
    <row r="20" spans="1:6" ht="14.25" customHeight="1">
      <c r="A20" s="591">
        <v>22</v>
      </c>
      <c r="B20" s="589" t="str" cm="1">
        <f t="array" ref="B20">_xlfn.XLOOKUP(A20,F1:F102,E1:E102,"--",0)</f>
        <v>Turquia</v>
      </c>
      <c r="C20" s="758"/>
      <c r="D20" s="724"/>
      <c r="E20" s="691" t="s">
        <v>80</v>
      </c>
      <c r="F20" s="591">
        <v>43</v>
      </c>
    </row>
    <row r="21" spans="1:6" ht="14.25" customHeight="1">
      <c r="A21" s="591">
        <v>23</v>
      </c>
      <c r="B21" s="589" t="str" cm="1">
        <f t="array" ref="B21">_xlfn.XLOOKUP(A21,F1:F102,E1:E102,"--",0)</f>
        <v>Ecuador</v>
      </c>
      <c r="C21" s="758"/>
      <c r="D21" s="724"/>
      <c r="E21" s="691" t="s">
        <v>49</v>
      </c>
      <c r="F21" s="591">
        <v>2</v>
      </c>
    </row>
    <row r="22" spans="1:6" ht="14.25" customHeight="1">
      <c r="A22" s="591">
        <v>24</v>
      </c>
      <c r="B22" s="589" t="str" cm="1">
        <f t="array" ref="B22">_xlfn.XLOOKUP(A22,F1:F102,E1:E102,"--",0)</f>
        <v>Austria</v>
      </c>
      <c r="C22" s="758"/>
      <c r="D22" s="724"/>
      <c r="E22" s="691" t="s">
        <v>63</v>
      </c>
      <c r="F22" s="591">
        <v>16</v>
      </c>
    </row>
    <row r="23" spans="1:6" ht="14.25" customHeight="1">
      <c r="A23" s="591">
        <v>25</v>
      </c>
      <c r="B23" s="589" t="str" cm="1">
        <f t="array" ref="B23">_xlfn.XLOOKUP(A23,F1:F102,E1:E102,"--",0)</f>
        <v>Corea del Sur</v>
      </c>
      <c r="C23" s="758"/>
      <c r="D23" s="724"/>
      <c r="E23" s="691" t="s">
        <v>48</v>
      </c>
      <c r="F23" s="591">
        <v>1</v>
      </c>
    </row>
    <row r="24" spans="1:6" ht="14.25" customHeight="1">
      <c r="A24" s="591">
        <v>27</v>
      </c>
      <c r="B24" s="589" t="str" cm="1">
        <f t="array" ref="B24">_xlfn.XLOOKUP(A24,F1:F102,E1:E102,"--",0)</f>
        <v>Australia</v>
      </c>
      <c r="C24" s="758"/>
      <c r="D24" s="724"/>
      <c r="E24" s="691" t="s">
        <v>85</v>
      </c>
      <c r="F24" s="591">
        <v>74</v>
      </c>
    </row>
    <row r="25" spans="1:6" ht="14.25" customHeight="1">
      <c r="A25" s="591">
        <v>28</v>
      </c>
      <c r="B25" s="589" t="str" cm="1">
        <f t="array" ref="B25">_xlfn.XLOOKUP(A25,F1:F102,E1:E102,"--",0)</f>
        <v>Argelia</v>
      </c>
      <c r="C25" s="758"/>
      <c r="D25" s="724"/>
      <c r="E25" s="691" t="s">
        <v>94</v>
      </c>
      <c r="F25" s="591">
        <v>83</v>
      </c>
    </row>
    <row r="26" spans="1:6" ht="14.25" customHeight="1">
      <c r="A26" s="591">
        <v>29</v>
      </c>
      <c r="B26" s="589" t="str" cm="1">
        <f t="array" ref="B26">_xlfn.XLOOKUP(A26,F1:F102,E1:E102,"--",0)</f>
        <v>Egipto</v>
      </c>
      <c r="C26" s="758"/>
      <c r="D26" s="724"/>
      <c r="E26" s="691" t="s">
        <v>51</v>
      </c>
      <c r="F26" s="591">
        <v>4</v>
      </c>
    </row>
    <row r="27" spans="1:6" ht="14.25" customHeight="1">
      <c r="A27" s="591">
        <v>30</v>
      </c>
      <c r="B27" s="589" t="str" cm="1">
        <f t="array" ref="B27">_xlfn.XLOOKUP(A27,F1:F102,E1:E102,"--",0)</f>
        <v>Canada</v>
      </c>
      <c r="C27" s="758"/>
      <c r="D27" s="724"/>
      <c r="E27" s="691" t="s">
        <v>90</v>
      </c>
      <c r="F27" s="591">
        <v>57</v>
      </c>
    </row>
    <row r="28" spans="1:6" ht="14.25" customHeight="1">
      <c r="A28" s="591">
        <v>31</v>
      </c>
      <c r="B28" s="589" t="str" cm="1">
        <f t="array" ref="B28">_xlfn.XLOOKUP(A28,F1:F102,E1:E102,"--",0)</f>
        <v>Noruega</v>
      </c>
      <c r="C28" s="758"/>
      <c r="D28" s="724"/>
      <c r="E28" s="691" t="s">
        <v>86</v>
      </c>
      <c r="F28" s="591">
        <v>21</v>
      </c>
    </row>
    <row r="29" spans="1:6" ht="14.25" customHeight="1">
      <c r="A29" s="591">
        <v>33</v>
      </c>
      <c r="B29" s="589" t="str" cm="1">
        <f t="array" ref="B29">_xlfn.XLOOKUP(A29,F1:F102,E1:E102,"--",0)</f>
        <v>Panama</v>
      </c>
      <c r="C29" s="589"/>
      <c r="D29" s="724"/>
      <c r="E29" s="691" t="s">
        <v>64</v>
      </c>
      <c r="F29" s="591">
        <v>18</v>
      </c>
    </row>
    <row r="30" spans="1:6" ht="14.25" customHeight="1">
      <c r="A30" s="591">
        <v>34</v>
      </c>
      <c r="B30" s="589" t="str" cm="1">
        <f t="array" ref="B30">_xlfn.XLOOKUP(A30,F1:F102,E1:E102,"--",0)</f>
        <v>Costa de Marfil</v>
      </c>
      <c r="C30" s="589"/>
      <c r="D30" s="724"/>
      <c r="E30" s="691" t="s">
        <v>91</v>
      </c>
      <c r="F30" s="591">
        <v>63</v>
      </c>
    </row>
    <row r="31" spans="1:6" ht="14.25" customHeight="1">
      <c r="A31" s="591">
        <v>38</v>
      </c>
      <c r="B31" s="589" t="str" cm="1">
        <f t="array" ref="B31">_xlfn.XLOOKUP(A31,F1:F102,E1:E102,"--",0)</f>
        <v>Suecia</v>
      </c>
      <c r="C31" s="758"/>
      <c r="D31" s="724"/>
      <c r="E31" s="691" t="s">
        <v>59</v>
      </c>
      <c r="F31" s="591">
        <v>8</v>
      </c>
    </row>
    <row r="32" spans="1:6" ht="14.25" customHeight="1">
      <c r="A32" s="591">
        <v>40</v>
      </c>
      <c r="B32" s="589" t="str" cm="1">
        <f t="array" ref="B32">_xlfn.XLOOKUP(A32,F1:F102,E1:E102,"--",0)</f>
        <v>Paraguay</v>
      </c>
      <c r="C32" s="758"/>
      <c r="D32" s="724"/>
      <c r="E32" s="691" t="s">
        <v>62</v>
      </c>
      <c r="F32" s="591">
        <v>15</v>
      </c>
    </row>
    <row r="33" spans="1:6" ht="14.25" customHeight="1">
      <c r="A33" s="591">
        <v>41</v>
      </c>
      <c r="B33" s="589" t="str" cm="1">
        <f t="array" ref="B33">_xlfn.XLOOKUP(A33,F1:F102,E1:E102,"--",0)</f>
        <v>Repubilca Checa</v>
      </c>
      <c r="C33" s="589"/>
      <c r="D33" s="724"/>
      <c r="E33" s="691" t="s">
        <v>69</v>
      </c>
      <c r="F33" s="591">
        <v>31</v>
      </c>
    </row>
    <row r="34" spans="1:6" ht="14.25" customHeight="1">
      <c r="A34" s="591">
        <v>43</v>
      </c>
      <c r="B34" s="589" t="str" cm="1">
        <f t="array" ref="B34">_xlfn.XLOOKUP(A34,F1:F102,E1:E102,"--",0)</f>
        <v>Escocia</v>
      </c>
      <c r="C34" s="758"/>
      <c r="D34" s="724"/>
      <c r="E34" s="691" t="s">
        <v>95</v>
      </c>
      <c r="F34" s="591">
        <v>85</v>
      </c>
    </row>
    <row r="35" spans="1:6" ht="14.25" customHeight="1">
      <c r="A35" s="591">
        <v>44</v>
      </c>
      <c r="B35" s="589" t="str" cm="1">
        <f t="array" ref="B35">_xlfn.XLOOKUP(A35,F1:F102,E1:E102,"--",0)</f>
        <v>Tunez</v>
      </c>
      <c r="C35" s="758"/>
      <c r="D35" s="724"/>
      <c r="E35" s="691" t="s">
        <v>54</v>
      </c>
      <c r="F35" s="591">
        <v>7</v>
      </c>
    </row>
    <row r="36" spans="1:6" ht="14.25" customHeight="1">
      <c r="A36" s="591">
        <v>46</v>
      </c>
      <c r="B36" s="589" t="str" cm="1">
        <f t="array" ref="B36">_xlfn.XLOOKUP(A36,F1:F102,E1:E102,"--",0)</f>
        <v>Congo</v>
      </c>
      <c r="C36" s="758"/>
      <c r="D36" s="724"/>
      <c r="E36" s="691" t="s">
        <v>77</v>
      </c>
      <c r="F36" s="591">
        <v>33</v>
      </c>
    </row>
    <row r="37" spans="1:6" ht="14.25" customHeight="1">
      <c r="A37" s="591">
        <v>50</v>
      </c>
      <c r="B37" s="589" t="str" cm="1">
        <f t="array" ref="B37">_xlfn.XLOOKUP(A37,F1:F102,E1:E102,"--",0)</f>
        <v>Uzbekistan</v>
      </c>
      <c r="C37" s="758"/>
      <c r="D37" s="724"/>
      <c r="E37" s="691" t="s">
        <v>71</v>
      </c>
      <c r="F37" s="591">
        <v>40</v>
      </c>
    </row>
    <row r="38" spans="1:6" ht="14.25" customHeight="1">
      <c r="A38" s="591">
        <v>55</v>
      </c>
      <c r="B38" s="589" t="str" cm="1">
        <f t="array" ref="B38">_xlfn.XLOOKUP(A38,F1:F102,E1:E102,"--",0)</f>
        <v>Qatar</v>
      </c>
      <c r="C38" s="758"/>
      <c r="D38" s="724"/>
      <c r="E38" s="691" t="s">
        <v>52</v>
      </c>
      <c r="F38" s="591">
        <v>5</v>
      </c>
    </row>
    <row r="39" spans="1:6" ht="14.25" customHeight="1">
      <c r="A39" s="591">
        <v>57</v>
      </c>
      <c r="B39" s="589" t="str" cm="1">
        <f t="array" ref="B39">_xlfn.XLOOKUP(A39,F1:F102,E1:E102,"--",0)</f>
        <v>Irak</v>
      </c>
      <c r="C39" s="589"/>
      <c r="D39" s="724"/>
      <c r="E39" s="691" t="s">
        <v>89</v>
      </c>
      <c r="F39" s="591">
        <v>55</v>
      </c>
    </row>
    <row r="40" spans="1:6" ht="14.25" customHeight="1">
      <c r="A40" s="591">
        <v>60</v>
      </c>
      <c r="B40" s="589" t="str" cm="1">
        <f t="array" ref="B40">_xlfn.XLOOKUP(A40,F1:F102,E1:E102,"--",0)</f>
        <v>Sudafrica</v>
      </c>
      <c r="C40" s="758"/>
      <c r="D40" s="724"/>
      <c r="E40" s="691" t="s">
        <v>79</v>
      </c>
      <c r="F40" s="591">
        <v>41</v>
      </c>
    </row>
    <row r="41" spans="1:6" ht="14.25" customHeight="1">
      <c r="A41" s="591">
        <v>61</v>
      </c>
      <c r="B41" s="589" t="str" cm="1">
        <f t="array" ref="B41">_xlfn.XLOOKUP(A41,F1:F102,E1:E102,"--",0)</f>
        <v>Arabia Saudita</v>
      </c>
      <c r="C41" s="758"/>
      <c r="D41" s="724"/>
      <c r="E41" s="691" t="s">
        <v>61</v>
      </c>
      <c r="F41" s="591">
        <v>14</v>
      </c>
    </row>
    <row r="42" spans="1:6" ht="14.25" customHeight="1">
      <c r="A42" s="591">
        <v>63</v>
      </c>
      <c r="B42" s="589" t="str" cm="1">
        <f t="array" ref="B42">_xlfn.XLOOKUP(A42,F1:F102,E1:E102,"--",0)</f>
        <v>Jordania</v>
      </c>
      <c r="C42" s="758"/>
      <c r="D42" s="724"/>
      <c r="E42" s="691" t="s">
        <v>82</v>
      </c>
      <c r="F42" s="591">
        <v>60</v>
      </c>
    </row>
    <row r="43" spans="1:6" ht="14.25" customHeight="1">
      <c r="A43" s="591">
        <v>65</v>
      </c>
      <c r="B43" s="589" t="str" cm="1">
        <f t="array" ref="B43">_xlfn.XLOOKUP(A43,F1:F102,E1:E102,"--",0)</f>
        <v>Bosnia</v>
      </c>
      <c r="C43" s="758"/>
      <c r="D43" s="724"/>
      <c r="E43" s="691" t="s">
        <v>70</v>
      </c>
      <c r="F43" s="591">
        <v>38</v>
      </c>
    </row>
    <row r="44" spans="1:6" ht="14.25" customHeight="1">
      <c r="A44" s="591">
        <v>69</v>
      </c>
      <c r="B44" s="589" t="str" cm="1">
        <f t="array" ref="B44">_xlfn.XLOOKUP(A44,F1:F102,E1:E102,"--",0)</f>
        <v>Cabo Verde</v>
      </c>
      <c r="C44" s="758"/>
      <c r="D44" s="724"/>
      <c r="E44" s="691" t="s">
        <v>65</v>
      </c>
      <c r="F44" s="591">
        <v>19</v>
      </c>
    </row>
    <row r="45" spans="1:6" ht="14.25" customHeight="1">
      <c r="A45" s="591">
        <v>74</v>
      </c>
      <c r="B45" s="589" t="str" cm="1">
        <f t="array" ref="B45">_xlfn.XLOOKUP(A45,F1:F102,E1:E102,"--",0)</f>
        <v>Ghana</v>
      </c>
      <c r="C45" s="758"/>
      <c r="D45" s="724"/>
      <c r="E45" s="691" t="s">
        <v>81</v>
      </c>
      <c r="F45" s="591">
        <v>44</v>
      </c>
    </row>
    <row r="46" spans="1:6" ht="14.25" customHeight="1">
      <c r="A46" s="591">
        <v>82</v>
      </c>
      <c r="B46" s="589" t="str" cm="1">
        <f t="array" ref="B46">_xlfn.XLOOKUP(A46,F1:F102,E1:E102,"--",0)</f>
        <v>Curazao</v>
      </c>
      <c r="C46" s="758"/>
      <c r="D46" s="724"/>
      <c r="E46" s="691" t="s">
        <v>66</v>
      </c>
      <c r="F46" s="591">
        <v>22</v>
      </c>
    </row>
    <row r="47" spans="1:6" ht="14.25" customHeight="1">
      <c r="A47" s="591">
        <v>83</v>
      </c>
      <c r="B47" s="589" t="str" cm="1">
        <f t="array" ref="B47">_xlfn.XLOOKUP(A47,F1:F102,E1:E102,"--",0)</f>
        <v>Haiti</v>
      </c>
      <c r="C47" s="589"/>
      <c r="D47" s="724"/>
      <c r="E47" s="691" t="s">
        <v>58</v>
      </c>
      <c r="F47" s="591">
        <v>17</v>
      </c>
    </row>
    <row r="48" spans="1:6" ht="14.25" customHeight="1">
      <c r="A48" s="591">
        <v>85</v>
      </c>
      <c r="B48" s="589" t="str" cm="1">
        <f t="array" ref="B48">_xlfn.XLOOKUP(A48,F1:F102,E1:E102,"--",0)</f>
        <v>Nueva Zelanda</v>
      </c>
      <c r="C48" s="758"/>
      <c r="D48" s="724"/>
      <c r="E48" s="691" t="s">
        <v>88</v>
      </c>
      <c r="F48" s="591">
        <v>50</v>
      </c>
    </row>
    <row r="49" spans="1:6" ht="14.25" customHeight="1">
      <c r="A49" s="589"/>
      <c r="B49" s="589"/>
      <c r="C49" s="589"/>
      <c r="D49" s="724"/>
      <c r="E49" s="589"/>
      <c r="F49" s="589"/>
    </row>
    <row r="50" spans="1:6" ht="14.25" customHeight="1">
      <c r="A50" s="589"/>
      <c r="B50" s="589"/>
      <c r="C50" s="589"/>
      <c r="D50" s="724"/>
      <c r="E50" s="589"/>
      <c r="F50" s="589"/>
    </row>
    <row r="51" spans="1:6" ht="14.25" customHeight="1">
      <c r="A51" s="589"/>
      <c r="B51" s="589"/>
      <c r="C51" s="758"/>
      <c r="D51" s="724"/>
      <c r="E51" s="589"/>
      <c r="F51" s="589"/>
    </row>
    <row r="52" spans="1:6" ht="14.25" customHeight="1">
      <c r="A52" s="589"/>
      <c r="B52" s="589"/>
      <c r="C52" s="758"/>
      <c r="D52" s="724"/>
      <c r="E52" s="589"/>
      <c r="F52" s="589"/>
    </row>
    <row r="53" spans="1:6" ht="14.25" customHeight="1">
      <c r="A53" s="589"/>
      <c r="B53" s="589"/>
      <c r="C53" s="758"/>
      <c r="D53" s="724"/>
      <c r="E53" s="589"/>
      <c r="F53" s="589"/>
    </row>
    <row r="54" spans="1:6" ht="14.25" customHeight="1">
      <c r="A54" s="589"/>
      <c r="B54" s="589"/>
      <c r="C54" s="758"/>
      <c r="D54" s="724"/>
      <c r="E54" s="589"/>
      <c r="F54" s="589"/>
    </row>
    <row r="55" spans="1:6" ht="14.25" customHeight="1">
      <c r="A55" s="589"/>
      <c r="B55" s="589"/>
      <c r="C55" s="589"/>
      <c r="D55" s="724"/>
      <c r="E55" s="589"/>
      <c r="F55" s="589"/>
    </row>
    <row r="56" spans="1:6" ht="14.25" customHeight="1">
      <c r="A56" s="589"/>
      <c r="B56" s="589"/>
      <c r="C56" s="589"/>
      <c r="D56" s="724"/>
      <c r="E56" s="589"/>
      <c r="F56" s="589"/>
    </row>
    <row r="57" spans="1:6" ht="14.25" customHeight="1">
      <c r="A57" s="589"/>
      <c r="B57" s="589"/>
      <c r="C57" s="758"/>
      <c r="D57" s="724"/>
      <c r="E57" s="589"/>
      <c r="F57" s="589"/>
    </row>
    <row r="58" spans="1:6" ht="14.25" customHeight="1">
      <c r="A58" s="589"/>
      <c r="B58" s="589"/>
      <c r="C58" s="758"/>
      <c r="D58" s="724"/>
      <c r="E58" s="589"/>
      <c r="F58" s="589"/>
    </row>
    <row r="59" spans="1:6" ht="14.25" customHeight="1">
      <c r="A59" s="589"/>
      <c r="B59" s="589"/>
      <c r="C59" s="758"/>
      <c r="D59" s="724"/>
      <c r="E59" s="589"/>
      <c r="F59" s="589"/>
    </row>
    <row r="60" spans="1:6" ht="14.25" customHeight="1">
      <c r="A60" s="589"/>
      <c r="B60" s="589"/>
      <c r="C60" s="758"/>
      <c r="D60" s="724"/>
      <c r="E60" s="589"/>
      <c r="F60" s="589"/>
    </row>
    <row r="61" spans="1:6" ht="14.25" customHeight="1">
      <c r="A61" s="589"/>
      <c r="B61" s="589"/>
      <c r="C61" s="758"/>
      <c r="D61" s="724"/>
      <c r="E61" s="589"/>
      <c r="F61" s="589"/>
    </row>
    <row r="62" spans="1:6" ht="14.25" customHeight="1">
      <c r="A62" s="589"/>
      <c r="B62" s="589"/>
      <c r="C62" s="589"/>
      <c r="D62" s="724"/>
      <c r="E62" s="589"/>
      <c r="F62" s="589"/>
    </row>
    <row r="63" spans="1:6" ht="14.25" customHeight="1">
      <c r="A63" s="589"/>
      <c r="B63" s="589"/>
      <c r="C63" s="758"/>
      <c r="D63" s="724"/>
      <c r="E63" s="589"/>
      <c r="F63" s="589"/>
    </row>
    <row r="64" spans="1:6" ht="14.25" customHeight="1">
      <c r="A64" s="589"/>
      <c r="B64" s="589"/>
      <c r="C64" s="589"/>
      <c r="D64" s="724"/>
      <c r="E64" s="589"/>
      <c r="F64" s="589"/>
    </row>
    <row r="65" spans="1:6" ht="14.25" customHeight="1">
      <c r="A65" s="589"/>
      <c r="B65" s="589"/>
      <c r="C65" s="758"/>
      <c r="D65" s="724"/>
      <c r="E65" s="589"/>
      <c r="F65" s="589"/>
    </row>
    <row r="66" spans="1:6" ht="14.25" customHeight="1">
      <c r="A66" s="589"/>
      <c r="B66" s="589"/>
      <c r="C66" s="758"/>
      <c r="D66" s="724"/>
      <c r="E66" s="589"/>
      <c r="F66" s="589"/>
    </row>
    <row r="67" spans="1:6" ht="14.25" customHeight="1">
      <c r="A67" s="589"/>
      <c r="B67" s="589"/>
      <c r="C67" s="758"/>
      <c r="D67" s="724"/>
      <c r="E67" s="589"/>
      <c r="F67" s="589"/>
    </row>
    <row r="68" spans="1:6" ht="14.25" customHeight="1">
      <c r="A68" s="589"/>
      <c r="B68" s="589"/>
      <c r="C68" s="758"/>
      <c r="D68" s="724"/>
      <c r="E68" s="589"/>
      <c r="F68" s="589"/>
    </row>
    <row r="69" spans="1:6" ht="14.25" customHeight="1">
      <c r="A69" s="589"/>
      <c r="B69" s="589"/>
      <c r="C69" s="758"/>
      <c r="D69" s="724"/>
      <c r="E69" s="589"/>
      <c r="F69" s="589"/>
    </row>
    <row r="70" spans="1:6" ht="14.25" customHeight="1">
      <c r="A70" s="589"/>
      <c r="B70" s="589"/>
      <c r="C70" s="758"/>
      <c r="D70" s="724"/>
      <c r="E70" s="589"/>
      <c r="F70" s="589"/>
    </row>
    <row r="71" spans="1:6" ht="14.25" customHeight="1">
      <c r="A71" s="589"/>
      <c r="B71" s="589"/>
      <c r="C71" s="758"/>
      <c r="D71" s="724"/>
      <c r="E71" s="589"/>
      <c r="F71" s="589"/>
    </row>
    <row r="72" spans="1:6" ht="14.25" customHeight="1">
      <c r="A72" s="589"/>
      <c r="B72" s="589"/>
      <c r="C72" s="758"/>
      <c r="D72" s="724"/>
      <c r="E72" s="589"/>
      <c r="F72" s="589"/>
    </row>
    <row r="73" spans="1:6" ht="14.25" customHeight="1">
      <c r="A73" s="589"/>
      <c r="B73" s="589"/>
      <c r="C73" s="758"/>
      <c r="D73" s="724"/>
      <c r="E73" s="589"/>
      <c r="F73" s="589"/>
    </row>
    <row r="74" spans="1:6" ht="14.25" customHeight="1">
      <c r="A74" s="589"/>
      <c r="B74" s="589"/>
      <c r="C74" s="758"/>
      <c r="D74" s="724"/>
      <c r="E74" s="589"/>
      <c r="F74" s="589"/>
    </row>
    <row r="75" spans="1:6" ht="14.25" customHeight="1">
      <c r="A75" s="589"/>
      <c r="B75" s="589"/>
      <c r="C75" s="758"/>
      <c r="D75" s="724"/>
      <c r="E75" s="589"/>
      <c r="F75" s="589"/>
    </row>
    <row r="76" spans="1:6" ht="14.25" customHeight="1">
      <c r="A76" s="589"/>
      <c r="B76" s="589"/>
      <c r="C76" s="758"/>
      <c r="D76" s="724"/>
      <c r="E76" s="589"/>
      <c r="F76" s="589"/>
    </row>
    <row r="77" spans="1:6" ht="14.25" customHeight="1">
      <c r="A77" s="589"/>
      <c r="B77" s="589"/>
      <c r="C77" s="758"/>
      <c r="D77" s="724"/>
      <c r="E77" s="589"/>
      <c r="F77" s="589"/>
    </row>
    <row r="78" spans="1:6" ht="14.25" customHeight="1">
      <c r="A78" s="589"/>
      <c r="B78" s="589"/>
      <c r="C78" s="758"/>
      <c r="D78" s="724"/>
      <c r="E78" s="589"/>
      <c r="F78" s="589"/>
    </row>
    <row r="79" spans="1:6" ht="14.25" customHeight="1">
      <c r="A79" s="589"/>
      <c r="B79" s="589"/>
      <c r="C79" s="589"/>
      <c r="D79" s="724"/>
      <c r="E79" s="589"/>
      <c r="F79" s="589"/>
    </row>
    <row r="80" spans="1:6" ht="14.25" customHeight="1">
      <c r="A80" s="589"/>
      <c r="B80" s="589"/>
      <c r="C80" s="758"/>
      <c r="D80" s="724"/>
      <c r="E80" s="589"/>
      <c r="F80" s="589"/>
    </row>
    <row r="81" spans="1:6" ht="14.25" customHeight="1">
      <c r="A81" s="589"/>
      <c r="B81" s="589"/>
      <c r="C81" s="758"/>
      <c r="D81" s="724"/>
      <c r="E81" s="589"/>
      <c r="F81" s="589"/>
    </row>
    <row r="82" spans="1:6" ht="14.25" customHeight="1">
      <c r="A82" s="589"/>
      <c r="B82" s="589"/>
      <c r="C82" s="758"/>
      <c r="D82" s="724"/>
      <c r="E82" s="589"/>
      <c r="F82" s="589"/>
    </row>
    <row r="83" spans="1:6" ht="14.25" customHeight="1">
      <c r="A83" s="589"/>
      <c r="B83" s="589"/>
      <c r="C83" s="758"/>
      <c r="D83" s="724"/>
      <c r="E83" s="589"/>
      <c r="F83" s="589"/>
    </row>
    <row r="84" spans="1:6" ht="14.25" customHeight="1">
      <c r="A84" s="589"/>
      <c r="B84" s="589"/>
      <c r="C84" s="758"/>
      <c r="D84" s="724"/>
      <c r="E84" s="589"/>
      <c r="F84" s="589"/>
    </row>
    <row r="85" spans="1:6" ht="14.25" customHeight="1">
      <c r="A85" s="589"/>
      <c r="B85" s="589"/>
      <c r="C85" s="758"/>
      <c r="D85" s="724"/>
      <c r="E85" s="589"/>
      <c r="F85" s="589"/>
    </row>
    <row r="86" spans="1:6" ht="14.25" customHeight="1">
      <c r="A86" s="589"/>
      <c r="B86" s="589"/>
      <c r="C86" s="758"/>
      <c r="D86" s="724"/>
      <c r="E86" s="589"/>
      <c r="F86" s="589"/>
    </row>
    <row r="87" spans="1:6" ht="14.25" customHeight="1">
      <c r="A87" s="589"/>
      <c r="B87" s="589"/>
      <c r="C87" s="758"/>
      <c r="D87" s="724"/>
      <c r="E87" s="589"/>
      <c r="F87" s="589"/>
    </row>
    <row r="88" spans="1:6" ht="14.25" customHeight="1">
      <c r="A88" s="589"/>
      <c r="B88" s="589"/>
      <c r="C88" s="589"/>
      <c r="D88" s="724"/>
      <c r="E88" s="589"/>
      <c r="F88" s="589"/>
    </row>
    <row r="89" spans="1:6" ht="14.25" customHeight="1">
      <c r="A89" s="589"/>
      <c r="B89" s="589"/>
      <c r="C89" s="758"/>
      <c r="D89" s="724"/>
      <c r="E89" s="589"/>
      <c r="F89" s="589"/>
    </row>
    <row r="90" spans="1:6" ht="14.25" customHeight="1">
      <c r="A90" s="589"/>
      <c r="B90" s="589"/>
      <c r="C90" s="589"/>
      <c r="D90" s="724"/>
      <c r="E90" s="589"/>
      <c r="F90" s="589"/>
    </row>
    <row r="91" spans="1:6" ht="14.25" customHeight="1">
      <c r="A91" s="589"/>
      <c r="B91" s="589"/>
      <c r="C91" s="589"/>
      <c r="D91" s="724"/>
      <c r="E91" s="589"/>
      <c r="F91" s="589"/>
    </row>
    <row r="92" spans="1:6" ht="14.25" customHeight="1">
      <c r="A92" s="589"/>
      <c r="B92" s="589"/>
      <c r="C92" s="758"/>
      <c r="D92" s="724"/>
      <c r="E92" s="589"/>
      <c r="F92" s="589"/>
    </row>
    <row r="93" spans="1:6" ht="14.25" customHeight="1">
      <c r="A93" s="589"/>
      <c r="B93" s="589"/>
      <c r="C93" s="589"/>
      <c r="D93" s="724"/>
      <c r="E93" s="589"/>
      <c r="F93" s="589"/>
    </row>
    <row r="94" spans="1:6" ht="14.25" customHeight="1">
      <c r="A94" s="589"/>
      <c r="B94" s="589"/>
      <c r="C94" s="589"/>
      <c r="D94" s="724"/>
      <c r="E94" s="589"/>
      <c r="F94" s="589"/>
    </row>
    <row r="95" spans="1:6" ht="14.25" customHeight="1">
      <c r="A95" s="589"/>
      <c r="B95" s="589"/>
      <c r="C95" s="758"/>
      <c r="D95" s="724"/>
      <c r="E95" s="589"/>
      <c r="F95" s="589"/>
    </row>
    <row r="96" spans="1:6" ht="14.25" customHeight="1">
      <c r="A96" s="589"/>
      <c r="B96" s="589"/>
      <c r="C96" s="758"/>
      <c r="D96" s="724"/>
      <c r="E96" s="589"/>
      <c r="F96" s="589"/>
    </row>
    <row r="97" spans="1:6" ht="14.25" customHeight="1">
      <c r="A97" s="589"/>
      <c r="B97" s="589"/>
      <c r="C97" s="758"/>
      <c r="D97" s="724"/>
      <c r="E97" s="589"/>
      <c r="F97" s="589"/>
    </row>
    <row r="98" spans="1:6" ht="14.25" customHeight="1">
      <c r="A98" s="589"/>
      <c r="B98" s="589"/>
      <c r="C98" s="758"/>
      <c r="D98" s="724"/>
      <c r="E98" s="589"/>
      <c r="F98" s="589"/>
    </row>
    <row r="99" spans="1:6" ht="14.25" customHeight="1">
      <c r="A99" s="589"/>
      <c r="B99" s="589"/>
      <c r="C99" s="758"/>
      <c r="D99" s="724"/>
      <c r="E99" s="589"/>
      <c r="F99" s="589"/>
    </row>
    <row r="100" spans="1:6" ht="14.25" customHeight="1">
      <c r="A100" s="589"/>
      <c r="B100" s="589"/>
      <c r="C100" s="758"/>
      <c r="D100" s="724"/>
      <c r="E100" s="589"/>
      <c r="F100" s="589"/>
    </row>
    <row r="101" spans="1:6" ht="14.25" customHeight="1">
      <c r="A101" s="589"/>
      <c r="B101" s="589"/>
      <c r="C101" s="758"/>
      <c r="D101" s="724"/>
      <c r="E101" s="589"/>
      <c r="F101" s="589"/>
    </row>
    <row r="102" spans="1:6" ht="14.25" customHeight="1">
      <c r="A102" s="589"/>
      <c r="B102" s="589"/>
      <c r="C102" s="758"/>
      <c r="D102" s="724"/>
      <c r="E102" s="589"/>
      <c r="F102" s="589"/>
    </row>
  </sheetData>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REGLAS - PUNTOS</vt:lpstr>
      <vt:lpstr>Groups Stage</vt:lpstr>
      <vt:lpstr>Round of 32 &amp; Round of 16</vt:lpstr>
      <vt:lpstr>Quarter, Semis &amp; Final</vt:lpstr>
      <vt:lpstr>Total Results</vt:lpstr>
      <vt:lpstr>Inputs summary</vt:lpstr>
      <vt:lpstr>Playoffs</vt:lpstr>
      <vt:lpstr>Mejores 3eros</vt:lpstr>
      <vt:lpstr>Aux</vt:lpstr>
      <vt:lpstr>Comentarios</vt:lpstr>
      <vt:lpstr>Ranking FIFA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Agustin Cravino [AGCR]</cp:lastModifiedBy>
  <dcterms:modified xsi:type="dcterms:W3CDTF">2026-06-08T17:22:44Z</dcterms:modified>
</cp:coreProperties>
</file>